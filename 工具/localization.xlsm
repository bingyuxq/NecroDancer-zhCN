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工具\"/>
    </mc:Choice>
  </mc:AlternateContent>
  <bookViews>
    <workbookView xWindow="0" yWindow="0" windowWidth="28800" windowHeight="12210"/>
  </bookViews>
  <sheets>
    <sheet name="main" sheetId="1" r:id="rId1"/>
    <sheet name="常量" sheetId="2" r:id="rId2"/>
    <sheet name="数据引用" sheetId="5" r:id="rId3"/>
  </sheets>
  <definedNames>
    <definedName name="_xlnm._FilterDatabase" localSheetId="2" hidden="1">数据引用!$A$1:$D$1735</definedName>
    <definedName name="PicSize" localSheetId="1">常量!#REF!</definedName>
    <definedName name="文本翻译对照表" localSheetId="2">数据引用!$A$1:$D$1735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42" i="1" l="1"/>
  <c r="M3" i="2" l="1"/>
  <c r="N3" i="2"/>
  <c r="O3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M19" i="2"/>
  <c r="N19" i="2"/>
  <c r="O19" i="2"/>
  <c r="M20" i="2"/>
  <c r="N20" i="2"/>
  <c r="O20" i="2"/>
  <c r="M21" i="2"/>
  <c r="N21" i="2"/>
  <c r="O21" i="2"/>
  <c r="M22" i="2"/>
  <c r="N22" i="2"/>
  <c r="O22" i="2"/>
  <c r="M23" i="2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38" i="2"/>
  <c r="N38" i="2"/>
  <c r="O38" i="2"/>
  <c r="M39" i="2"/>
  <c r="N39" i="2"/>
  <c r="O39" i="2"/>
  <c r="M40" i="2"/>
  <c r="N40" i="2"/>
  <c r="O40" i="2"/>
  <c r="M41" i="2"/>
  <c r="N41" i="2"/>
  <c r="O41" i="2"/>
  <c r="M42" i="2"/>
  <c r="N42" i="2"/>
  <c r="O42" i="2"/>
  <c r="M43" i="2"/>
  <c r="N43" i="2"/>
  <c r="O43" i="2"/>
  <c r="M44" i="2"/>
  <c r="N44" i="2"/>
  <c r="O44" i="2"/>
  <c r="M45" i="2"/>
  <c r="N45" i="2"/>
  <c r="O45" i="2"/>
  <c r="M46" i="2"/>
  <c r="N46" i="2"/>
  <c r="O46" i="2"/>
  <c r="M47" i="2"/>
  <c r="N47" i="2"/>
  <c r="O47" i="2"/>
  <c r="M48" i="2"/>
  <c r="N48" i="2"/>
  <c r="O48" i="2"/>
  <c r="M49" i="2"/>
  <c r="N49" i="2"/>
  <c r="O49" i="2"/>
  <c r="M50" i="2"/>
  <c r="N50" i="2"/>
  <c r="O50" i="2"/>
  <c r="M51" i="2"/>
  <c r="N51" i="2"/>
  <c r="O51" i="2"/>
  <c r="M52" i="2"/>
  <c r="N52" i="2"/>
  <c r="O52" i="2"/>
  <c r="M53" i="2"/>
  <c r="N53" i="2"/>
  <c r="O53" i="2"/>
  <c r="M54" i="2"/>
  <c r="N54" i="2"/>
  <c r="O54" i="2"/>
  <c r="M55" i="2"/>
  <c r="N55" i="2"/>
  <c r="O55" i="2"/>
  <c r="M56" i="2"/>
  <c r="N56" i="2"/>
  <c r="O56" i="2"/>
  <c r="M57" i="2"/>
  <c r="N57" i="2"/>
  <c r="O57" i="2"/>
  <c r="M58" i="2"/>
  <c r="N58" i="2"/>
  <c r="O58" i="2"/>
  <c r="M59" i="2"/>
  <c r="N59" i="2"/>
  <c r="O59" i="2"/>
  <c r="M60" i="2"/>
  <c r="N60" i="2"/>
  <c r="O60" i="2"/>
  <c r="M61" i="2"/>
  <c r="N61" i="2"/>
  <c r="O61" i="2"/>
  <c r="M62" i="2"/>
  <c r="N62" i="2"/>
  <c r="O62" i="2"/>
  <c r="M63" i="2"/>
  <c r="N63" i="2"/>
  <c r="O63" i="2"/>
  <c r="M64" i="2"/>
  <c r="N64" i="2"/>
  <c r="O64" i="2"/>
  <c r="M65" i="2"/>
  <c r="N65" i="2"/>
  <c r="O65" i="2"/>
  <c r="M66" i="2"/>
  <c r="N66" i="2"/>
  <c r="O66" i="2"/>
  <c r="M67" i="2"/>
  <c r="N67" i="2"/>
  <c r="O67" i="2"/>
  <c r="M68" i="2"/>
  <c r="N68" i="2"/>
  <c r="O68" i="2"/>
  <c r="M69" i="2"/>
  <c r="N69" i="2"/>
  <c r="O69" i="2"/>
  <c r="M70" i="2"/>
  <c r="N70" i="2"/>
  <c r="O70" i="2"/>
  <c r="M71" i="2"/>
  <c r="N71" i="2"/>
  <c r="O71" i="2"/>
  <c r="M72" i="2"/>
  <c r="N72" i="2"/>
  <c r="O72" i="2"/>
  <c r="M73" i="2"/>
  <c r="N73" i="2"/>
  <c r="O73" i="2"/>
  <c r="M74" i="2"/>
  <c r="N74" i="2"/>
  <c r="O74" i="2"/>
  <c r="M75" i="2"/>
  <c r="N75" i="2"/>
  <c r="O75" i="2"/>
  <c r="M76" i="2"/>
  <c r="N76" i="2"/>
  <c r="O76" i="2"/>
  <c r="M77" i="2"/>
  <c r="N77" i="2"/>
  <c r="O77" i="2"/>
  <c r="M78" i="2"/>
  <c r="N78" i="2"/>
  <c r="O78" i="2"/>
  <c r="M79" i="2"/>
  <c r="N79" i="2"/>
  <c r="O79" i="2"/>
  <c r="M80" i="2"/>
  <c r="N80" i="2"/>
  <c r="O80" i="2"/>
  <c r="M81" i="2"/>
  <c r="N81" i="2"/>
  <c r="O81" i="2"/>
  <c r="M82" i="2"/>
  <c r="N82" i="2"/>
  <c r="O82" i="2"/>
  <c r="M83" i="2"/>
  <c r="N83" i="2"/>
  <c r="O83" i="2"/>
  <c r="M84" i="2"/>
  <c r="N84" i="2"/>
  <c r="O84" i="2"/>
  <c r="M85" i="2"/>
  <c r="N85" i="2"/>
  <c r="O85" i="2"/>
  <c r="M86" i="2"/>
  <c r="N86" i="2"/>
  <c r="O86" i="2"/>
  <c r="M87" i="2"/>
  <c r="N87" i="2"/>
  <c r="O87" i="2"/>
  <c r="M88" i="2"/>
  <c r="N88" i="2"/>
  <c r="O88" i="2"/>
  <c r="M89" i="2"/>
  <c r="N89" i="2"/>
  <c r="O89" i="2"/>
  <c r="M90" i="2"/>
  <c r="N90" i="2"/>
  <c r="O90" i="2"/>
  <c r="M91" i="2"/>
  <c r="N91" i="2"/>
  <c r="O91" i="2"/>
  <c r="M92" i="2"/>
  <c r="N92" i="2"/>
  <c r="O92" i="2"/>
  <c r="M93" i="2"/>
  <c r="N93" i="2"/>
  <c r="O93" i="2"/>
  <c r="M94" i="2"/>
  <c r="N94" i="2"/>
  <c r="O94" i="2"/>
  <c r="M95" i="2"/>
  <c r="N95" i="2"/>
  <c r="O95" i="2"/>
  <c r="M96" i="2"/>
  <c r="N96" i="2"/>
  <c r="O96" i="2"/>
  <c r="M97" i="2"/>
  <c r="N97" i="2"/>
  <c r="O97" i="2"/>
  <c r="M98" i="2"/>
  <c r="N98" i="2"/>
  <c r="O98" i="2"/>
  <c r="M99" i="2"/>
  <c r="N99" i="2"/>
  <c r="O99" i="2"/>
  <c r="M100" i="2"/>
  <c r="N100" i="2"/>
  <c r="O100" i="2"/>
  <c r="M101" i="2"/>
  <c r="N101" i="2"/>
  <c r="O101" i="2"/>
  <c r="M102" i="2"/>
  <c r="N102" i="2"/>
  <c r="O102" i="2"/>
  <c r="M103" i="2"/>
  <c r="N103" i="2"/>
  <c r="O103" i="2"/>
  <c r="M104" i="2"/>
  <c r="N104" i="2"/>
  <c r="O104" i="2"/>
  <c r="M105" i="2"/>
  <c r="N105" i="2"/>
  <c r="O105" i="2"/>
  <c r="M106" i="2"/>
  <c r="N106" i="2"/>
  <c r="O106" i="2"/>
  <c r="M107" i="2"/>
  <c r="N107" i="2"/>
  <c r="O107" i="2"/>
  <c r="M108" i="2"/>
  <c r="N108" i="2"/>
  <c r="O108" i="2"/>
  <c r="M109" i="2"/>
  <c r="N109" i="2"/>
  <c r="O109" i="2"/>
  <c r="M110" i="2"/>
  <c r="N110" i="2"/>
  <c r="O110" i="2"/>
  <c r="M111" i="2"/>
  <c r="N111" i="2"/>
  <c r="O111" i="2"/>
  <c r="M112" i="2"/>
  <c r="N112" i="2"/>
  <c r="O112" i="2"/>
  <c r="M113" i="2"/>
  <c r="N113" i="2"/>
  <c r="O113" i="2"/>
  <c r="M114" i="2"/>
  <c r="N114" i="2"/>
  <c r="O114" i="2"/>
  <c r="M115" i="2"/>
  <c r="N115" i="2"/>
  <c r="O115" i="2"/>
  <c r="M116" i="2"/>
  <c r="N116" i="2"/>
  <c r="O116" i="2"/>
  <c r="M117" i="2"/>
  <c r="N117" i="2"/>
  <c r="O117" i="2"/>
  <c r="M118" i="2"/>
  <c r="N118" i="2"/>
  <c r="O118" i="2"/>
  <c r="M119" i="2"/>
  <c r="N119" i="2"/>
  <c r="O119" i="2"/>
  <c r="M120" i="2"/>
  <c r="N120" i="2"/>
  <c r="O120" i="2"/>
  <c r="M121" i="2"/>
  <c r="N121" i="2"/>
  <c r="O121" i="2"/>
  <c r="M122" i="2"/>
  <c r="N122" i="2"/>
  <c r="O122" i="2"/>
  <c r="M123" i="2"/>
  <c r="N123" i="2"/>
  <c r="O123" i="2"/>
  <c r="M124" i="2"/>
  <c r="N124" i="2"/>
  <c r="O124" i="2"/>
  <c r="M125" i="2"/>
  <c r="N125" i="2"/>
  <c r="O125" i="2"/>
  <c r="M126" i="2"/>
  <c r="N126" i="2"/>
  <c r="O126" i="2"/>
  <c r="M127" i="2"/>
  <c r="N127" i="2"/>
  <c r="O127" i="2"/>
  <c r="M128" i="2"/>
  <c r="N128" i="2"/>
  <c r="O128" i="2"/>
  <c r="M129" i="2"/>
  <c r="N129" i="2"/>
  <c r="O129" i="2"/>
  <c r="M130" i="2"/>
  <c r="N130" i="2"/>
  <c r="O130" i="2"/>
  <c r="M131" i="2"/>
  <c r="N131" i="2"/>
  <c r="O131" i="2"/>
  <c r="M132" i="2"/>
  <c r="N132" i="2"/>
  <c r="O132" i="2"/>
  <c r="M133" i="2"/>
  <c r="N133" i="2"/>
  <c r="O133" i="2"/>
  <c r="M134" i="2"/>
  <c r="N134" i="2"/>
  <c r="O134" i="2"/>
  <c r="M135" i="2"/>
  <c r="N135" i="2"/>
  <c r="O135" i="2"/>
  <c r="M136" i="2"/>
  <c r="N136" i="2"/>
  <c r="O136" i="2"/>
  <c r="M137" i="2"/>
  <c r="N137" i="2"/>
  <c r="O137" i="2"/>
  <c r="M138" i="2"/>
  <c r="N138" i="2"/>
  <c r="O138" i="2"/>
  <c r="M139" i="2"/>
  <c r="N139" i="2"/>
  <c r="O139" i="2"/>
  <c r="M140" i="2"/>
  <c r="N140" i="2"/>
  <c r="O140" i="2"/>
  <c r="M141" i="2"/>
  <c r="N141" i="2"/>
  <c r="O141" i="2"/>
  <c r="M142" i="2"/>
  <c r="N142" i="2"/>
  <c r="O142" i="2"/>
  <c r="M143" i="2"/>
  <c r="N143" i="2"/>
  <c r="O143" i="2"/>
  <c r="M144" i="2"/>
  <c r="N144" i="2"/>
  <c r="O144" i="2"/>
  <c r="M145" i="2"/>
  <c r="N145" i="2"/>
  <c r="O145" i="2"/>
  <c r="M146" i="2"/>
  <c r="N146" i="2"/>
  <c r="O146" i="2"/>
  <c r="M147" i="2"/>
  <c r="N147" i="2"/>
  <c r="O147" i="2"/>
  <c r="M148" i="2"/>
  <c r="N148" i="2"/>
  <c r="O148" i="2"/>
  <c r="M149" i="2"/>
  <c r="N149" i="2"/>
  <c r="O149" i="2"/>
  <c r="M150" i="2"/>
  <c r="N150" i="2"/>
  <c r="O150" i="2"/>
  <c r="M151" i="2"/>
  <c r="N151" i="2"/>
  <c r="O151" i="2"/>
  <c r="M152" i="2"/>
  <c r="N152" i="2"/>
  <c r="O152" i="2"/>
  <c r="M153" i="2"/>
  <c r="N153" i="2"/>
  <c r="O153" i="2"/>
  <c r="M154" i="2"/>
  <c r="N154" i="2"/>
  <c r="O154" i="2"/>
  <c r="M155" i="2"/>
  <c r="N155" i="2"/>
  <c r="O155" i="2"/>
  <c r="M156" i="2"/>
  <c r="N156" i="2"/>
  <c r="O156" i="2"/>
  <c r="M157" i="2"/>
  <c r="N157" i="2"/>
  <c r="O157" i="2"/>
  <c r="M158" i="2"/>
  <c r="N158" i="2"/>
  <c r="O158" i="2"/>
  <c r="M159" i="2"/>
  <c r="N159" i="2"/>
  <c r="O159" i="2"/>
  <c r="M160" i="2"/>
  <c r="N160" i="2"/>
  <c r="O160" i="2"/>
  <c r="M161" i="2"/>
  <c r="N161" i="2"/>
  <c r="O161" i="2"/>
  <c r="M162" i="2"/>
  <c r="N162" i="2"/>
  <c r="O162" i="2"/>
  <c r="M163" i="2"/>
  <c r="N163" i="2"/>
  <c r="O163" i="2"/>
  <c r="M164" i="2"/>
  <c r="N164" i="2"/>
  <c r="O164" i="2"/>
  <c r="M165" i="2"/>
  <c r="N165" i="2"/>
  <c r="O165" i="2"/>
  <c r="M166" i="2"/>
  <c r="N166" i="2"/>
  <c r="O166" i="2"/>
  <c r="M167" i="2"/>
  <c r="N167" i="2"/>
  <c r="O167" i="2"/>
  <c r="M168" i="2"/>
  <c r="N168" i="2"/>
  <c r="O168" i="2"/>
  <c r="M169" i="2"/>
  <c r="N169" i="2"/>
  <c r="O169" i="2"/>
  <c r="M170" i="2"/>
  <c r="N170" i="2"/>
  <c r="O170" i="2"/>
  <c r="M171" i="2"/>
  <c r="N171" i="2"/>
  <c r="O171" i="2"/>
  <c r="M172" i="2"/>
  <c r="N172" i="2"/>
  <c r="O172" i="2"/>
  <c r="M173" i="2"/>
  <c r="N173" i="2"/>
  <c r="O173" i="2"/>
  <c r="M174" i="2"/>
  <c r="N174" i="2"/>
  <c r="O174" i="2"/>
  <c r="M175" i="2"/>
  <c r="N175" i="2"/>
  <c r="O175" i="2"/>
  <c r="M176" i="2"/>
  <c r="N176" i="2"/>
  <c r="O176" i="2"/>
  <c r="M177" i="2"/>
  <c r="N177" i="2"/>
  <c r="O177" i="2"/>
  <c r="M178" i="2"/>
  <c r="N178" i="2"/>
  <c r="O178" i="2"/>
  <c r="M179" i="2"/>
  <c r="N179" i="2"/>
  <c r="O179" i="2"/>
  <c r="M180" i="2"/>
  <c r="N180" i="2"/>
  <c r="O180" i="2"/>
  <c r="M181" i="2"/>
  <c r="N181" i="2"/>
  <c r="O181" i="2"/>
  <c r="M182" i="2"/>
  <c r="N182" i="2"/>
  <c r="O182" i="2"/>
  <c r="M183" i="2"/>
  <c r="N183" i="2"/>
  <c r="O183" i="2"/>
  <c r="M184" i="2"/>
  <c r="N184" i="2"/>
  <c r="O184" i="2"/>
  <c r="M185" i="2"/>
  <c r="N185" i="2"/>
  <c r="O185" i="2"/>
  <c r="M186" i="2"/>
  <c r="N186" i="2"/>
  <c r="O186" i="2"/>
  <c r="M187" i="2"/>
  <c r="N187" i="2"/>
  <c r="O187" i="2"/>
  <c r="M188" i="2"/>
  <c r="N188" i="2"/>
  <c r="O188" i="2"/>
  <c r="M189" i="2"/>
  <c r="N189" i="2"/>
  <c r="O189" i="2"/>
  <c r="M190" i="2"/>
  <c r="N190" i="2"/>
  <c r="O190" i="2"/>
  <c r="M191" i="2"/>
  <c r="N191" i="2"/>
  <c r="O191" i="2"/>
  <c r="M192" i="2"/>
  <c r="N192" i="2"/>
  <c r="O192" i="2"/>
  <c r="M193" i="2"/>
  <c r="N193" i="2"/>
  <c r="O193" i="2"/>
  <c r="M194" i="2"/>
  <c r="N194" i="2"/>
  <c r="O194" i="2"/>
  <c r="M195" i="2"/>
  <c r="N195" i="2"/>
  <c r="O195" i="2"/>
  <c r="M196" i="2"/>
  <c r="N196" i="2"/>
  <c r="O196" i="2"/>
  <c r="M197" i="2"/>
  <c r="N197" i="2"/>
  <c r="O197" i="2"/>
  <c r="M198" i="2"/>
  <c r="N198" i="2"/>
  <c r="O198" i="2"/>
  <c r="M199" i="2"/>
  <c r="N199" i="2"/>
  <c r="O199" i="2"/>
  <c r="M200" i="2"/>
  <c r="N200" i="2"/>
  <c r="O200" i="2"/>
  <c r="M201" i="2"/>
  <c r="N201" i="2"/>
  <c r="O201" i="2"/>
  <c r="M202" i="2"/>
  <c r="N202" i="2"/>
  <c r="O202" i="2"/>
  <c r="M203" i="2"/>
  <c r="N203" i="2"/>
  <c r="O203" i="2"/>
  <c r="M204" i="2"/>
  <c r="N204" i="2"/>
  <c r="O204" i="2"/>
  <c r="M205" i="2"/>
  <c r="N205" i="2"/>
  <c r="O205" i="2"/>
  <c r="M206" i="2"/>
  <c r="N206" i="2"/>
  <c r="O206" i="2"/>
  <c r="M207" i="2"/>
  <c r="N207" i="2"/>
  <c r="O207" i="2"/>
  <c r="M208" i="2"/>
  <c r="N208" i="2"/>
  <c r="O208" i="2"/>
  <c r="M209" i="2"/>
  <c r="N209" i="2"/>
  <c r="O209" i="2"/>
  <c r="M210" i="2"/>
  <c r="N210" i="2"/>
  <c r="O210" i="2"/>
  <c r="M211" i="2"/>
  <c r="N211" i="2"/>
  <c r="O211" i="2"/>
  <c r="M212" i="2"/>
  <c r="N212" i="2"/>
  <c r="O212" i="2"/>
  <c r="M213" i="2"/>
  <c r="N213" i="2"/>
  <c r="O213" i="2"/>
  <c r="M214" i="2"/>
  <c r="N214" i="2"/>
  <c r="O214" i="2"/>
  <c r="M215" i="2"/>
  <c r="N215" i="2"/>
  <c r="O215" i="2"/>
  <c r="M216" i="2"/>
  <c r="N216" i="2"/>
  <c r="O216" i="2"/>
  <c r="M217" i="2"/>
  <c r="N217" i="2"/>
  <c r="O217" i="2"/>
  <c r="M218" i="2"/>
  <c r="N218" i="2"/>
  <c r="O218" i="2"/>
  <c r="M219" i="2"/>
  <c r="N219" i="2"/>
  <c r="O219" i="2"/>
  <c r="M220" i="2"/>
  <c r="N220" i="2"/>
  <c r="O220" i="2"/>
  <c r="M221" i="2"/>
  <c r="N221" i="2"/>
  <c r="O221" i="2"/>
  <c r="M222" i="2"/>
  <c r="N222" i="2"/>
  <c r="O222" i="2"/>
  <c r="M223" i="2"/>
  <c r="N223" i="2"/>
  <c r="O223" i="2"/>
  <c r="M224" i="2"/>
  <c r="N224" i="2"/>
  <c r="O224" i="2"/>
  <c r="M225" i="2"/>
  <c r="N225" i="2"/>
  <c r="O225" i="2"/>
  <c r="M226" i="2"/>
  <c r="N226" i="2"/>
  <c r="O226" i="2"/>
  <c r="M227" i="2"/>
  <c r="N227" i="2"/>
  <c r="O227" i="2"/>
  <c r="M228" i="2"/>
  <c r="N228" i="2"/>
  <c r="O228" i="2"/>
  <c r="M229" i="2"/>
  <c r="N229" i="2"/>
  <c r="O229" i="2"/>
  <c r="M230" i="2"/>
  <c r="N230" i="2"/>
  <c r="O230" i="2"/>
  <c r="M231" i="2"/>
  <c r="N231" i="2"/>
  <c r="O231" i="2"/>
  <c r="M232" i="2"/>
  <c r="N232" i="2"/>
  <c r="O232" i="2"/>
  <c r="M233" i="2"/>
  <c r="N233" i="2"/>
  <c r="O233" i="2"/>
  <c r="M234" i="2"/>
  <c r="N234" i="2"/>
  <c r="O234" i="2"/>
  <c r="M235" i="2"/>
  <c r="N235" i="2"/>
  <c r="O235" i="2"/>
  <c r="M236" i="2"/>
  <c r="N236" i="2"/>
  <c r="O236" i="2"/>
  <c r="M237" i="2"/>
  <c r="N237" i="2"/>
  <c r="O237" i="2"/>
  <c r="M238" i="2"/>
  <c r="N238" i="2"/>
  <c r="O238" i="2"/>
  <c r="M239" i="2"/>
  <c r="N239" i="2"/>
  <c r="O239" i="2"/>
  <c r="M240" i="2"/>
  <c r="N240" i="2"/>
  <c r="O240" i="2"/>
  <c r="M241" i="2"/>
  <c r="N241" i="2"/>
  <c r="O241" i="2"/>
  <c r="M242" i="2"/>
  <c r="N242" i="2"/>
  <c r="O242" i="2"/>
  <c r="M243" i="2"/>
  <c r="N243" i="2"/>
  <c r="O243" i="2"/>
  <c r="M244" i="2"/>
  <c r="N244" i="2"/>
  <c r="O244" i="2"/>
  <c r="M245" i="2"/>
  <c r="N245" i="2"/>
  <c r="O245" i="2"/>
  <c r="M246" i="2"/>
  <c r="N246" i="2"/>
  <c r="O246" i="2"/>
  <c r="M247" i="2"/>
  <c r="N247" i="2"/>
  <c r="O247" i="2"/>
  <c r="M248" i="2"/>
  <c r="N248" i="2"/>
  <c r="O248" i="2"/>
  <c r="M249" i="2"/>
  <c r="N249" i="2"/>
  <c r="O249" i="2"/>
  <c r="M250" i="2"/>
  <c r="N250" i="2"/>
  <c r="O250" i="2"/>
  <c r="M251" i="2"/>
  <c r="N251" i="2"/>
  <c r="O251" i="2"/>
  <c r="M252" i="2"/>
  <c r="N252" i="2"/>
  <c r="O252" i="2"/>
  <c r="M253" i="2"/>
  <c r="N253" i="2"/>
  <c r="O253" i="2"/>
  <c r="M254" i="2"/>
  <c r="N254" i="2"/>
  <c r="O254" i="2"/>
  <c r="M255" i="2"/>
  <c r="N255" i="2"/>
  <c r="O255" i="2"/>
  <c r="M256" i="2"/>
  <c r="N256" i="2"/>
  <c r="O256" i="2"/>
  <c r="M257" i="2"/>
  <c r="N257" i="2"/>
  <c r="O257" i="2"/>
  <c r="M258" i="2"/>
  <c r="N258" i="2"/>
  <c r="O258" i="2"/>
  <c r="M259" i="2"/>
  <c r="N259" i="2"/>
  <c r="O259" i="2"/>
  <c r="M260" i="2"/>
  <c r="N260" i="2"/>
  <c r="O260" i="2"/>
  <c r="M261" i="2"/>
  <c r="N261" i="2"/>
  <c r="O261" i="2"/>
  <c r="M262" i="2"/>
  <c r="N262" i="2"/>
  <c r="O262" i="2"/>
  <c r="M263" i="2"/>
  <c r="N263" i="2"/>
  <c r="O263" i="2"/>
  <c r="M264" i="2"/>
  <c r="N264" i="2"/>
  <c r="O264" i="2"/>
  <c r="M265" i="2"/>
  <c r="N265" i="2"/>
  <c r="O265" i="2"/>
  <c r="M266" i="2"/>
  <c r="N266" i="2"/>
  <c r="O266" i="2"/>
  <c r="M267" i="2"/>
  <c r="N267" i="2"/>
  <c r="O267" i="2"/>
  <c r="M268" i="2"/>
  <c r="N268" i="2"/>
  <c r="O268" i="2"/>
  <c r="M269" i="2"/>
  <c r="N269" i="2"/>
  <c r="O269" i="2"/>
  <c r="M270" i="2"/>
  <c r="N270" i="2"/>
  <c r="O270" i="2"/>
  <c r="M271" i="2"/>
  <c r="N271" i="2"/>
  <c r="O271" i="2"/>
  <c r="M272" i="2"/>
  <c r="N272" i="2"/>
  <c r="O272" i="2"/>
  <c r="M273" i="2"/>
  <c r="N273" i="2"/>
  <c r="O273" i="2"/>
  <c r="M274" i="2"/>
  <c r="N274" i="2"/>
  <c r="O274" i="2"/>
  <c r="M275" i="2"/>
  <c r="N275" i="2"/>
  <c r="O275" i="2"/>
  <c r="M276" i="2"/>
  <c r="N276" i="2"/>
  <c r="O276" i="2"/>
  <c r="M277" i="2"/>
  <c r="N277" i="2"/>
  <c r="O277" i="2"/>
  <c r="M278" i="2"/>
  <c r="N278" i="2"/>
  <c r="O278" i="2"/>
  <c r="M279" i="2"/>
  <c r="N279" i="2"/>
  <c r="O279" i="2"/>
  <c r="M280" i="2"/>
  <c r="N280" i="2"/>
  <c r="O280" i="2"/>
  <c r="M281" i="2"/>
  <c r="N281" i="2"/>
  <c r="O281" i="2"/>
  <c r="M282" i="2"/>
  <c r="N282" i="2"/>
  <c r="O282" i="2"/>
  <c r="M283" i="2"/>
  <c r="N283" i="2"/>
  <c r="O283" i="2"/>
  <c r="M284" i="2"/>
  <c r="N284" i="2"/>
  <c r="O284" i="2"/>
  <c r="M285" i="2"/>
  <c r="N285" i="2"/>
  <c r="O285" i="2"/>
  <c r="M286" i="2"/>
  <c r="N286" i="2"/>
  <c r="O286" i="2"/>
  <c r="M287" i="2"/>
  <c r="N287" i="2"/>
  <c r="O287" i="2"/>
  <c r="M288" i="2"/>
  <c r="N288" i="2"/>
  <c r="O288" i="2"/>
  <c r="M289" i="2"/>
  <c r="N289" i="2"/>
  <c r="O289" i="2"/>
  <c r="M290" i="2"/>
  <c r="N290" i="2"/>
  <c r="O290" i="2"/>
  <c r="M291" i="2"/>
  <c r="N291" i="2"/>
  <c r="O291" i="2"/>
  <c r="M292" i="2"/>
  <c r="N292" i="2"/>
  <c r="O292" i="2"/>
  <c r="M293" i="2"/>
  <c r="N293" i="2"/>
  <c r="O293" i="2"/>
  <c r="M294" i="2"/>
  <c r="N294" i="2"/>
  <c r="O294" i="2"/>
  <c r="M295" i="2"/>
  <c r="N295" i="2"/>
  <c r="O295" i="2"/>
  <c r="M296" i="2"/>
  <c r="N296" i="2"/>
  <c r="O296" i="2"/>
  <c r="M297" i="2"/>
  <c r="N297" i="2"/>
  <c r="O297" i="2"/>
  <c r="M298" i="2"/>
  <c r="N298" i="2"/>
  <c r="O298" i="2"/>
  <c r="M299" i="2"/>
  <c r="N299" i="2"/>
  <c r="O299" i="2"/>
  <c r="M300" i="2"/>
  <c r="N300" i="2"/>
  <c r="O300" i="2"/>
  <c r="M301" i="2"/>
  <c r="N301" i="2"/>
  <c r="O301" i="2"/>
  <c r="M302" i="2"/>
  <c r="N302" i="2"/>
  <c r="O302" i="2"/>
  <c r="M303" i="2"/>
  <c r="N303" i="2"/>
  <c r="O303" i="2"/>
  <c r="M304" i="2"/>
  <c r="N304" i="2"/>
  <c r="O304" i="2"/>
  <c r="M305" i="2"/>
  <c r="N305" i="2"/>
  <c r="O305" i="2"/>
  <c r="M306" i="2"/>
  <c r="N306" i="2"/>
  <c r="O306" i="2"/>
  <c r="J1637" i="1" l="1"/>
  <c r="M1637" i="1" s="1"/>
  <c r="J1638" i="1"/>
  <c r="M1638" i="1" s="1"/>
  <c r="J1639" i="1"/>
  <c r="M1639" i="1" s="1"/>
  <c r="J1640" i="1"/>
  <c r="J1641" i="1"/>
  <c r="M1641" i="1" s="1"/>
  <c r="J1642" i="1"/>
  <c r="M1642" i="1" s="1"/>
  <c r="J1643" i="1"/>
  <c r="M1643" i="1" s="1"/>
  <c r="J1644" i="1"/>
  <c r="M1644" i="1" s="1"/>
  <c r="J1645" i="1"/>
  <c r="M1645" i="1" s="1"/>
  <c r="J1646" i="1"/>
  <c r="M1646" i="1" s="1"/>
  <c r="J1647" i="1"/>
  <c r="M1647" i="1" s="1"/>
  <c r="J1648" i="1"/>
  <c r="M1648" i="1" s="1"/>
  <c r="J1649" i="1"/>
  <c r="M1649" i="1" s="1"/>
  <c r="J1650" i="1"/>
  <c r="M1650" i="1" s="1"/>
  <c r="J1651" i="1"/>
  <c r="M1651" i="1" s="1"/>
  <c r="J1652" i="1"/>
  <c r="M1652" i="1" s="1"/>
  <c r="J1653" i="1"/>
  <c r="M1653" i="1" s="1"/>
  <c r="J1654" i="1"/>
  <c r="M1654" i="1" s="1"/>
  <c r="J1655" i="1"/>
  <c r="M1655" i="1" s="1"/>
  <c r="J1656" i="1"/>
  <c r="M1656" i="1" s="1"/>
  <c r="J1657" i="1"/>
  <c r="M1657" i="1" s="1"/>
  <c r="J1658" i="1"/>
  <c r="M1658" i="1" s="1"/>
  <c r="J1659" i="1"/>
  <c r="M1659" i="1" s="1"/>
  <c r="J1660" i="1"/>
  <c r="M1660" i="1" s="1"/>
  <c r="J1661" i="1"/>
  <c r="M1661" i="1" s="1"/>
  <c r="J1662" i="1"/>
  <c r="M1662" i="1" s="1"/>
  <c r="J1663" i="1"/>
  <c r="M1663" i="1" s="1"/>
  <c r="J1664" i="1"/>
  <c r="M1664" i="1" s="1"/>
  <c r="J1665" i="1"/>
  <c r="M1665" i="1" s="1"/>
  <c r="J1666" i="1"/>
  <c r="M1666" i="1" s="1"/>
  <c r="J1667" i="1"/>
  <c r="M1667" i="1" s="1"/>
  <c r="J1668" i="1"/>
  <c r="M1668" i="1" s="1"/>
  <c r="J1669" i="1"/>
  <c r="M1669" i="1" s="1"/>
  <c r="J1670" i="1"/>
  <c r="M1670" i="1" s="1"/>
  <c r="J1671" i="1"/>
  <c r="M1671" i="1" s="1"/>
  <c r="J1672" i="1"/>
  <c r="M1672" i="1" s="1"/>
  <c r="J1673" i="1"/>
  <c r="M1673" i="1" s="1"/>
  <c r="J1674" i="1"/>
  <c r="M1674" i="1" s="1"/>
  <c r="J1675" i="1"/>
  <c r="M1675" i="1" s="1"/>
  <c r="J1676" i="1"/>
  <c r="M1676" i="1" s="1"/>
  <c r="J1677" i="1"/>
  <c r="M1677" i="1" s="1"/>
  <c r="J1678" i="1"/>
  <c r="M1678" i="1" s="1"/>
  <c r="J1679" i="1"/>
  <c r="M1679" i="1" s="1"/>
  <c r="J1680" i="1"/>
  <c r="M1680" i="1" s="1"/>
  <c r="J1681" i="1"/>
  <c r="M1681" i="1" s="1"/>
  <c r="J1682" i="1"/>
  <c r="M1682" i="1" s="1"/>
  <c r="J1683" i="1"/>
  <c r="M1683" i="1" s="1"/>
  <c r="J1684" i="1"/>
  <c r="M1684" i="1" s="1"/>
  <c r="J1685" i="1"/>
  <c r="M1685" i="1" s="1"/>
  <c r="J1686" i="1"/>
  <c r="M1686" i="1" s="1"/>
  <c r="J1687" i="1"/>
  <c r="M1687" i="1" s="1"/>
  <c r="J1688" i="1"/>
  <c r="M1688" i="1" s="1"/>
  <c r="J1689" i="1"/>
  <c r="M1689" i="1" s="1"/>
  <c r="J1690" i="1"/>
  <c r="M1690" i="1" s="1"/>
  <c r="J1691" i="1"/>
  <c r="M1691" i="1" s="1"/>
  <c r="J1692" i="1"/>
  <c r="M1692" i="1" s="1"/>
  <c r="J1693" i="1"/>
  <c r="M1693" i="1" s="1"/>
  <c r="J1694" i="1"/>
  <c r="M1694" i="1" s="1"/>
  <c r="J1695" i="1"/>
  <c r="M1695" i="1" s="1"/>
  <c r="J1696" i="1"/>
  <c r="M1696" i="1" s="1"/>
  <c r="J1697" i="1"/>
  <c r="M1697" i="1" s="1"/>
  <c r="J1698" i="1"/>
  <c r="M1698" i="1" s="1"/>
  <c r="J1699" i="1"/>
  <c r="M1699" i="1" s="1"/>
  <c r="J1700" i="1"/>
  <c r="M1700" i="1" s="1"/>
  <c r="J1701" i="1"/>
  <c r="M1701" i="1" s="1"/>
  <c r="J1702" i="1"/>
  <c r="M1702" i="1" s="1"/>
  <c r="J1703" i="1"/>
  <c r="M1703" i="1" s="1"/>
  <c r="J1704" i="1"/>
  <c r="M1704" i="1" s="1"/>
  <c r="J1705" i="1"/>
  <c r="M1705" i="1" s="1"/>
  <c r="J1706" i="1"/>
  <c r="M1706" i="1" s="1"/>
  <c r="J1707" i="1"/>
  <c r="M1707" i="1" s="1"/>
  <c r="J1708" i="1"/>
  <c r="M1708" i="1" s="1"/>
  <c r="J1709" i="1"/>
  <c r="M1709" i="1" s="1"/>
  <c r="J1710" i="1"/>
  <c r="M1710" i="1" s="1"/>
  <c r="J1711" i="1"/>
  <c r="M1711" i="1" s="1"/>
  <c r="J1712" i="1"/>
  <c r="M1712" i="1" s="1"/>
  <c r="J1713" i="1"/>
  <c r="M1713" i="1" s="1"/>
  <c r="J1714" i="1"/>
  <c r="M1714" i="1" s="1"/>
  <c r="J1715" i="1"/>
  <c r="M1715" i="1" s="1"/>
  <c r="J1716" i="1"/>
  <c r="M1716" i="1" s="1"/>
  <c r="J1717" i="1"/>
  <c r="M1717" i="1" s="1"/>
  <c r="J1718" i="1"/>
  <c r="M1718" i="1" s="1"/>
  <c r="J1719" i="1"/>
  <c r="M1719" i="1" s="1"/>
  <c r="M1640" i="1"/>
  <c r="J840" i="1" l="1"/>
  <c r="J841" i="1"/>
  <c r="J842" i="1"/>
  <c r="J791" i="1" l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O2" i="2" l="1"/>
  <c r="N2" i="2" l="1"/>
  <c r="M2" i="2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</calcChain>
</file>

<file path=xl/connections.xml><?xml version="1.0" encoding="utf-8"?>
<connections xmlns="http://schemas.openxmlformats.org/spreadsheetml/2006/main">
  <connection id="1" name="localization.org" type="4" refreshedVersion="0" deleted="1" background="1">
    <webPr xml="1" sourceData="1" parsePre="1" consecutive="1" url="D:\Game Center\Steam\SteamApps\common\Crypt of the NecroDancer\mods\Simplified Chinese\languages\english\localization.org.xml" htmlTables="1"/>
  </connection>
  <connection id="2" name="文本翻译对照表" type="6" refreshedVersion="6" background="1" refreshOnLoad="1" saveData="1">
    <textPr codePage="936" sourceFile="D:\Game Center\Steam\SteamApps\common\Crypt of the NecroDancer\english.git\文本翻译对照表.CSV" tab="0" comma="1">
      <textFields count="4">
        <textField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<sst xmlns="http://schemas.openxmlformats.org/spreadsheetml/2006/main" count="12767" uniqueCount="4735">
  <si>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</si>
  <si>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</si>
  <si>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</si>
  <si>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</si>
  <si>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</si>
  <si>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</si>
  <si>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</si>
  <si>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</si>
  <si>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</si>
  <si>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</si>
  <si>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</si>
  <si>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</si>
  <si>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</si>
  <si>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</si>
  <si>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</si>
  <si>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</si>
  <si>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</si>
  <si>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</si>
  <si>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</si>
  <si>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</si>
  <si>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</si>
  <si>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</si>
  <si>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</si>
  <si>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</si>
  <si>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</si>
  <si>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</si>
  <si>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</si>
  <si>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</si>
  <si>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</si>
  <si>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</si>
  <si>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</si>
  <si>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</si>
  <si>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</si>
  <si>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</si>
  <si>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</si>
  <si>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</si>
  <si>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</si>
  <si>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</si>
  <si>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</si>
  <si>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</si>
  <si>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</si>
  <si>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</si>
  <si>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</si>
  <si>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</si>
  <si>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</si>
  <si>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</si>
  <si>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</si>
  <si>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</si>
  <si>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</si>
  <si>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</si>
  <si>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</si>
  <si>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</si>
  <si>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</si>
  <si>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</si>
  <si>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</si>
  <si>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</si>
  <si>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</si>
  <si>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</si>
  <si>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</si>
  <si>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</si>
  <si>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</si>
  <si>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</si>
  <si>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</si>
  <si>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</si>
  <si>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</si>
  <si>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</si>
  <si>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</si>
  <si>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</si>
  <si>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</si>
  <si>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</si>
  <si>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</si>
  <si>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</si>
  <si>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</si>
  <si>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</si>
  <si>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</si>
  <si>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</si>
  <si>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</si>
  <si>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</si>
  <si>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</si>
  <si>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</si>
  <si>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</si>
  <si>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</si>
  <si>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</si>
  <si>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</si>
  <si>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</si>
  <si>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</si>
  <si>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</si>
  <si>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</si>
  <si>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</si>
  <si>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</si>
  <si>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</si>
  <si>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</si>
  <si>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</si>
  <si>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</si>
  <si>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</si>
  <si>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</si>
  <si>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</si>
  <si>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</si>
  <si>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</si>
  <si>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</si>
  <si>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</si>
  <si>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</si>
  <si>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</si>
  <si>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</si>
  <si>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</si>
  <si>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</si>
  <si>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</si>
  <si>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</si>
  <si>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</si>
  <si>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</si>
  <si>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</si>
  <si>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</si>
  <si>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</si>
  <si>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</si>
  <si>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</si>
  <si>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</si>
  <si>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</si>
  <si>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</si>
  <si>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</si>
  <si>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</si>
  <si>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</si>
  <si>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</si>
  <si>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</si>
  <si>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</si>
  <si>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</si>
  <si>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</si>
  <si>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</si>
  <si>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</si>
  <si>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</si>
  <si>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</si>
  <si>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</si>
  <si>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</si>
  <si>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</si>
  <si>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</si>
  <si>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</si>
  <si>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</si>
  <si>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</si>
  <si>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</si>
  <si>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</si>
  <si>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</si>
  <si>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</si>
  <si>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</si>
  <si>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</si>
  <si>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</si>
  <si>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</si>
  <si>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</si>
  <si>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</si>
  <si>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</si>
  <si>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</si>
  <si>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</si>
  <si>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</si>
  <si>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</si>
  <si>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</si>
  <si>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</si>
  <si>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</si>
  <si>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</si>
  <si>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</si>
  <si>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</si>
  <si>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</si>
  <si>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</si>
  <si>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</si>
  <si>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</si>
  <si>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</si>
  <si>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</si>
  <si>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</si>
  <si>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</si>
  <si>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</si>
  <si>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</si>
  <si>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</si>
  <si>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</si>
  <si>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</si>
  <si>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</si>
  <si>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</si>
  <si>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</si>
  <si>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</si>
  <si>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</si>
  <si>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</si>
  <si>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</si>
  <si>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</si>
  <si>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</si>
  <si>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</si>
  <si>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</si>
  <si>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</si>
  <si>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</si>
  <si>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</si>
  <si>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</si>
  <si>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</si>
  <si>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</si>
  <si>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</si>
  <si>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</si>
  <si>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</si>
  <si>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</si>
  <si>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</si>
  <si>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</si>
  <si>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</si>
  <si>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</si>
  <si>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</si>
  <si>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</si>
  <si>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</si>
  <si>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</si>
  <si>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</si>
  <si>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</si>
  <si>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</si>
  <si>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</si>
  <si>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</si>
  <si>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</si>
  <si>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</si>
  <si>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</si>
  <si>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</si>
  <si>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</si>
  <si>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</si>
  <si>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</si>
  <si>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</si>
  <si>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</si>
  <si>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</si>
  <si>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</si>
  <si>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</si>
  <si>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</si>
  <si>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</si>
  <si>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</si>
  <si>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</si>
  <si>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</si>
  <si>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</si>
  <si>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</si>
  <si>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</si>
  <si>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</si>
  <si>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</si>
  <si>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</si>
  <si>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</si>
  <si>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</si>
  <si>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</si>
  <si>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</si>
  <si>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</si>
  <si>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</si>
  <si>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</si>
  <si>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</si>
  <si>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</si>
  <si>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</si>
  <si>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</si>
  <si>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</si>
  <si>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</si>
  <si>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</si>
  <si>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</si>
  <si>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</si>
  <si>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</si>
  <si>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</si>
  <si>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</si>
  <si>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</si>
  <si>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</si>
  <si>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</si>
  <si>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</si>
  <si>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</si>
  <si>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</si>
  <si>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</si>
  <si>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</si>
  <si>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</si>
  <si>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</si>
  <si>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</si>
  <si>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</si>
  <si>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</si>
  <si>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</si>
  <si>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</si>
  <si>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</si>
  <si>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</si>
  <si>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</si>
  <si>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</si>
  <si>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</si>
  <si>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</si>
  <si>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</si>
  <si>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</si>
  <si>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</si>
  <si>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</si>
  <si>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</si>
  <si>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</si>
  <si>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</si>
  <si>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</si>
  <si>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</si>
  <si>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</si>
  <si>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</si>
  <si>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</si>
  <si>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</si>
  <si>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</si>
  <si>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</si>
  <si>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</si>
  <si>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</si>
  <si>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</si>
  <si>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</si>
  <si>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</si>
  <si>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</si>
  <si>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</si>
  <si>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</si>
  <si>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</si>
  <si>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</si>
  <si>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</si>
  <si>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</si>
  <si>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</si>
  <si>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</si>
  <si>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</si>
  <si>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</si>
  <si>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</si>
  <si>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</si>
  <si>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</si>
  <si>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</si>
  <si>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</si>
  <si>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</si>
  <si>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</si>
  <si>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</si>
  <si>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</si>
  <si>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</si>
  <si>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</si>
  <si>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</si>
  <si>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</si>
  <si>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</si>
  <si>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</si>
  <si>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</si>
  <si>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</si>
  <si>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</si>
  <si>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</si>
  <si>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</si>
  <si>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</si>
  <si>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</si>
  <si>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</si>
  <si>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</si>
  <si>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</si>
  <si>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</si>
  <si>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</si>
  <si>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</si>
  <si>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</si>
  <si>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</si>
  <si>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</si>
  <si>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</si>
  <si>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</si>
  <si>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</si>
  <si>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</si>
  <si>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</si>
  <si>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</si>
  <si>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</si>
  <si>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</si>
  <si>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</si>
  <si>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</si>
  <si>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</si>
  <si>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</si>
  <si>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</si>
  <si>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</si>
  <si>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</si>
  <si>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</si>
  <si>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</si>
  <si>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</si>
  <si>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</si>
  <si>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</si>
  <si>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</si>
  <si>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</si>
  <si>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</si>
  <si>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</si>
  <si>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</si>
  <si>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</si>
  <si>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</si>
  <si>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</si>
  <si>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</si>
  <si>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</si>
  <si>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</si>
  <si>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</si>
  <si>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</si>
  <si>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</si>
  <si>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</si>
  <si>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</si>
  <si>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</si>
  <si>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</si>
  <si>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</si>
  <si>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</si>
  <si>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</si>
  <si>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</si>
  <si>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</si>
  <si>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</si>
  <si>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</si>
  <si>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</si>
  <si>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</si>
  <si>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</si>
  <si>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</si>
  <si>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</si>
  <si>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</si>
  <si>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</si>
  <si>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</si>
  <si>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</si>
  <si>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</si>
  <si>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</si>
  <si>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</si>
  <si>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</si>
  <si>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</si>
  <si>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</si>
  <si>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</si>
  <si>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</si>
  <si>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</si>
  <si>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</si>
  <si>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</si>
  <si>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</si>
  <si>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</si>
  <si>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</si>
  <si>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</si>
  <si>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</si>
  <si>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</si>
  <si>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</si>
  <si>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</si>
  <si>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</si>
  <si>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</si>
  <si>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</si>
  <si>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</si>
  <si>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</si>
  <si>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</si>
  <si>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</si>
  <si>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</si>
  <si>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</si>
  <si>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</si>
  <si>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</si>
  <si>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</si>
  <si>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</si>
  <si>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</si>
  <si>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</si>
  <si>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</si>
  <si>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</si>
  <si>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</si>
  <si>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</si>
  <si>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</si>
  <si>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</si>
  <si>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</si>
  <si>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</si>
  <si>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</si>
  <si>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</si>
  <si>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</si>
  <si>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</si>
  <si>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</si>
  <si>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</si>
  <si>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</si>
  <si>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</si>
  <si>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</si>
  <si>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</si>
  <si>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</si>
  <si>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</si>
  <si>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</si>
  <si>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</si>
  <si>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</si>
  <si>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</si>
  <si>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</si>
  <si>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</si>
  <si>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</si>
  <si>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</si>
  <si>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</si>
  <si>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</si>
  <si>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</si>
  <si>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</si>
  <si>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</si>
  <si>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</si>
  <si>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</si>
  <si>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</si>
  <si>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</si>
  <si>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</si>
  <si>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</si>
  <si>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</si>
  <si>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</si>
  <si>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</si>
  <si>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</si>
  <si>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</si>
  <si>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</si>
  <si>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</si>
  <si>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</si>
  <si>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</si>
  <si>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</si>
  <si>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</si>
  <si>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</si>
  <si>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</si>
  <si>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</si>
  <si>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</si>
  <si>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</si>
  <si>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</si>
  <si>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</si>
  <si>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</si>
  <si>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</si>
  <si>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</si>
  <si>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</si>
  <si>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</si>
  <si>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</si>
  <si>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</si>
  <si>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</si>
  <si>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</si>
  <si>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</si>
  <si>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</si>
  <si>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</si>
  <si>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</si>
  <si>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</si>
  <si>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</si>
  <si>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</si>
  <si>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</si>
  <si>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</si>
  <si>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</si>
  <si>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</si>
  <si>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</si>
  <si>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</si>
  <si>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</si>
  <si>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</si>
  <si>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</si>
  <si>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</si>
  <si>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</si>
  <si>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</si>
  <si>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</si>
  <si>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</si>
  <si>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</si>
  <si>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</si>
  <si>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</si>
  <si>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</si>
  <si>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</si>
  <si>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</si>
  <si>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</si>
  <si>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</si>
  <si>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</si>
  <si>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</si>
  <si>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</si>
  <si>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</si>
  <si>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</si>
  <si>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</si>
  <si>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</si>
  <si>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</si>
  <si>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</si>
  <si>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</si>
  <si>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</si>
  <si>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</si>
  <si>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</si>
  <si>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</si>
  <si>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</si>
  <si>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</si>
  <si>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</si>
  <si>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</si>
  <si>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</si>
  <si>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</si>
  <si>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</si>
  <si>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</si>
  <si>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</si>
  <si>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</si>
  <si>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</si>
  <si>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</si>
  <si>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</si>
  <si>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</si>
  <si>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</si>
  <si>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</si>
  <si>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</si>
  <si>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</si>
  <si>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</si>
  <si>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</si>
  <si>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</si>
  <si>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</si>
  <si>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</si>
  <si>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</si>
  <si>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</si>
  <si>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</si>
  <si>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</si>
  <si>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</si>
  <si>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</si>
  <si>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</si>
  <si>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</si>
  <si>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</si>
  <si>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</si>
  <si>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</si>
  <si>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</si>
  <si>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</si>
  <si>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</si>
  <si>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</si>
  <si>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</si>
  <si>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</si>
  <si>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</si>
  <si>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</si>
  <si>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</si>
  <si>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</si>
  <si>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</si>
  <si>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</si>
  <si>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</si>
  <si>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</si>
  <si>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</si>
  <si>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</si>
  <si>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</si>
  <si>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</si>
  <si>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</si>
  <si>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</si>
  <si>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</si>
  <si>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</si>
  <si>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</si>
  <si>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</si>
  <si>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</si>
  <si>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</si>
  <si>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</si>
  <si>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</si>
  <si>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</si>
  <si>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</si>
  <si>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</si>
  <si>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</si>
  <si>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</si>
  <si>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</si>
  <si>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</si>
  <si>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</si>
  <si>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</si>
  <si>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</si>
  <si>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</si>
  <si>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</si>
  <si>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</si>
  <si>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</si>
  <si>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</si>
  <si>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</si>
  <si>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</si>
  <si>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</si>
  <si>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</si>
  <si>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</si>
  <si>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</si>
  <si>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</si>
  <si>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</si>
  <si>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</si>
  <si>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</si>
  <si>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</si>
  <si>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</si>
  <si>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</si>
  <si>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</si>
  <si>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</si>
  <si>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</si>
  <si>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</si>
  <si>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</si>
  <si>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</si>
  <si>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</si>
  <si>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</si>
  <si>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</si>
  <si>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</si>
  <si>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</si>
  <si>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</si>
  <si>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</si>
  <si>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</si>
  <si>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</si>
  <si>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</si>
  <si>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</si>
  <si>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</si>
  <si>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</si>
  <si>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</si>
  <si>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</si>
  <si>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</si>
  <si>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</si>
  <si>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</si>
  <si>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</si>
  <si>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</si>
  <si>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</si>
  <si>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</si>
  <si>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</si>
  <si>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</si>
  <si>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</si>
  <si>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</si>
  <si>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</si>
  <si>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</si>
  <si>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</si>
  <si>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</si>
  <si>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</si>
  <si>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</si>
  <si>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</si>
  <si>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</si>
  <si>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</si>
  <si>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</si>
  <si>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</si>
  <si>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</si>
  <si>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</si>
  <si>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</si>
  <si>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</si>
  <si>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</si>
  <si>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</si>
  <si>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</si>
  <si>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</si>
  <si>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</si>
  <si>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</si>
  <si>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</si>
  <si>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</si>
  <si>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</si>
  <si>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</si>
  <si>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</si>
  <si>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</si>
  <si>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</si>
  <si>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</si>
  <si>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</si>
  <si>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</si>
  <si>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</si>
  <si>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</si>
  <si>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</si>
  <si>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</si>
  <si>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</si>
  <si>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</si>
  <si>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</si>
  <si>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</si>
  <si>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</si>
  <si>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</si>
  <si>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</si>
  <si>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</si>
  <si>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</si>
  <si>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</si>
  <si>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</si>
  <si>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</si>
  <si>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</si>
  <si>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</si>
  <si>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</si>
  <si>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</si>
  <si>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</si>
  <si>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</si>
  <si>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</si>
  <si>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</si>
  <si>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</si>
  <si>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</si>
  <si>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</si>
  <si>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</si>
  <si>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</si>
  <si>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</si>
  <si>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</si>
  <si>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</si>
  <si>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</si>
  <si>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</si>
  <si>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</si>
  <si>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</si>
  <si>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</si>
  <si>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</si>
  <si>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</si>
  <si>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</si>
  <si>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</si>
  <si>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</si>
  <si>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</si>
  <si>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</si>
  <si>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</si>
  <si>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</si>
  <si>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</si>
  <si>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</si>
  <si>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</si>
  <si>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</si>
  <si>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</si>
  <si>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</si>
  <si>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</si>
  <si>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</si>
  <si>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</si>
  <si>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</si>
  <si>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</si>
  <si>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</si>
  <si>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</si>
  <si>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</si>
  <si>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</si>
  <si>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</si>
  <si>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</si>
  <si>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</si>
  <si>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</si>
  <si>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</si>
  <si>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</si>
  <si>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</si>
  <si>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</si>
  <si>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</si>
  <si>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</si>
  <si>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</si>
  <si>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</si>
  <si>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</si>
  <si>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</si>
  <si>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</si>
  <si>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</si>
  <si>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</si>
  <si>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</si>
  <si>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</si>
  <si>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</si>
  <si>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</si>
  <si>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</si>
  <si>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</si>
  <si>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</si>
  <si>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</si>
  <si>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</si>
  <si>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</si>
  <si>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</si>
  <si>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</si>
  <si>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</si>
  <si>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</si>
  <si>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</si>
  <si>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</si>
  <si>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</si>
  <si>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</si>
  <si>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</si>
  <si>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</si>
  <si>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</si>
  <si>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</si>
  <si>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</si>
  <si>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</si>
  <si>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</si>
  <si>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</si>
  <si>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</si>
  <si>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</si>
  <si>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</si>
  <si>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</si>
  <si>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</si>
  <si>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</si>
  <si>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</si>
  <si>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</si>
  <si>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</si>
  <si>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</si>
  <si>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</si>
  <si>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</si>
  <si>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</si>
  <si>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</si>
  <si>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</si>
  <si>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</si>
  <si>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</si>
  <si>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</si>
  <si>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</si>
  <si>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</si>
  <si>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</si>
  <si>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</si>
  <si>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SELECT A LEADERBOARD:</t>
  </si>
  <si>
    <t>DAILY CHALLENGE</t>
  </si>
  <si>
    <t>SEEDED ALL ZONES, SCORE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</si>
  <si>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</si>
  <si>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</si>
  <si>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</si>
  <si>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</si>
  <si>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</si>
  <si>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</si>
  <si>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</si>
  <si>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</si>
  <si>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</si>
  <si>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</si>
  <si>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</si>
  <si>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</si>
  <si>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</si>
  <si>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</si>
  <si>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</si>
  <si>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</si>
  <si>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</si>
  <si>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</si>
  <si>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</si>
  <si>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</si>
  <si>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</si>
  <si>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</si>
  <si>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</si>
  <si>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</si>
  <si>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</si>
  <si>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</si>
  <si>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</si>
  <si>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</si>
  <si>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</si>
  <si>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</si>
  <si>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</si>
  <si>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</si>
  <si>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</si>
  <si>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</si>
  <si>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</si>
  <si>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</si>
  <si>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</si>
  <si>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</si>
  <si>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</si>
  <si>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</si>
  <si>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</si>
  <si>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</si>
  <si>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</si>
  <si>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</si>
  <si>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</si>
  <si>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</si>
  <si>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</si>
  <si>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</si>
  <si>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</si>
  <si>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</si>
  <si>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</si>
  <si>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</si>
  <si>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</si>
  <si>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</si>
  <si>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</si>
  <si>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</si>
  <si>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</si>
  <si>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</si>
  <si>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</si>
  <si>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</si>
  <si>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</si>
  <si>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</si>
  <si>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</si>
  <si>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</si>
  <si>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</si>
  <si>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</si>
  <si>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</si>
  <si>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</si>
  <si>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</si>
  <si>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</si>
  <si>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</si>
  <si>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</si>
  <si>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</si>
  <si>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</si>
  <si>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</si>
  <si>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</si>
  <si>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</si>
  <si>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</si>
  <si>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</si>
  <si>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</si>
  <si>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</si>
  <si>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</si>
  <si>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</si>
  <si>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</si>
  <si>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</si>
  <si>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</si>
  <si>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</si>
  <si>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</si>
  <si>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</si>
  <si>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</si>
  <si>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</si>
  <si>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</si>
  <si>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</si>
  <si>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</si>
  <si>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</si>
  <si>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</si>
  <si>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</si>
  <si>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</si>
  <si>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</si>
  <si>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</si>
  <si>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</si>
  <si>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</si>
  <si>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</si>
  <si>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</si>
  <si>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</si>
  <si>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</si>
  <si>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</si>
  <si>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</si>
  <si>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</si>
  <si>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</si>
  <si>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</si>
  <si>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</si>
  <si>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</si>
  <si>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</si>
  <si>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</si>
  <si>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</si>
  <si>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</si>
  <si>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</si>
  <si>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</si>
  <si>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</si>
  <si>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</si>
  <si>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</si>
  <si>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</si>
  <si>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</si>
  <si>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</si>
  <si>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</si>
  <si>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</si>
  <si>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</si>
  <si>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</si>
  <si>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</si>
  <si>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</si>
  <si>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</si>
  <si>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</si>
  <si>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</si>
  <si>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</si>
  <si>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</si>
  <si>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</si>
  <si>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</si>
  <si>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</si>
  <si>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</si>
  <si>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</si>
  <si>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</si>
  <si>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</si>
  <si>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</si>
  <si>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</si>
  <si>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</si>
  <si>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</si>
  <si>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</si>
  <si>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</si>
  <si>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</si>
  <si>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</si>
  <si>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</si>
  <si>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</si>
  <si>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</si>
  <si>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</si>
  <si>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</si>
  <si>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</si>
  <si>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</si>
  <si>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</si>
  <si>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</si>
  <si>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</si>
  <si>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</si>
  <si>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</si>
  <si>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</si>
  <si>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</si>
  <si>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</si>
  <si>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</si>
  <si>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</si>
  <si>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</si>
  <si>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</si>
  <si>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</si>
  <si>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</si>
  <si>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</si>
  <si>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</si>
  <si>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</si>
  <si>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</si>
  <si>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</si>
  <si>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</si>
  <si>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</si>
  <si>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</si>
  <si>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</si>
  <si>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</si>
  <si>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</si>
  <si>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</si>
  <si>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</si>
  <si>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</si>
  <si>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</si>
  <si>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</si>
  <si>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</si>
  <si>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</si>
  <si>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</si>
  <si>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</si>
  <si>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</si>
  <si>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</si>
  <si>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</si>
  <si>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</si>
  <si>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</si>
  <si>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</si>
  <si>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</si>
  <si>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</si>
  <si>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</si>
  <si>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</si>
  <si>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</si>
  <si>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</si>
  <si>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</si>
  <si>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</si>
  <si>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</si>
  <si>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</si>
  <si>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</si>
  <si>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</si>
  <si>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</si>
  <si>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</si>
  <si>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</si>
  <si>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</si>
  <si>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</si>
  <si>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</si>
  <si>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</si>
  <si>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</si>
  <si>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</si>
  <si>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</si>
  <si>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</si>
  <si>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</si>
  <si>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</si>
  <si>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</si>
  <si>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</si>
  <si>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</si>
  <si>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</si>
  <si>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</si>
  <si>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</si>
  <si>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</si>
  <si>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</si>
  <si>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</si>
  <si>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</si>
  <si>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</si>
  <si>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</si>
  <si>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</si>
  <si>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</si>
  <si>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</si>
  <si>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</si>
  <si>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</si>
  <si>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</si>
  <si>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</si>
  <si>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</si>
  <si>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</si>
  <si>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</si>
  <si>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</si>
  <si>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</si>
  <si>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</si>
  <si>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</si>
  <si>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</si>
  <si>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</si>
  <si>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</si>
  <si>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</si>
  <si>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</si>
  <si>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</si>
  <si>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</si>
  <si>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</si>
  <si>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</si>
  <si>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</si>
  <si>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</si>
  <si>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</si>
  <si>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</si>
  <si>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</si>
  <si>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</si>
  <si>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</si>
  <si>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</si>
  <si>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</si>
  <si>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</si>
  <si>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</si>
  <si>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</si>
  <si>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</si>
  <si>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</si>
  <si>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</si>
  <si>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</si>
  <si>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</si>
  <si>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</si>
  <si>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</si>
  <si>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</si>
  <si>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</si>
  <si>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</si>
  <si>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</si>
  <si>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</si>
  <si>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</si>
  <si>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</si>
  <si>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</si>
  <si>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</si>
  <si>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</si>
  <si>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</si>
  <si>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</si>
  <si>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</si>
  <si>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</si>
  <si>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</si>
  <si>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</si>
  <si>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</si>
  <si>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</si>
  <si>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</si>
  <si>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</si>
  <si>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</si>
  <si>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</si>
  <si>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</si>
  <si>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</si>
  <si>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</si>
  <si>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</si>
  <si>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</si>
  <si>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</si>
  <si>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</si>
  <si>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</si>
  <si>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</si>
  <si>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</si>
  <si>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</si>
  <si>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</si>
  <si>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</si>
  <si>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</si>
  <si>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</si>
  <si>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</si>
  <si>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</si>
  <si>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</si>
  <si>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</si>
  <si>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</si>
  <si>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</si>
  <si>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</si>
  <si>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</si>
  <si>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</si>
  <si>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</si>
  <si>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</si>
  <si>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</si>
  <si>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</si>
  <si>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</si>
  <si>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</si>
  <si>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</si>
  <si>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</si>
  <si>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</si>
  <si>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</si>
  <si>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</si>
  <si>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</si>
  <si>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</si>
  <si>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</si>
  <si>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</si>
  <si>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</si>
  <si>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</si>
  <si>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</si>
  <si>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</si>
  <si>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</si>
  <si>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</si>
  <si>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</si>
  <si>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</si>
  <si>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</si>
  <si>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</si>
  <si>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</si>
  <si>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</si>
  <si>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</si>
  <si>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</si>
  <si>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</si>
  <si>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</si>
  <si>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</si>
  <si>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</si>
  <si>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</si>
  <si>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</si>
  <si>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</si>
  <si>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</si>
  <si>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</si>
  <si>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</si>
  <si>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</si>
  <si>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</si>
  <si>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</si>
  <si>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</si>
  <si>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</si>
  <si>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</si>
  <si>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</si>
  <si>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</si>
  <si>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</si>
  <si>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</si>
  <si>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</si>
  <si>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</si>
  <si>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</si>
  <si>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</si>
  <si>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</si>
  <si>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</si>
  <si>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</si>
  <si>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</si>
  <si>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</si>
  <si>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</si>
  <si>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</si>
  <si>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</si>
  <si>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</si>
  <si>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</si>
  <si>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</si>
  <si>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</si>
  <si>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</si>
  <si>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</si>
  <si>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</si>
  <si>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</si>
  <si>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</si>
  <si>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</si>
  <si>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</si>
  <si>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</si>
  <si>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</si>
  <si>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</si>
  <si>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</si>
  <si>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</si>
  <si>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</si>
  <si>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</si>
  <si>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</si>
  <si>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</si>
  <si>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</si>
  <si>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</si>
  <si>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</si>
  <si>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</si>
  <si>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</si>
  <si>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</si>
  <si>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</si>
  <si>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</si>
  <si>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</si>
  <si>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</si>
  <si>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</si>
  <si>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SEE NECRODANCER.COM/WORKSHOP FOR DETAILS ON MODDING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</si>
  <si>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</si>
  <si>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</si>
  <si>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</si>
  <si>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</si>
  <si>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</si>
  <si>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</si>
  <si>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</si>
  <si>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</si>
  <si>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</si>
  <si>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</si>
  <si>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</si>
  <si>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</si>
  <si>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</si>
  <si>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</si>
  <si>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</si>
  <si>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</si>
  <si>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</si>
  <si>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</si>
  <si>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</si>
  <si>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</si>
  <si>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</si>
  <si>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</si>
  <si>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</si>
  <si>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</si>
  <si>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</si>
  <si>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</si>
  <si>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</si>
  <si>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</si>
  <si>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</si>
  <si>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更换音乐</t>
  </si>
  <si>
    <t>red</t>
    <phoneticPr fontId="1" type="noConversion"/>
  </si>
  <si>
    <t>red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</si>
  <si>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</si>
  <si>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</si>
  <si>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</si>
  <si>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</si>
  <si>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</si>
  <si>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</si>
  <si>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</si>
  <si>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</si>
  <si>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</si>
  <si>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</si>
  <si>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STEAM WORKSHOP</t>
    <phoneticPr fontId="1" type="noConversion"/>
  </si>
  <si>
    <t>上一页</t>
  </si>
  <si>
    <t>下一页</t>
  </si>
  <si>
    <t>MOD</t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</si>
  <si>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</si>
  <si>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</si>
  <si>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</si>
  <si>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</si>
  <si>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</si>
  <si>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</si>
  <si>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</si>
  <si>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</si>
  <si>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</si>
  <si>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</si>
  <si>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</si>
  <si>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</si>
  <si>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</si>
  <si>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</si>
  <si>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</si>
  <si>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</si>
  <si>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</si>
  <si>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</si>
  <si>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</si>
  <si>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</si>
  <si>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</si>
  <si>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</si>
  <si>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</si>
  <si>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</si>
  <si>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</si>
  <si>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</si>
  <si>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</si>
  <si>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</si>
  <si>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</si>
  <si>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</si>
  <si>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</si>
  <si>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</si>
  <si>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</si>
  <si>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</si>
  <si>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</si>
  <si>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</si>
  <si>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</si>
  <si>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</si>
  <si>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</si>
  <si>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</si>
  <si>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</si>
  <si>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</si>
  <si>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</si>
  <si>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</si>
  <si>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</si>
  <si>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</si>
  <si>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</si>
  <si>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</si>
  <si>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</si>
  <si>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</si>
  <si>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</si>
  <si>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</si>
  <si>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</si>
  <si>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</si>
  <si>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</si>
  <si>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</si>
  <si>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</si>
  <si>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</si>
  <si>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</si>
  <si>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</si>
  <si>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</si>
  <si>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</si>
  <si>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</si>
  <si>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</si>
  <si>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</si>
  <si>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</si>
  <si>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</si>
  <si>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</si>
  <si>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</si>
  <si>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</si>
  <si>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水晶铲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</si>
  <si>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</si>
  <si>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</si>
  <si>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</si>
  <si>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</si>
  <si>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</si>
  <si>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</si>
  <si>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</si>
  <si>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</si>
  <si>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</si>
  <si>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</si>
  <si>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</si>
  <si>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</si>
  <si>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</si>
  <si>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宝石匕首</t>
  </si>
  <si>
    <t>冰霜匕首</t>
  </si>
  <si>
    <t>相位匕首</t>
  </si>
  <si>
    <t>弓</t>
  </si>
  <si>
    <t>火球术</t>
  </si>
  <si>
    <t>冰冻术</t>
  </si>
  <si>
    <t>治疗术</t>
  </si>
  <si>
    <t>GIGANTISM</t>
    <phoneticPr fontId="1" type="noConversion"/>
  </si>
  <si>
    <t>CROWN OF TELEPORTATION</t>
    <phoneticPr fontId="1" type="noConversion"/>
  </si>
  <si>
    <t>TITANIUM BROADSWORD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</si>
  <si>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</si>
  <si>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</si>
  <si>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</si>
  <si>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</si>
  <si>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</si>
  <si>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</si>
  <si>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</si>
  <si>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</si>
  <si>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</si>
  <si>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</si>
  <si>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钛金九尾鞭</t>
  </si>
  <si>
    <t>黑曜石九尾鞭</t>
  </si>
  <si>
    <t>黄金九尾鞭</t>
  </si>
  <si>
    <t>鲜血九尾鞭</t>
  </si>
  <si>
    <t>玻璃九尾鞭</t>
  </si>
  <si>
    <t>BEASTMASTER</t>
    <phoneticPr fontId="1" type="noConversion"/>
  </si>
  <si>
    <t>STEP ON A LOCKED STAIRCASE TO LEARN HOW TO UNLOCK THE OTHER CHARACTERS</t>
    <phoneticPr fontId="1" type="noConversion"/>
  </si>
  <si>
    <t>Defeat an enemy in the crypt to unlock them here.</t>
    <phoneticPr fontId="1" type="noConversion"/>
  </si>
  <si>
    <t>USE A SHRINE?</t>
    <phoneticPr fontId="1" type="noConversion"/>
  </si>
  <si>
    <t>TRAP LORE</t>
    <phoneticPr fontId="1" type="noConversion"/>
  </si>
  <si>
    <t>解锁条件：完成区域2</t>
  </si>
  <si>
    <t>解锁条件：完成区域3</t>
  </si>
  <si>
    <t>解锁条件：完成区域4</t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</si>
  <si>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</si>
  <si>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</si>
  <si>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</si>
  <si>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</si>
  <si>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</si>
  <si>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</si>
  <si>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</si>
  <si>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</si>
  <si>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</si>
  <si>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PACK OF HOLDING</t>
    <phoneticPr fontId="1" type="noConversion"/>
  </si>
  <si>
    <t>NAZAR CHARM</t>
    <phoneticPr fontId="1" type="noConversion"/>
  </si>
  <si>
    <t>提示内容</t>
    <phoneticPr fontId="1" type="noConversion"/>
  </si>
  <si>
    <t>x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</si>
  <si>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font-size:12;"&gt;{container}&lt;/text&gt;&lt;text transform="matrix(1 0 0 1 0 10.3205)" style="fill:#FFFFFF; font-family:'FZXS12--GB1-0'; font-size:12;"&gt;{container}&lt;/text&gt;&lt;/svg&gt;</t>
    <phoneticPr fontId="1" type="noConversion"/>
  </si>
  <si>
    <t>id</t>
  </si>
  <si>
    <t>english</t>
  </si>
  <si>
    <t>数据类型</t>
  </si>
  <si>
    <t>金币倍率重置</t>
  </si>
  <si>
    <t>载入中…</t>
  </si>
  <si>
    <t>本地存档与STEAM CLOUD存档不一致</t>
  </si>
  <si>
    <t>你想要保留哪个存档？</t>
  </si>
  <si>
    <t>使用云端存档</t>
  </si>
  <si>
    <t>使用本地存档</t>
  </si>
  <si>
    <t>你想要在大厅中开启</t>
  </si>
  <si>
    <t>快速移动吗？</t>
  </si>
  <si>
    <t>你死了！按</t>
  </si>
  <si>
    <t>继续</t>
  </si>
  <si>
    <t>音乐结束！</t>
  </si>
  <si>
    <t>下一关</t>
  </si>
  <si>
    <t>上传得分中，请稍候…</t>
  </si>
  <si>
    <t>跳过</t>
  </si>
  <si>
    <t>正在播放重放！使用 左右 键控制播放速度</t>
  </si>
  <si>
    <t>恢复掉落库</t>
  </si>
  <si>
    <t>将所有物品重新加入掉落库</t>
  </si>
  <si>
    <t>如果现在重新开始</t>
  </si>
  <si>
    <t>所有未花费的钻石会被清空</t>
  </si>
  <si>
    <t>要去大厅把它们花完吗？</t>
  </si>
  <si>
    <t>你的进度将会丢失</t>
  </si>
  <si>
    <t>上传这次挑战的得分？</t>
  </si>
  <si>
    <t>教程</t>
  </si>
  <si>
    <t>区域1</t>
  </si>
  <si>
    <t>区域2</t>
  </si>
  <si>
    <t>区域3</t>
  </si>
  <si>
    <t>区域4</t>
  </si>
  <si>
    <t>选择</t>
  </si>
  <si>
    <t>角色</t>
  </si>
  <si>
    <t>全区域</t>
  </si>
  <si>
    <t>模式</t>
  </si>
  <si>
    <t>跳舞毯模式</t>
  </si>
  <si>
    <t>（简单模式）</t>
  </si>
  <si>
    <t>全区域模式</t>
  </si>
  <si>
    <t>（使用种子）</t>
  </si>
  <si>
    <t>关卡编辑器</t>
  </si>
  <si>
    <t>每日挑战</t>
  </si>
  <si>
    <t>本地合作</t>
  </si>
  <si>
    <t>单人模式</t>
  </si>
  <si>
    <t>解锁条件：完成区域1</t>
  </si>
  <si>
    <t>解锁条件：在区域1找到我</t>
  </si>
  <si>
    <t>BEASTMASTER</t>
  </si>
  <si>
    <t>驯兽师</t>
  </si>
  <si>
    <t>怪物领主</t>
  </si>
  <si>
    <t>挑个boss来做你的陪练吧</t>
  </si>
  <si>
    <t>武器大师</t>
  </si>
  <si>
    <t>解锁条件：搜索区域2</t>
  </si>
  <si>
    <t>基本</t>
  </si>
  <si>
    <t>黄金</t>
  </si>
  <si>
    <t>玻璃</t>
  </si>
  <si>
    <t>鲜血</t>
  </si>
  <si>
    <t>黑曜石</t>
  </si>
  <si>
    <t>钛金</t>
  </si>
  <si>
    <t>TRAP LORE</t>
  </si>
  <si>
    <t>陷阱大师</t>
  </si>
  <si>
    <t>爆炸大师</t>
  </si>
  <si>
    <t>如何不在地下城</t>
  </si>
  <si>
    <t>被干掉</t>
  </si>
  <si>
    <t>看门人</t>
  </si>
  <si>
    <t>将物品从下一次挑战中移除？</t>
  </si>
  <si>
    <t>（不包括全区域挑战）</t>
  </si>
  <si>
    <t>解锁条件：在区域2找到我</t>
  </si>
  <si>
    <t>CADENCE和BARD默认已解锁</t>
  </si>
  <si>
    <t>STEP ON A LOCKED STAIRCASE TO LEARN HOW TO UNLOCK THE OTHER CHARACTERS</t>
  </si>
  <si>
    <t>选择你的下一个角色</t>
  </si>
  <si>
    <t>选择你的敌人</t>
  </si>
  <si>
    <t>Defeat an enemy in the crypt to unlock them here.</t>
  </si>
  <si>
    <t>在地下城击败怪物以解锁他们</t>
  </si>
  <si>
    <t>选择一个miniboss作为敌人</t>
  </si>
  <si>
    <t>选择一个boss作为敌人</t>
  </si>
  <si>
    <t>祝你好运</t>
  </si>
  <si>
    <t>转换一个你的物品？</t>
  </si>
  <si>
    <t>购买一个随机物品？</t>
  </si>
  <si>
    <t>USE A SHRINE?</t>
  </si>
  <si>
    <t>激活圣陵？</t>
  </si>
  <si>
    <t>出售物品？</t>
  </si>
  <si>
    <t>跳舞毯模式！难度已降低。</t>
  </si>
  <si>
    <t>使用此模式练习</t>
  </si>
  <si>
    <t>直至你有能力挑战正常模式</t>
  </si>
  <si>
    <t>故事模式！</t>
  </si>
  <si>
    <t>一次性完成所有区域！</t>
  </si>
  <si>
    <t>所有人会都会挑战相同的地下城</t>
  </si>
  <si>
    <t>得分=挑战结束时的金币</t>
  </si>
  <si>
    <t>挑种怪物来做你的陪练吧</t>
  </si>
  <si>
    <t>解锁条件：完成区域"龙王"</t>
  </si>
  <si>
    <t>解锁条件：完成区域"陷阱大师"</t>
  </si>
  <si>
    <t>解锁条件：完成区域"爆炸大师"</t>
  </si>
  <si>
    <t>解锁条件：使用MONK通关</t>
  </si>
  <si>
    <t>解锁条件：使用MELODY通关</t>
  </si>
  <si>
    <t>解锁条件：使用CADENCE完成区域4</t>
  </si>
  <si>
    <t>解锁条件：使用CADENCE通关</t>
  </si>
  <si>
    <t>解锁条件：使用所有角色通关（不包括Coda）</t>
  </si>
  <si>
    <t>解锁条件：解锁所有角色</t>
  </si>
  <si>
    <t>救命！</t>
  </si>
  <si>
    <t>鲜血圣陵</t>
  </si>
  <si>
    <t>加速</t>
  </si>
  <si>
    <t>减速</t>
  </si>
  <si>
    <t>出口已解锁</t>
  </si>
  <si>
    <t>英勇</t>
  </si>
  <si>
    <t>变大</t>
  </si>
  <si>
    <t>+1黑色宝箱/RUN</t>
  </si>
  <si>
    <t>+1红色宝箱/RUN</t>
  </si>
  <si>
    <t>+1紫色宝箱/RUN</t>
  </si>
  <si>
    <t>KARATE GI</t>
  </si>
  <si>
    <t>飞行之靴</t>
  </si>
  <si>
    <t>哈格里夫斯护膝</t>
  </si>
  <si>
    <t>苹果</t>
  </si>
  <si>
    <t>奶酪</t>
  </si>
  <si>
    <t>鸡腿</t>
  </si>
  <si>
    <t>火腿</t>
  </si>
  <si>
    <t>帝王之冠</t>
  </si>
  <si>
    <t>炸弹x3</t>
  </si>
  <si>
    <t>双倍心脏移植</t>
  </si>
  <si>
    <t>CROWN OF TELEPORTATION</t>
  </si>
  <si>
    <t>传送王冠</t>
  </si>
  <si>
    <t>读心者之冠</t>
  </si>
  <si>
    <t>忍者面具</t>
  </si>
  <si>
    <t>头盔</t>
  </si>
  <si>
    <t>PACK OF HOLDING</t>
  </si>
  <si>
    <t>次元背包</t>
  </si>
  <si>
    <t>心之容器</t>
  </si>
  <si>
    <t>双倍心之容器</t>
  </si>
  <si>
    <t>空的心之容器</t>
  </si>
  <si>
    <t>空的双倍心之容器</t>
  </si>
  <si>
    <t>吸金石</t>
  </si>
  <si>
    <t>冰霜项链</t>
  </si>
  <si>
    <t>暴食项链</t>
  </si>
  <si>
    <t>幸运项链</t>
  </si>
  <si>
    <t>NAZAR CHARM</t>
  </si>
  <si>
    <t>通灵项链</t>
  </si>
  <si>
    <t>保护项链</t>
  </si>
  <si>
    <t>冒险项链</t>
  </si>
  <si>
    <t>力量项链</t>
  </si>
  <si>
    <t>+50金币</t>
  </si>
  <si>
    <t>+100金币</t>
  </si>
  <si>
    <t>+150金币</t>
  </si>
  <si>
    <t>+5钻石</t>
  </si>
  <si>
    <t>+10钻石</t>
  </si>
  <si>
    <t>+15钻石</t>
  </si>
  <si>
    <t>+20钻石</t>
  </si>
  <si>
    <t>暗影指环</t>
  </si>
  <si>
    <t>黄金指环</t>
  </si>
  <si>
    <t>转换指环</t>
  </si>
  <si>
    <t>冰冻卷轴</t>
  </si>
  <si>
    <t>巨人卷轴</t>
  </si>
  <si>
    <t>财富卷轴</t>
  </si>
  <si>
    <t>武器附魔卷轴</t>
  </si>
  <si>
    <t>需求卷轴</t>
  </si>
  <si>
    <t>镐</t>
  </si>
  <si>
    <t>匕首</t>
  </si>
  <si>
    <t>钛金匕首</t>
  </si>
  <si>
    <t>黑曜石匕首</t>
  </si>
  <si>
    <t>黄金匕首</t>
  </si>
  <si>
    <t>鲜血匕首</t>
  </si>
  <si>
    <t>玻璃匕首</t>
  </si>
  <si>
    <t>大剑</t>
  </si>
  <si>
    <t>TITANIUM BROADSWORD</t>
  </si>
  <si>
    <t>钛金大剑</t>
  </si>
  <si>
    <t>黑曜石大剑</t>
  </si>
  <si>
    <t>黄金大剑</t>
  </si>
  <si>
    <t>鲜血大剑</t>
  </si>
  <si>
    <t>玻璃大剑</t>
  </si>
  <si>
    <t>钛金长剑</t>
  </si>
  <si>
    <t>黑曜石长剑</t>
  </si>
  <si>
    <t>黄金长剑</t>
  </si>
  <si>
    <t>鲜血长剑</t>
  </si>
  <si>
    <t>玻璃长剑</t>
  </si>
  <si>
    <t>钛金鞭子</t>
  </si>
  <si>
    <t>黑曜石鞭子</t>
  </si>
  <si>
    <t>黄金鞭子</t>
  </si>
  <si>
    <t>鲜血鞭子</t>
  </si>
  <si>
    <t>玻璃鞭子</t>
  </si>
  <si>
    <t>长矛</t>
  </si>
  <si>
    <t>钛金长矛</t>
  </si>
  <si>
    <t>黑曜石长矛</t>
  </si>
  <si>
    <t>黄金长矛</t>
  </si>
  <si>
    <t>鲜血长矛</t>
  </si>
  <si>
    <t>玻璃长矛</t>
  </si>
  <si>
    <t>刺剑</t>
  </si>
  <si>
    <t>钛金刺剑</t>
  </si>
  <si>
    <t>黑曜石刺剑</t>
  </si>
  <si>
    <t>黄金刺剑</t>
  </si>
  <si>
    <t>鲜血刺剑</t>
  </si>
  <si>
    <t>玻璃刺剑</t>
  </si>
  <si>
    <t>钛金长弓</t>
  </si>
  <si>
    <t>黑曜石长弓</t>
  </si>
  <si>
    <t>黄金长弓</t>
  </si>
  <si>
    <t>鲜血长弓</t>
  </si>
  <si>
    <t>玻璃长弓</t>
  </si>
  <si>
    <t>十字弩</t>
  </si>
  <si>
    <t>流星锤</t>
  </si>
  <si>
    <t>九尾鞭</t>
  </si>
  <si>
    <t>来复枪</t>
  </si>
  <si>
    <t>+1防御</t>
  </si>
  <si>
    <t>+0.5防御</t>
  </si>
  <si>
    <t>+1.5防御</t>
  </si>
  <si>
    <t>+1 视野</t>
  </si>
  <si>
    <t>+2 视野</t>
  </si>
  <si>
    <t>+3 视野</t>
  </si>
  <si>
    <t>+1视野 +陷阱侦测</t>
  </si>
  <si>
    <t>匕首，可投掷</t>
  </si>
  <si>
    <t>2 伤害</t>
  </si>
  <si>
    <t>范围攻击</t>
  </si>
  <si>
    <t>大范围攻击</t>
  </si>
  <si>
    <t>统计信息</t>
  </si>
  <si>
    <t>观看重放</t>
  </si>
  <si>
    <t>得分排行榜</t>
  </si>
  <si>
    <t>竞速排行榜</t>
  </si>
  <si>
    <t>击杀：</t>
  </si>
  <si>
    <t>获得金币：</t>
  </si>
  <si>
    <t>你要留下把它们花完吗？</t>
  </si>
  <si>
    <t>回去用完它们</t>
  </si>
  <si>
    <t>我不差钱</t>
  </si>
  <si>
    <t>全区域模式：一次性完成所有区域！</t>
  </si>
  <si>
    <t>每日挑战：一次性完成所有区域！</t>
  </si>
  <si>
    <t>是</t>
  </si>
  <si>
    <t>否</t>
  </si>
  <si>
    <t>随机</t>
  </si>
  <si>
    <t>取消</t>
  </si>
  <si>
    <t>按照节拍按 方向 键，按ESC退出</t>
  </si>
  <si>
    <t>声音延迟校准</t>
  </si>
  <si>
    <t>视频延迟校准</t>
  </si>
  <si>
    <t>当你听到声音时按 ↑ 键</t>
  </si>
  <si>
    <t>当你听到节拍时按 ↑ 键</t>
  </si>
  <si>
    <t>或按 S 跳过校准</t>
  </si>
  <si>
    <t>（校准可能耗时较长）</t>
  </si>
  <si>
    <t>延迟校准结果</t>
  </si>
  <si>
    <t>声音延迟：</t>
  </si>
  <si>
    <t>视频延迟：</t>
  </si>
  <si>
    <t>按 左右 键调整声音延迟</t>
  </si>
  <si>
    <t>按 左右 键调整视频延迟</t>
  </si>
  <si>
    <t>按 回车 保存并退出</t>
  </si>
  <si>
    <t>发布这个MOD</t>
  </si>
  <si>
    <t>SEE NECRODANCER.COM/WORKSHOP FOR DETAILS ON MODDING</t>
  </si>
  <si>
    <t>MOD制作FAQ请访问NECRODANCER.COM/WORKSHOP</t>
  </si>
  <si>
    <t>读取图片失败：</t>
  </si>
  <si>
    <t>联系MOD作者</t>
  </si>
  <si>
    <t>使用MOD</t>
  </si>
  <si>
    <t>发布MOD到Workshop</t>
  </si>
  <si>
    <t>停用MOD</t>
  </si>
  <si>
    <t>ENABLE HUD HEART</t>
  </si>
  <si>
    <t>竞速计时器</t>
  </si>
  <si>
    <t>DISCO地板</t>
  </si>
  <si>
    <t>游戏设置</t>
  </si>
  <si>
    <t>声音设置</t>
  </si>
  <si>
    <t>按键绑定</t>
  </si>
  <si>
    <t>延迟校准</t>
  </si>
  <si>
    <t>语言设置</t>
  </si>
  <si>
    <t>回放（按时间排序）</t>
  </si>
  <si>
    <t>跳舞毯</t>
  </si>
  <si>
    <t>使用种子的全区域</t>
  </si>
  <si>
    <t>1月</t>
  </si>
  <si>
    <t>2月</t>
  </si>
  <si>
    <t>默认人物</t>
  </si>
  <si>
    <t>显示物品信息</t>
  </si>
  <si>
    <t>始终显示物品名称</t>
  </si>
  <si>
    <t>始终显示怪物血量</t>
  </si>
  <si>
    <t>大厅快速移动</t>
  </si>
  <si>
    <t>未使用钻石提醒</t>
  </si>
  <si>
    <t>最小化时暂停游戏</t>
  </si>
  <si>
    <t>播放过场动画</t>
  </si>
  <si>
    <t>显示boss简介</t>
  </si>
  <si>
    <t>清除存档数据</t>
  </si>
  <si>
    <t>确定要清除存档？</t>
  </si>
  <si>
    <t>（恢复不了滴哦）</t>
  </si>
  <si>
    <t>语音设置</t>
  </si>
  <si>
    <t>开启字幕</t>
  </si>
  <si>
    <t>语言：</t>
  </si>
  <si>
    <t>选择要查看的排行榜</t>
  </si>
  <si>
    <t>全区域得分</t>
  </si>
  <si>
    <t>全区域竞速</t>
  </si>
  <si>
    <t>使用种子的全区域得分</t>
  </si>
  <si>
    <t>使用种子的全区域竞速</t>
  </si>
  <si>
    <t>故事模式</t>
  </si>
  <si>
    <t>后一天</t>
  </si>
  <si>
    <t>前一天</t>
  </si>
  <si>
    <t>STEAM好友</t>
  </si>
  <si>
    <t>没有</t>
  </si>
  <si>
    <t>有</t>
  </si>
  <si>
    <t>有回放？</t>
  </si>
  <si>
    <t>没有，旧版本</t>
  </si>
  <si>
    <t>隐私</t>
  </si>
  <si>
    <t>观看</t>
  </si>
  <si>
    <t>使用种子的全区域竞速，</t>
  </si>
  <si>
    <t>全区域竞速，</t>
  </si>
  <si>
    <t>种子模式，</t>
  </si>
  <si>
    <t>全区域模式，</t>
  </si>
  <si>
    <t>合作</t>
  </si>
  <si>
    <t>不死</t>
  </si>
  <si>
    <t>排名</t>
  </si>
  <si>
    <t>名字</t>
  </si>
  <si>
    <t>胜场</t>
  </si>
  <si>
    <t>得分</t>
  </si>
  <si>
    <t>时间</t>
  </si>
  <si>
    <t>区域</t>
  </si>
  <si>
    <t>关卡</t>
  </si>
  <si>
    <t>未知</t>
  </si>
  <si>
    <t>完成</t>
  </si>
  <si>
    <t>选择音乐</t>
  </si>
  <si>
    <t>恢复默认</t>
  </si>
  <si>
    <t>x2速度</t>
  </si>
  <si>
    <t>1/2速度</t>
  </si>
  <si>
    <t>返回</t>
  </si>
  <si>
    <t>手动设置拍子</t>
  </si>
  <si>
    <t>手动设置拍子（仅大厅）</t>
  </si>
  <si>
    <t>自定义音乐：禁用</t>
  </si>
  <si>
    <t>自定义音乐：启用</t>
  </si>
  <si>
    <t>处理一首歌可能需要花费很长时间</t>
  </si>
  <si>
    <t>处理中，请稍等…</t>
  </si>
  <si>
    <t>加入到播放列表</t>
  </si>
  <si>
    <t>可用地下城</t>
  </si>
  <si>
    <t>STEAM WORKSHOP</t>
  </si>
  <si>
    <t>保存并发布到STEAM workshop？</t>
  </si>
  <si>
    <t>（地下城制作FAQ请访问NECRODANCER.COM/WORKSHOP）</t>
  </si>
  <si>
    <t>加载一个新的地下城？</t>
  </si>
  <si>
    <t>（未保存的文件将会丢失）</t>
  </si>
  <si>
    <t>确定要删除这个关卡？</t>
  </si>
  <si>
    <t>生成关卡？</t>
  </si>
  <si>
    <t>已存在</t>
  </si>
  <si>
    <t>要覆盖现有的吗？</t>
  </si>
  <si>
    <t>翻译结果</t>
  </si>
  <si>
    <t>黑暗圣陵</t>
  </si>
  <si>
    <t>玻璃圣陵</t>
  </si>
  <si>
    <t>和平圣陵</t>
  </si>
  <si>
    <t>节奏圣陵</t>
  </si>
  <si>
    <t>冒险圣陵</t>
  </si>
  <si>
    <t>献祭圣陵</t>
  </si>
  <si>
    <t>空间圣陵</t>
  </si>
  <si>
    <t>战争圣陵</t>
  </si>
  <si>
    <t>无悔圣陵</t>
  </si>
  <si>
    <t>相位圣陵</t>
  </si>
  <si>
    <t>步调圣陵</t>
  </si>
  <si>
    <t>机遇圣陵</t>
  </si>
  <si>
    <t>鲜血圣陵：使用生命换取鲜血武器</t>
  </si>
  <si>
    <t>黑暗圣陵：熄灯</t>
  </si>
  <si>
    <t>玻璃圣陵：身上所有物品变为玻璃材质</t>
  </si>
  <si>
    <t>和平圣陵：使用全部物品换取生命</t>
  </si>
  <si>
    <t>节奏圣陵：身上所有物品变为黑曜石材质，打乱节奏</t>
  </si>
  <si>
    <t>冒险圣陵：获得物品但缓慢流血</t>
  </si>
  <si>
    <t>献祭圣陵：献上你的祭品</t>
  </si>
  <si>
    <t>空间圣陵：获得铲子，扩大地下城空间</t>
  </si>
  <si>
    <t>战争圣陵：获取物品，更强大的敌人</t>
  </si>
  <si>
    <t>无悔圣陵：获取武器，永不回头</t>
  </si>
  <si>
    <t>相位圣陵：化为无形</t>
  </si>
  <si>
    <t>机遇圣陵：来试试手气吧</t>
  </si>
  <si>
    <t>金币</t>
  </si>
  <si>
    <t>名字只能使用 字母/数字/空格</t>
  </si>
  <si>
    <t xml:space="preserve"> - NO ITEMS</t>
  </si>
  <si>
    <t>不保存退出？</t>
  </si>
  <si>
    <t>不朽模式！</t>
  </si>
  <si>
    <t>每日挑战：全区域</t>
  </si>
  <si>
    <t>不朽模式：</t>
  </si>
  <si>
    <t>在不死亡的情况下完成所有区域</t>
  </si>
  <si>
    <t>不朽模式</t>
  </si>
  <si>
    <t>金币倍率+0.5</t>
  </si>
  <si>
    <t>金币倍率+1</t>
  </si>
  <si>
    <t>所有的升级都将可用</t>
  </si>
  <si>
    <t>但你的生命值会很低</t>
  </si>
  <si>
    <t>低比例</t>
  </si>
  <si>
    <t>手动节拍探测</t>
  </si>
  <si>
    <t>按 方向键 开始</t>
  </si>
  <si>
    <t>死灵舞者</t>
  </si>
  <si>
    <t>金刚鼓王</t>
  </si>
  <si>
    <t>死亡重金属</t>
  </si>
  <si>
    <t>珊瑚乐团</t>
  </si>
  <si>
    <t>死亡丧钟</t>
  </si>
  <si>
    <t>黄金鲁特琴</t>
  </si>
  <si>
    <t>TEMP_conga_line</t>
  </si>
  <si>
    <t>WARING!CONGA LINE</t>
  </si>
  <si>
    <t>IN PROGESS!"</t>
  </si>
  <si>
    <t>TEXT</t>
  </si>
  <si>
    <t>TEMP_hephaestus</t>
  </si>
  <si>
    <t>HEPHAESTUS</t>
  </si>
  <si>
    <t>赫菲斯托斯</t>
  </si>
  <si>
    <t>TEMP_merlin</t>
  </si>
  <si>
    <t>MERLIN</t>
  </si>
  <si>
    <t>梅林</t>
  </si>
  <si>
    <t>TEMP_missed</t>
  </si>
  <si>
    <t>missed!</t>
  </si>
  <si>
    <t>TEMP_musical_note</t>
  </si>
  <si>
    <t>TEMP_need_key</t>
  </si>
  <si>
    <t>NEED KEY!</t>
  </si>
  <si>
    <t>需要钥匙</t>
  </si>
  <si>
    <t>TEMP_new</t>
  </si>
  <si>
    <t>NEW!</t>
  </si>
  <si>
    <t>TEMP_permanent</t>
  </si>
  <si>
    <t>I SELL PERMANENT UPGRADES!</t>
  </si>
  <si>
    <t>我出售的都是永久性升级</t>
  </si>
  <si>
    <t>TEMP_question_mark</t>
  </si>
  <si>
    <t>TEMP_reloading</t>
  </si>
  <si>
    <t>RELOADING!</t>
  </si>
  <si>
    <t>重载中！</t>
  </si>
  <si>
    <t>TEMP_tutorial1</t>
  </si>
  <si>
    <t>BRIEF TUTORIAL!</t>
  </si>
  <si>
    <t>(PRESS 'P' TO SKIP)"</t>
  </si>
  <si>
    <t>（按 P 跳过）"</t>
  </si>
  <si>
    <t>TEMP_tutorial2</t>
  </si>
  <si>
    <t>PRESS AN ARROW KEY</t>
  </si>
  <si>
    <t>ON THE BEAT TO MOVE"</t>
  </si>
  <si>
    <t>伴着节拍按下方向键来移动</t>
  </si>
  <si>
    <t>随机人物模式</t>
  </si>
  <si>
    <t>全角色模式</t>
  </si>
  <si>
    <t>(CODA除外)</t>
  </si>
  <si>
    <t>全角色模式！</t>
  </si>
  <si>
    <t>出口已锁</t>
  </si>
  <si>
    <t>王冠破碎</t>
  </si>
  <si>
    <t>饰品破碎</t>
  </si>
  <si>
    <t>解冻</t>
  </si>
  <si>
    <t>使用药剂</t>
  </si>
  <si>
    <t>（旧枪套）</t>
  </si>
  <si>
    <t>购买</t>
  </si>
  <si>
    <t>解锁</t>
  </si>
  <si>
    <t>破碎</t>
  </si>
  <si>
    <t>地震</t>
  </si>
  <si>
    <t>诅咒</t>
  </si>
  <si>
    <t>大幅改变</t>
  </si>
  <si>
    <t>转化</t>
  </si>
  <si>
    <t>转化卷轴</t>
  </si>
  <si>
    <t>爆破术</t>
  </si>
  <si>
    <t>圣盾术</t>
  </si>
  <si>
    <t>炼金术</t>
  </si>
  <si>
    <t>诅咒术</t>
  </si>
  <si>
    <t>双倍时间</t>
  </si>
  <si>
    <t>漂浮</t>
  </si>
  <si>
    <t>吸血攻击</t>
  </si>
  <si>
    <t>潜行</t>
  </si>
  <si>
    <t>打开笼子</t>
  </si>
  <si>
    <t>用金钥匙打开笼子</t>
  </si>
  <si>
    <t>用玻璃钥匙打开笼子</t>
  </si>
  <si>
    <t>开锁</t>
  </si>
  <si>
    <t>引力</t>
  </si>
  <si>
    <t>地图全开</t>
  </si>
  <si>
    <t>复生</t>
  </si>
  <si>
    <t>放手一搏（+2伤害）</t>
  </si>
  <si>
    <t>魔法增效</t>
  </si>
  <si>
    <t xml:space="preserve"> + ALL</t>
  </si>
  <si>
    <t>转换周围的物品</t>
  </si>
  <si>
    <t>诅咒周围的敌人</t>
  </si>
  <si>
    <t>攻击距离提升</t>
  </si>
  <si>
    <t>攻击距离提升，可投掷</t>
  </si>
  <si>
    <t>远程攻击</t>
  </si>
  <si>
    <t>远程攻击，需要装填，穿刺</t>
  </si>
  <si>
    <t>击退攻击</t>
  </si>
  <si>
    <t>移动攻击</t>
  </si>
  <si>
    <t>扇形攻击，需要装填，穿刺</t>
  </si>
  <si>
    <t>法典</t>
  </si>
  <si>
    <t>（未完成）</t>
  </si>
  <si>
    <t>返回关卡编辑器</t>
  </si>
  <si>
    <t>每日</t>
  </si>
  <si>
    <t>双倍金币 + 丢失金币</t>
  </si>
  <si>
    <t>被攻击传送</t>
  </si>
  <si>
    <t>双倍伤害，虚弱</t>
  </si>
  <si>
    <t>+1 背包空间</t>
  </si>
  <si>
    <t>出口导航</t>
  </si>
  <si>
    <t>用时：</t>
  </si>
  <si>
    <t>使用 方向键 移动光标</t>
  </si>
  <si>
    <t>ENTER 放置， DEL 删除， ESC 取消</t>
  </si>
  <si>
    <t>按 ENTER 选择同一物品的不同形态</t>
  </si>
  <si>
    <t>发布地下城失败！</t>
  </si>
  <si>
    <t>地下城已发布！</t>
  </si>
  <si>
    <t>地下城已保存！</t>
  </si>
  <si>
    <t>地图：</t>
  </si>
  <si>
    <t>龙的传说</t>
  </si>
  <si>
    <t>钻石商人</t>
  </si>
  <si>
    <t>并取得尽可能高的评分</t>
  </si>
  <si>
    <t>一次使用所有九个角色</t>
  </si>
  <si>
    <t>完成游戏</t>
  </si>
  <si>
    <t>依次使用CADENCE，MELODY，ARIA</t>
  </si>
  <si>
    <t>全角色</t>
  </si>
  <si>
    <t>摧毁石棺</t>
  </si>
  <si>
    <t>已经完成！</t>
  </si>
  <si>
    <t>只能使用CADENCE</t>
  </si>
  <si>
    <t>只能使用MELODY</t>
  </si>
  <si>
    <t>只能使用ARIA</t>
  </si>
  <si>
    <t>击败miniboss</t>
  </si>
  <si>
    <t>败北！</t>
  </si>
  <si>
    <t>无敌！</t>
  </si>
  <si>
    <t>被护盾吸收！</t>
  </si>
  <si>
    <t>躲闪！</t>
  </si>
  <si>
    <t>迷惑！</t>
  </si>
  <si>
    <t>无敌！找到鲁特琴！</t>
  </si>
  <si>
    <t>被传送！</t>
  </si>
  <si>
    <t>被迷惑！</t>
  </si>
  <si>
    <t>免疫！</t>
  </si>
  <si>
    <t>谢谢你！</t>
  </si>
  <si>
    <t>你带来玻璃钥匙了吗？</t>
  </si>
  <si>
    <t>去买金钥匙！</t>
  </si>
  <si>
    <t>大厅见</t>
  </si>
  <si>
    <t>（恭喜你）</t>
  </si>
  <si>
    <t>（下一次就赢回来了）</t>
  </si>
  <si>
    <t>你的该装备栏没有物品</t>
  </si>
  <si>
    <t>需要</t>
  </si>
  <si>
    <t>成功</t>
  </si>
  <si>
    <t>你的那个物品栏了没东西！</t>
  </si>
  <si>
    <t>我不收那东西！</t>
  </si>
  <si>
    <t>完美通关！</t>
  </si>
  <si>
    <t>暴饮暴食！</t>
  </si>
  <si>
    <t>需要玻璃钥匙</t>
  </si>
  <si>
    <t>需要金钥匙</t>
  </si>
  <si>
    <t>地狱火！</t>
  </si>
  <si>
    <t>懈怠(步调圣陵)</t>
  </si>
  <si>
    <t>戒指破碎</t>
  </si>
  <si>
    <t>护甲破碎</t>
  </si>
  <si>
    <t>刺痛(冒险圣陵)</t>
  </si>
  <si>
    <t>恐惧</t>
  </si>
  <si>
    <t>炎爆术</t>
  </si>
  <si>
    <t>深度冻结</t>
  </si>
  <si>
    <t>大圣盾术</t>
  </si>
  <si>
    <t>附魔武器</t>
  </si>
  <si>
    <t>金币倍率将强化防御</t>
  </si>
  <si>
    <t>停止移动不会丢失金币倍率</t>
  </si>
  <si>
    <t>以生命值换取伤害</t>
  </si>
  <si>
    <t>能找到更好的物品</t>
  </si>
  <si>
    <t>更多金币，自动拾取金币</t>
  </si>
  <si>
    <t>每关卡回血</t>
  </si>
  <si>
    <t>正常游戏模式</t>
  </si>
  <si>
    <t>2倍速</t>
  </si>
  <si>
    <t>无视节拍</t>
  </si>
  <si>
    <t>无限炸弹</t>
  </si>
  <si>
    <t>可将炸弹踢向敌人</t>
  </si>
  <si>
    <t>携带受诅咒的跳跃之靴</t>
  </si>
  <si>
    <t>缓慢移动会受到伤害</t>
  </si>
  <si>
    <t>CODA=ARIA+BOLT+MONK</t>
  </si>
  <si>
    <t>能通关就是个奇迹</t>
  </si>
  <si>
    <t>在全区域模式</t>
  </si>
  <si>
    <t>依次使用所有角色</t>
  </si>
  <si>
    <t>依次使用CADENCE，MELODY，ARIA完成故事模式</t>
  </si>
  <si>
    <t>中途不能中断</t>
  </si>
  <si>
    <t>每日挑战下午16:00重置</t>
  </si>
  <si>
    <t>花费3钻石</t>
  </si>
  <si>
    <t>来解锁</t>
  </si>
  <si>
    <t>好的</t>
  </si>
  <si>
    <t>防护</t>
  </si>
  <si>
    <t>格挡</t>
  </si>
  <si>
    <t>抵御1次攻击</t>
  </si>
  <si>
    <t>向两侧发射火焰</t>
  </si>
  <si>
    <t>冻结敌人</t>
  </si>
  <si>
    <t>临时护盾</t>
  </si>
  <si>
    <t>+2挖掘能力</t>
  </si>
  <si>
    <t>+1挖掘能力</t>
  </si>
  <si>
    <t>金币倍率将强化挖掘能力</t>
  </si>
  <si>
    <t>蓄力挖掘</t>
  </si>
  <si>
    <t>回复0.5生命值</t>
  </si>
  <si>
    <t>金币倍率将强化光照</t>
  </si>
  <si>
    <t>金币倍率将强化伤害</t>
  </si>
  <si>
    <t>拾取金币后伤害提升</t>
  </si>
  <si>
    <t>吸血攻击，失血增加伤害</t>
  </si>
  <si>
    <t>+5 伤害</t>
  </si>
  <si>
    <t>冻结敌人，杀死被冻结敌人，冰冷刺骨</t>
  </si>
  <si>
    <t>相位攻击，2伤害</t>
  </si>
  <si>
    <t>在敌人身边</t>
  </si>
  <si>
    <t>这些物品将会加入你的掉落库</t>
  </si>
  <si>
    <t>学习更高级的技巧</t>
  </si>
  <si>
    <t>双武器</t>
  </si>
  <si>
    <t>CADENCE</t>
  </si>
  <si>
    <t>ARIA</t>
  </si>
  <si>
    <t>只能使用匕首，一击必杀</t>
  </si>
  <si>
    <t>节拍MISSED立即死亡</t>
  </si>
  <si>
    <t>BOLT</t>
  </si>
  <si>
    <t>BARD</t>
  </si>
  <si>
    <t>你移动时敌人才可以移动</t>
  </si>
  <si>
    <t>MONK</t>
  </si>
  <si>
    <t>拾取金币立即死亡，商店物品免费</t>
  </si>
  <si>
    <t>（视金钱如粪土的人，所以不要去捡屎）</t>
  </si>
  <si>
    <t>DOVE</t>
  </si>
  <si>
    <t>你无法造成伤害，出口直接解锁</t>
  </si>
  <si>
    <t>ELI</t>
  </si>
  <si>
    <t>DORIAN</t>
  </si>
  <si>
    <t>MELODY</t>
  </si>
  <si>
    <t>弹奏你的金鲁特琴</t>
  </si>
  <si>
    <t>CODA</t>
  </si>
  <si>
    <t>转化失败</t>
  </si>
  <si>
    <t>施法失败</t>
  </si>
  <si>
    <t>冲锋</t>
  </si>
  <si>
    <t>痛苦</t>
  </si>
  <si>
    <t>（对敌人造成伤害）</t>
  </si>
  <si>
    <t>（药剂）</t>
  </si>
  <si>
    <t>（优惠劵）</t>
  </si>
  <si>
    <t>（玻璃化）</t>
  </si>
  <si>
    <t>清空</t>
  </si>
  <si>
    <t>降低</t>
  </si>
  <si>
    <t>（鲜血魔法）</t>
  </si>
  <si>
    <t>+1钻石</t>
  </si>
  <si>
    <t>+2钻石</t>
  </si>
  <si>
    <t>+3钻石</t>
  </si>
  <si>
    <t>+4钻石</t>
  </si>
  <si>
    <t>钛金铲</t>
  </si>
  <si>
    <t>霰弹枪</t>
  </si>
  <si>
    <t>造成并承受2倍伤害</t>
  </si>
  <si>
    <t>免疫部分地形效果</t>
  </si>
  <si>
    <t>免疫陷阱/冰面效果</t>
  </si>
  <si>
    <t>+1 伤害</t>
  </si>
  <si>
    <t>回复 1 生命</t>
  </si>
  <si>
    <t>回复 2 生命</t>
  </si>
  <si>
    <t>回复 3 生命</t>
  </si>
  <si>
    <t>回复 4 生命</t>
  </si>
  <si>
    <t>可以看到所有敌人</t>
  </si>
  <si>
    <t>边走边挖</t>
  </si>
  <si>
    <t>可以看到所有物品</t>
  </si>
  <si>
    <t>爆炸免疫，+3 炸弹</t>
  </si>
  <si>
    <t>+1 心之容器</t>
  </si>
  <si>
    <t>+2 心之容器</t>
  </si>
  <si>
    <t>+1 空的心之容器</t>
  </si>
  <si>
    <t>+2 空的心之容器</t>
  </si>
  <si>
    <t>+1 伤害，更多敌人</t>
  </si>
  <si>
    <t>+1 心之容器，更少敌人</t>
  </si>
  <si>
    <t>商店折扣</t>
  </si>
  <si>
    <t>自动护盾</t>
  </si>
  <si>
    <t>对非飞行敌人造成伤害</t>
  </si>
  <si>
    <t>恐吓敌人</t>
  </si>
  <si>
    <t>给你你最需要的东西</t>
  </si>
  <si>
    <t>转化所有未装备的物品</t>
  </si>
  <si>
    <t>冲锋，双倍伤害</t>
  </si>
  <si>
    <t>你想显示物品描述还是自己去探索他们的效果呢？</t>
  </si>
  <si>
    <t>显示物品描述</t>
  </si>
  <si>
    <t>隐藏物品描述</t>
  </si>
  <si>
    <t>完成次数：</t>
  </si>
  <si>
    <t>种子：</t>
  </si>
  <si>
    <t>输入要使用的种子</t>
  </si>
  <si>
    <t>音乐作弊最抓</t>
  </si>
  <si>
    <t>Boss练习</t>
  </si>
  <si>
    <t>miniboss练习</t>
  </si>
  <si>
    <t>boss练习</t>
  </si>
  <si>
    <t>再虐一遍</t>
  </si>
  <si>
    <t>可用</t>
  </si>
  <si>
    <t>去大厅找怪物领主练练手吧</t>
  </si>
  <si>
    <t>你解锁了Melody，Cadence的母亲！</t>
  </si>
  <si>
    <t>续写故事，解开所有的谜题！</t>
  </si>
  <si>
    <t>你解锁了</t>
  </si>
  <si>
    <t>地下城里有很多神秘的东西</t>
  </si>
  <si>
    <t>步调圣陵：奖勤罚懒</t>
  </si>
  <si>
    <t>关卡：</t>
  </si>
  <si>
    <t>增加关卡</t>
  </si>
  <si>
    <t>删除关卡</t>
  </si>
  <si>
    <t>随机生成</t>
  </si>
  <si>
    <t>自由观察</t>
  </si>
  <si>
    <t>测试关卡</t>
  </si>
  <si>
    <t>测试地下城</t>
  </si>
  <si>
    <t>载入地下城</t>
  </si>
  <si>
    <t>发布地下城</t>
  </si>
  <si>
    <t>保存地下城</t>
  </si>
  <si>
    <t>保存并退出</t>
  </si>
  <si>
    <t>退出</t>
  </si>
  <si>
    <t>放置 墙壁</t>
  </si>
  <si>
    <t>放置 敌人</t>
  </si>
  <si>
    <t>放置 陷阱</t>
  </si>
  <si>
    <t>放置 圣陵</t>
  </si>
  <si>
    <t>放置 物品</t>
  </si>
  <si>
    <t>放置 宝箱</t>
  </si>
  <si>
    <t>放置 箱子/桶/瓮</t>
  </si>
  <si>
    <t>移动 物体</t>
  </si>
  <si>
    <t>删除 物体</t>
  </si>
  <si>
    <t>地面</t>
  </si>
  <si>
    <t>商店地面</t>
  </si>
  <si>
    <t>水</t>
  </si>
  <si>
    <t>沥青</t>
  </si>
  <si>
    <t>热煤</t>
  </si>
  <si>
    <t>冰</t>
  </si>
  <si>
    <t>软泥</t>
  </si>
  <si>
    <t>楼梯</t>
  </si>
  <si>
    <t>泥墙</t>
  </si>
  <si>
    <t>石墙</t>
  </si>
  <si>
    <t>墓墙</t>
  </si>
  <si>
    <t>商店墙</t>
  </si>
  <si>
    <t>无法破坏的墙</t>
  </si>
  <si>
    <t>门</t>
  </si>
  <si>
    <t>金属门</t>
  </si>
  <si>
    <t>锁住的门</t>
  </si>
  <si>
    <t>区域3-炎热</t>
  </si>
  <si>
    <t>区域3-寒冷</t>
  </si>
  <si>
    <t>跳跃陷阱</t>
  </si>
  <si>
    <t>钉刺陷阱</t>
  </si>
  <si>
    <t>陷门</t>
  </si>
  <si>
    <t>迷惑陷阱</t>
  </si>
  <si>
    <t>传送陷阱</t>
  </si>
  <si>
    <t>变速陷阱</t>
  </si>
  <si>
    <t>炸弹陷阱</t>
  </si>
  <si>
    <t>火焰陷阱</t>
  </si>
  <si>
    <t>旅行符文</t>
  </si>
  <si>
    <t>武器</t>
  </si>
  <si>
    <t>护甲</t>
  </si>
  <si>
    <t>鞋子</t>
  </si>
  <si>
    <t>卷轴</t>
  </si>
  <si>
    <t>其他</t>
  </si>
  <si>
    <t>输入地下城的名称</t>
  </si>
  <si>
    <t>用 角色选择 楼梯可以更换角色</t>
  </si>
  <si>
    <t>移动到被锁定的楼梯查看如何解锁其它角色</t>
  </si>
  <si>
    <t>每次移动2格</t>
  </si>
  <si>
    <t>每次移动2格并攻击</t>
  </si>
  <si>
    <t>得分作弊被抓</t>
  </si>
  <si>
    <t>subtitles/aria0_1.png</t>
  </si>
  <si>
    <t>subtitles/aria0_2.png</t>
  </si>
  <si>
    <t>subtitles/aria0_3.png</t>
  </si>
  <si>
    <t>subtitles/aria0_4.png</t>
  </si>
  <si>
    <t>subtitles/aria0_5.png</t>
  </si>
  <si>
    <t>subtitles/aria1_1.png</t>
  </si>
  <si>
    <t>subtitles/aria1_2.png</t>
  </si>
  <si>
    <t>subtitles/aria2_1.png</t>
  </si>
  <si>
    <t>subtitles/aria2_2.png</t>
  </si>
  <si>
    <t>subtitles/aria3_1.png</t>
  </si>
  <si>
    <t>subtitles/aria3_2.png</t>
  </si>
  <si>
    <t>subtitles/aria3_3.png</t>
  </si>
  <si>
    <t>subtitles/aria3_4.png</t>
  </si>
  <si>
    <t>subtitles/aria4_1.png</t>
  </si>
  <si>
    <t>subtitles/aria4_2.png</t>
  </si>
  <si>
    <t>subtitles/aria4_3.png</t>
  </si>
  <si>
    <t>subtitles/aria4_4.png</t>
  </si>
  <si>
    <t>subtitles/aria4_5.png</t>
  </si>
  <si>
    <t>subtitles/aria4_6.png</t>
  </si>
  <si>
    <t>subtitles/aria5_1.png</t>
  </si>
  <si>
    <t>subtitles/aria5_2.png</t>
  </si>
  <si>
    <t>subtitles/cadence0_1.png</t>
  </si>
  <si>
    <t>subtitles/cadence0_2.png</t>
  </si>
  <si>
    <t>subtitles/cadence0_3.png</t>
  </si>
  <si>
    <t>subtitles/cadence0_4.png</t>
  </si>
  <si>
    <t>subtitles/cadence0_5.png</t>
  </si>
  <si>
    <t>subtitles/cadence0_6.png</t>
  </si>
  <si>
    <t>subtitles/cadence0_7.png</t>
  </si>
  <si>
    <t>subtitles/cadence0_8.png</t>
  </si>
  <si>
    <t>subtitles/cadence1_1.png</t>
  </si>
  <si>
    <t>subtitles/cadence1_2.png</t>
  </si>
  <si>
    <t>subtitles/cadence1_3.png</t>
  </si>
  <si>
    <t>subtitles/cadence1_4.png</t>
  </si>
  <si>
    <t>subtitles/cadence2_1.png</t>
  </si>
  <si>
    <t>subtitles/cadence2_2.png</t>
  </si>
  <si>
    <t>subtitles/cadence2_3.png</t>
  </si>
  <si>
    <t>subtitles/cadence2_4.png</t>
  </si>
  <si>
    <t>subtitles/cadence2_5.png</t>
  </si>
  <si>
    <t>subtitles/cadence3_1.png</t>
  </si>
  <si>
    <t>subtitles/cadence3_2.png</t>
  </si>
  <si>
    <t>subtitles/cadence3_3.png</t>
  </si>
  <si>
    <t>subtitles/cadence3_4.png</t>
  </si>
  <si>
    <t>subtitles/cadence4_1.png</t>
  </si>
  <si>
    <t>subtitles/cadence4_2.png</t>
  </si>
  <si>
    <t>subtitles/cadence4_3.png</t>
  </si>
  <si>
    <t>subtitles/cadence4_4.png</t>
  </si>
  <si>
    <t>subtitles/cadence5_1.png</t>
  </si>
  <si>
    <t>subtitles/cadence5_2.png</t>
  </si>
  <si>
    <t>subtitles/melody0_1.png</t>
  </si>
  <si>
    <t>subtitles/melody0_2.png</t>
  </si>
  <si>
    <t>subtitles/melody0_3.png</t>
  </si>
  <si>
    <t>subtitles/melody0_4.png</t>
  </si>
  <si>
    <t>subtitles/melody0_5.png</t>
  </si>
  <si>
    <t>subtitles/melody1_1.png</t>
  </si>
  <si>
    <t>subtitles/melody1_2.png</t>
  </si>
  <si>
    <t>subtitles/melody1_3.png</t>
  </si>
  <si>
    <t>subtitles/melody1_4.png</t>
  </si>
  <si>
    <t>subtitles/melody2_1.png</t>
  </si>
  <si>
    <t>subtitles/melody2_2.png</t>
  </si>
  <si>
    <t>subtitles/melody3_1.png</t>
  </si>
  <si>
    <t>subtitles/melody3_2.png</t>
  </si>
  <si>
    <t>subtitles/melody3_3.png</t>
  </si>
  <si>
    <t>subtitles/melody4_1.png</t>
  </si>
  <si>
    <t>subtitles/melody4_2.png</t>
  </si>
  <si>
    <t>subtitles/melody4_3.png</t>
  </si>
  <si>
    <t>subtitles/melody4_4.png</t>
  </si>
  <si>
    <t>subtitles/melody4_5.png</t>
  </si>
  <si>
    <t>subtitles/melody4_6.png</t>
  </si>
  <si>
    <t>subtitles/melody4_7.png</t>
  </si>
  <si>
    <t>subtitles/melody5_1.png</t>
  </si>
  <si>
    <t>subtitles/melody5_2.png</t>
  </si>
  <si>
    <t>subtitles/melody5_3.png</t>
  </si>
  <si>
    <t>subtitles/necrodancer1.png</t>
  </si>
  <si>
    <t>subtitles/necrodancer2.png</t>
  </si>
  <si>
    <t>subtitles/necrodancer3.png</t>
  </si>
  <si>
    <t>subtitles/necrodancer4.png</t>
  </si>
  <si>
    <t>subtitles/necrodancer5.png</t>
  </si>
  <si>
    <t>subtitles/tutorial1.png</t>
  </si>
  <si>
    <t>subtitles/tutorial2.png</t>
  </si>
  <si>
    <t>subtitles/tutorial3.png</t>
  </si>
  <si>
    <t>subtitles/tutorial4.png</t>
  </si>
  <si>
    <t>subtitles/tutorial5.png</t>
  </si>
  <si>
    <t>subtitles/tutorial6.png</t>
  </si>
  <si>
    <t>SUBTITLES</t>
  </si>
  <si>
    <t>I came back to destroy the Lute. I revived the NecroDancer to seek answers, but he betrayed me</t>
  </si>
  <si>
    <t>I came back to destroy the Lute. I revived the NecroDancer to seek answers, but he betrayed me</t>
    <phoneticPr fontId="1" type="noConversion"/>
  </si>
  <si>
    <t>You left us. You never came back!</t>
  </si>
  <si>
    <t>You left us. You never came back!</t>
    <phoneticPr fontId="1" type="noConversion"/>
  </si>
  <si>
    <t>I did what I thought I had to, but I failed.</t>
  </si>
  <si>
    <t>I did what I thought I had to, but I failed.</t>
    <phoneticPr fontId="1" type="noConversion"/>
  </si>
  <si>
    <t>aria0_1</t>
  </si>
  <si>
    <t>aria0_2</t>
  </si>
  <si>
    <t>aria0_3</t>
  </si>
  <si>
    <t>aria0_4</t>
  </si>
  <si>
    <t>aria0_5</t>
  </si>
  <si>
    <t>aria1_1</t>
  </si>
  <si>
    <t>aria1_2</t>
  </si>
  <si>
    <t>aria2_1</t>
  </si>
  <si>
    <t>aria2_2</t>
  </si>
  <si>
    <t>aria3_1</t>
  </si>
  <si>
    <t>aria3_2</t>
  </si>
  <si>
    <t>aria3_3</t>
  </si>
  <si>
    <t>aria3_4</t>
  </si>
  <si>
    <t>aria4_1</t>
  </si>
  <si>
    <t>aria4_2</t>
  </si>
  <si>
    <t>aria4_3</t>
  </si>
  <si>
    <t>aria4_4</t>
  </si>
  <si>
    <t>aria4_5</t>
  </si>
  <si>
    <t>aria4_6</t>
  </si>
  <si>
    <t>aria5_1</t>
  </si>
  <si>
    <t>aria5_2</t>
  </si>
  <si>
    <t>cadence0_1</t>
  </si>
  <si>
    <t>cadence0_2</t>
  </si>
  <si>
    <t>cadence0_3</t>
  </si>
  <si>
    <t>cadence0_4</t>
  </si>
  <si>
    <t>cadence0_5</t>
  </si>
  <si>
    <t>cadence0_6</t>
  </si>
  <si>
    <t>cadence0_7</t>
  </si>
  <si>
    <t>cadence0_8</t>
  </si>
  <si>
    <t>cadence1_1</t>
  </si>
  <si>
    <t>cadence1_2</t>
  </si>
  <si>
    <t>cadence1_3</t>
  </si>
  <si>
    <t>cadence1_4</t>
  </si>
  <si>
    <t>cadence2_1</t>
  </si>
  <si>
    <t>cadence2_2</t>
  </si>
  <si>
    <t>cadence2_3</t>
  </si>
  <si>
    <t>cadence2_4</t>
  </si>
  <si>
    <t>cadence2_5</t>
  </si>
  <si>
    <t>cadence3_1</t>
  </si>
  <si>
    <t>cadence3_2</t>
  </si>
  <si>
    <t>cadence3_3</t>
  </si>
  <si>
    <t>cadence3_4</t>
  </si>
  <si>
    <t>cadence4_1</t>
  </si>
  <si>
    <t>cadence4_2</t>
  </si>
  <si>
    <t>cadence4_3</t>
  </si>
  <si>
    <t>cadence4_4</t>
  </si>
  <si>
    <t>cadence5_1</t>
  </si>
  <si>
    <t>cadence5_2</t>
  </si>
  <si>
    <t>melody0_1</t>
  </si>
  <si>
    <t>melody0_2</t>
  </si>
  <si>
    <t>melody0_3</t>
  </si>
  <si>
    <t>melody0_4</t>
  </si>
  <si>
    <t>melody0_5</t>
  </si>
  <si>
    <t>melody1_1</t>
  </si>
  <si>
    <t>melody1_2</t>
  </si>
  <si>
    <t>melody1_3</t>
  </si>
  <si>
    <t>melody1_4</t>
  </si>
  <si>
    <t>melody2_1</t>
  </si>
  <si>
    <t>melody2_2</t>
  </si>
  <si>
    <t>melody3_1</t>
  </si>
  <si>
    <t>melody3_2</t>
  </si>
  <si>
    <t>melody3_3</t>
  </si>
  <si>
    <t>melody4_1</t>
  </si>
  <si>
    <t>melody4_2</t>
  </si>
  <si>
    <t>melody4_3</t>
  </si>
  <si>
    <t>melody4_4</t>
  </si>
  <si>
    <t>melody4_5</t>
  </si>
  <si>
    <t>melody4_6</t>
  </si>
  <si>
    <t>melody4_7</t>
  </si>
  <si>
    <t>melody5_1</t>
  </si>
  <si>
    <t>melody5_2</t>
  </si>
  <si>
    <t>melody5_3</t>
  </si>
  <si>
    <t>necrodancer1</t>
  </si>
  <si>
    <t>necrodancer2</t>
  </si>
  <si>
    <t>necrodancer3</t>
  </si>
  <si>
    <t>necrodancer4</t>
  </si>
  <si>
    <t>necrodancer5</t>
  </si>
  <si>
    <t>tutorial1</t>
  </si>
  <si>
    <t>tutorial2</t>
  </si>
  <si>
    <t>tutorial3</t>
  </si>
  <si>
    <t>tutorial4</t>
  </si>
  <si>
    <t>tutorial5</t>
  </si>
  <si>
    <t>tutorial6</t>
  </si>
  <si>
    <t>I blamed you for so long... but I understand now. This thing must be destroyed.</t>
  </si>
  <si>
    <t>I blamed you for so long... but I understand now. This thing must be destroyed.</t>
    <phoneticPr fontId="1" type="noConversion"/>
  </si>
  <si>
    <t>That's right. And only I know how to do it.</t>
  </si>
  <si>
    <t>That's right. And only I know how to do it.</t>
    <phoneticPr fontId="1" type="noConversion"/>
  </si>
  <si>
    <t>Before he betrayed me, he told me the location of the shrine.</t>
  </si>
  <si>
    <t>Before he betrayed me, he told me the location of the shrine.</t>
    <phoneticPr fontId="1" type="noConversion"/>
  </si>
  <si>
    <t>No doubt just to buy himself more time.Let's end this.</t>
  </si>
  <si>
    <t>No doubt just to buy himself more time.Let's end this.</t>
    <phoneticPr fontId="1" type="noConversion"/>
  </si>
  <si>
    <t>Octavian was once a bard, struggling to be noticed.</t>
  </si>
  <si>
    <t>Octavian was once a bard, struggling to be noticed.</t>
    <phoneticPr fontId="1" type="noConversion"/>
  </si>
  <si>
    <t>On his travels he stumbled upon the solution to his troubles.</t>
  </si>
  <si>
    <t>On his travels he stumbled upon the solution to his troubles.</t>
    <phoneticPr fontId="1" type="noConversion"/>
  </si>
  <si>
    <t>Centuries ago, Octavian fled to the crypt and amassed an undead army.</t>
  </si>
  <si>
    <t>Centuries ago, Octavian fled to the crypt and amassed an undead army.</t>
    <phoneticPr fontId="1" type="noConversion"/>
  </si>
  <si>
    <t>But the first time I found the crypt, there were no monsters.</t>
  </si>
  <si>
    <t>But the first time I found the crypt, there were no monsters.</t>
    <phoneticPr fontId="1" type="noConversion"/>
  </si>
  <si>
    <t>After hundreds of years without sleep, the bard had grown weary.</t>
  </si>
  <si>
    <t>After hundreds of years without sleep, the bard had grown weary.</t>
    <phoneticPr fontId="1" type="noConversion"/>
  </si>
  <si>
    <t>He stopped playing, and so he died.The Lute was lost to legend.</t>
  </si>
  <si>
    <t>He stopped playing, and so he died.The Lute was lost to legend.</t>
    <phoneticPr fontId="1" type="noConversion"/>
  </si>
  <si>
    <t>When I came back, I raised him.</t>
  </si>
  <si>
    <t>When I came back, I raised him.</t>
    <phoneticPr fontId="1" type="noConversion"/>
  </si>
  <si>
    <t>Octavian, I know who you are. We need to destroy this lute. It was not meant for mortal hands!</t>
  </si>
  <si>
    <t>Octavian, I know who you are. We need to destroy this lute. It was not meant for mortal hands!</t>
    <phoneticPr fontId="1" type="noConversion"/>
  </si>
  <si>
    <t>You're right. I will sacrifice myself to destroy it.</t>
  </si>
  <si>
    <t>You're right. I will sacrifice myself to destroy it.</t>
    <phoneticPr fontId="1" type="noConversion"/>
  </si>
  <si>
    <t>I can't trust anyone else with this.</t>
  </si>
  <si>
    <t>I can't trust anyone else with this.</t>
    <phoneticPr fontId="1" type="noConversion"/>
  </si>
  <si>
    <t>I was a fool.</t>
  </si>
  <si>
    <t>I was a fool.</t>
    <phoneticPr fontId="1" type="noConversion"/>
  </si>
  <si>
    <t>I have already been cursed. Let me atone for what I have done.</t>
  </si>
  <si>
    <t>I have already been cursed. Let me atone for what I have done.</t>
    <phoneticPr fontId="1" type="noConversion"/>
  </si>
  <si>
    <t>Finally I've made amends.</t>
  </si>
  <si>
    <t>Finally I've made amends.</t>
    <phoneticPr fontId="1" type="noConversion"/>
  </si>
  <si>
    <t>Everything comes to an end, my daughter. But for you and your family, not today.</t>
  </si>
  <si>
    <t>Everything comes to an end, my daughter. But for you and your family, not today.</t>
    <phoneticPr fontId="1" type="noConversion"/>
  </si>
  <si>
    <t>They told me I was too young.</t>
  </si>
  <si>
    <t>They told me I was too young.</t>
    <phoneticPr fontId="1" type="noConversion"/>
  </si>
  <si>
    <t>They told me I needed more training.</t>
  </si>
  <si>
    <t>They told me I needed more training.</t>
    <phoneticPr fontId="1" type="noConversion"/>
  </si>
  <si>
    <t>I told them to drop dead!</t>
  </si>
  <si>
    <t>I told them to drop dead!</t>
    <phoneticPr fontId="1" type="noConversion"/>
  </si>
  <si>
    <t>How ironic…</t>
  </si>
  <si>
    <t>How ironic…</t>
    <phoneticPr fontId="1" type="noConversion"/>
  </si>
  <si>
    <t>I don't know how I survived that fall... something strange must have happened.</t>
  </si>
  <si>
    <t>I don't know how I survived that fall... something strange must have happened.</t>
    <phoneticPr fontId="1" type="noConversion"/>
  </si>
  <si>
    <t>My pulse is beating like a drum, but my blood is running cold.</t>
  </si>
  <si>
    <t>My pulse is beating like a drum, but my blood is running cold.</t>
    <phoneticPr fontId="1" type="noConversion"/>
  </si>
  <si>
    <t>I'm not sure what's going on, but I came here with a question.</t>
  </si>
  <si>
    <t>I'm not sure what's going on, but I came here with a question.</t>
    <phoneticPr fontId="1" type="noConversion"/>
  </si>
  <si>
    <t>And I'm going to find the answer if it kills me.</t>
  </si>
  <si>
    <t>And I'm going to find the answer if it kills me.</t>
    <phoneticPr fontId="1" type="noConversion"/>
  </si>
  <si>
    <t>Dad was always coming and going on his adventures. But this time he seemed more excited.</t>
  </si>
  <si>
    <t>Dad was always coming and going on his adventures. But this time he seemed more excited.</t>
    <phoneticPr fontId="1" type="noConversion"/>
  </si>
  <si>
    <t>He said he'd found it, some great treasure.</t>
  </si>
  <si>
    <t>He said he'd found it, some great treasure.</t>
    <phoneticPr fontId="1" type="noConversion"/>
  </si>
  <si>
    <t>When I was older, I found the notes he left behind. Directions to a graveyard.</t>
  </si>
  <si>
    <t>When I was older, I found the notes he left behind. Directions to a graveyard.</t>
    <phoneticPr fontId="1" type="noConversion"/>
  </si>
  <si>
    <t>Uncle Eli tried to stop me, but Dad had been gone for two years. I had to find him.</t>
  </si>
  <si>
    <t>Uncle Eli tried to stop me, but Dad had been gone for two years. I had to find him.</t>
    <phoneticPr fontId="1" type="noConversion"/>
  </si>
  <si>
    <t>Mom died when I was only seven. I heard Dad and Uncle Eli arguing after the funeral.</t>
  </si>
  <si>
    <t>Mom died when I was only seven. I heard Dad and Uncle Eli arguing after the funeral.</t>
    <phoneticPr fontId="1" type="noConversion"/>
  </si>
  <si>
    <t>Now I have no choice, Eli. I have to find the Golden Lute.</t>
  </si>
  <si>
    <t>Now I have no choice, Eli. I have to find the Golden Lute.</t>
    <phoneticPr fontId="1" type="noConversion"/>
  </si>
  <si>
    <t>And abandon your child?</t>
  </si>
  <si>
    <t>And abandon your child?</t>
    <phoneticPr fontId="1" type="noConversion"/>
  </si>
  <si>
    <t>With these notes, it shouldn't take long to find…</t>
  </si>
  <si>
    <t>With these notes, it shouldn't take long to find…</t>
    <phoneticPr fontId="1" type="noConversion"/>
  </si>
  <si>
    <t>What was so important about golden loot?</t>
  </si>
  <si>
    <t>What was so important about golden loot?</t>
    <phoneticPr fontId="1" type="noConversion"/>
  </si>
  <si>
    <t>We were so happy together. Until my mother got sick…</t>
  </si>
  <si>
    <t>We were so happy together. Until my mother got sick…</t>
    <phoneticPr fontId="1" type="noConversion"/>
  </si>
  <si>
    <t>I just wanna help you, Melody. Can't you see that?</t>
  </si>
  <si>
    <t>I just wanna help you, Melody. Can't you see that?</t>
    <phoneticPr fontId="1" type="noConversion"/>
  </si>
  <si>
    <t>There's a reason my mother took that thing away, Dorian. Don't go!</t>
  </si>
  <si>
    <t>There's a reason my mother took that thing away, Dorian. Don't go!</t>
    <phoneticPr fontId="1" type="noConversion"/>
  </si>
  <si>
    <t>I have to find it, I... I have to risk it.</t>
  </si>
  <si>
    <t>I have to find it, I... I have to risk it.</t>
    <phoneticPr fontId="1" type="noConversion"/>
  </si>
  <si>
    <t>Dad?!?!</t>
  </si>
  <si>
    <t>Dad?!?!</t>
    <phoneticPr fontId="1" type="noConversion"/>
  </si>
  <si>
    <t>Cadence, I'm sorry! I was under his spell…</t>
  </si>
  <si>
    <t>Cadence, I'm sorry! I was under his spell…</t>
    <phoneticPr fontId="1" type="noConversion"/>
  </si>
  <si>
    <t>Leaving so soon? I guess you don't have the HEART to face me!</t>
  </si>
  <si>
    <t>Leaving so soon? I guess you don't have the HEART to face me!</t>
    <phoneticPr fontId="1" type="noConversion"/>
  </si>
  <si>
    <t>I think I know how to defeat him, Cadence. But we'll have to work together. Follow my lead.</t>
  </si>
  <si>
    <t>I think I know how to defeat him, Cadence. But we'll have to work together. Follow my lead.</t>
    <phoneticPr fontId="1" type="noConversion"/>
  </si>
  <si>
    <t>All along it was a golden lute you were after. But why?</t>
  </si>
  <si>
    <t>All along it was a golden lute you were after. But why?</t>
    <phoneticPr fontId="1" type="noConversion"/>
  </si>
  <si>
    <t>You're about to find out.</t>
  </si>
  <si>
    <t>You're about to find out.</t>
    <phoneticPr fontId="1" type="noConversion"/>
  </si>
  <si>
    <t>They brought me back using the power of the Golden Lute.</t>
  </si>
  <si>
    <t>They brought me back using the power of the Golden Lute.</t>
    <phoneticPr fontId="1" type="noConversion"/>
  </si>
  <si>
    <t>But we soon discovered that the Lute has its restrictions.</t>
  </si>
  <si>
    <t>But we soon discovered that the Lute has its restrictions.</t>
    <phoneticPr fontId="1" type="noConversion"/>
  </si>
  <si>
    <t>To stay alive, we must keep playing.</t>
  </si>
  <si>
    <t>To stay alive, we must keep playing.</t>
    <phoneticPr fontId="1" type="noConversion"/>
  </si>
  <si>
    <t>And the longer we play, the more it robs us of our humanity.</t>
  </si>
  <si>
    <t>And the longer we play, the more it robs us of our humanity.</t>
    <phoneticPr fontId="1" type="noConversion"/>
  </si>
  <si>
    <t>But I know something about the crypt that they don't. And now I need answers.</t>
  </si>
  <si>
    <t>But I know something about the crypt that they don't. And now I need answers.</t>
    <phoneticPr fontId="1" type="noConversion"/>
  </si>
  <si>
    <t>It was the same plague that had come through our village when I was a child.</t>
  </si>
  <si>
    <t>It was the same plague that had come through our village when I was a child.</t>
    <phoneticPr fontId="1" type="noConversion"/>
  </si>
  <si>
    <t>Dorian knew the stories.</t>
  </si>
  <si>
    <t>Dorian knew the stories.</t>
    <phoneticPr fontId="1" type="noConversion"/>
  </si>
  <si>
    <t>I just need to find the Golden Lute. I can save you!</t>
  </si>
  <si>
    <t>I just need to find the Golden Lute. I can save you!</t>
    <phoneticPr fontId="1" type="noConversion"/>
  </si>
  <si>
    <t>I could see the greed in his eyes, behind the desperation. It was just like before…</t>
  </si>
  <si>
    <t>I could see the greed in his eyes, behind the desperation. It was just like before…</t>
    <phoneticPr fontId="1" type="noConversion"/>
  </si>
  <si>
    <t>My mother left us to get rid of the Lute, just like she left us to find it.</t>
  </si>
  <si>
    <t>My mother left us to get rid of the Lute, just like she left us to find it.</t>
    <phoneticPr fontId="1" type="noConversion"/>
  </si>
  <si>
    <t>And now I've inherited her burden, but I'll be damned if I'm going to pass it on to my daughter.</t>
  </si>
  <si>
    <t>And now I've inherited her burden, but I'll be damned if I'm going to pass it on to my daughter.</t>
    <phoneticPr fontId="1" type="noConversion"/>
  </si>
  <si>
    <t>The plague had been through the village when I was young. Mom healed the people who were dying.</t>
  </si>
  <si>
    <t>The plague had been through the village when I was young. Mom healed the people who were dying.</t>
    <phoneticPr fontId="1" type="noConversion"/>
  </si>
  <si>
    <t>But they turned against her. They wanted the power of the Lute for themselves.</t>
  </si>
  <si>
    <t>But they turned against her. They wanted the power of the Lute for themselves.</t>
    <phoneticPr fontId="1" type="noConversion"/>
  </si>
  <si>
    <t>It's not the Lute that's cursed. It's us.</t>
  </si>
  <si>
    <t>It's not the Lute that's cursed. It's us.</t>
    <phoneticPr fontId="1" type="noConversion"/>
  </si>
  <si>
    <t>You're Octavian, aren't you? The bard who sought immortality long ago.</t>
  </si>
  <si>
    <t>You're Octavian, aren't you? The bard who sought immortality long ago.</t>
    <phoneticPr fontId="1" type="noConversion"/>
  </si>
  <si>
    <t>I am, and who are you... besides a thief?</t>
  </si>
  <si>
    <t>I am, and who are you... besides a thief?</t>
    <phoneticPr fontId="1" type="noConversion"/>
  </si>
  <si>
    <t>I am Melody, a bard as you once were. I seek to destroy this accursed lute.</t>
  </si>
  <si>
    <t>I am Melody, a bard as you once were. I seek to destroy this accursed lute.</t>
    <phoneticPr fontId="1" type="noConversion"/>
  </si>
  <si>
    <t>You want to destroy it?! The Lute is MINE!</t>
  </si>
  <si>
    <t>You want to destroy it?! The Lute is MINE!</t>
    <phoneticPr fontId="1" type="noConversion"/>
  </si>
  <si>
    <t>But I have the Lute, Octavian, and if I stop playing, we'll both die.</t>
  </si>
  <si>
    <t>But I have the Lute, Octavian, and if I stop playing, we'll both die.</t>
    <phoneticPr fontId="1" type="noConversion"/>
  </si>
  <si>
    <t>Tell me everything you know.</t>
  </si>
  <si>
    <t>Tell me everything you know.</t>
    <phoneticPr fontId="1" type="noConversion"/>
  </si>
  <si>
    <t>I... WILL... NOT!!!!</t>
  </si>
  <si>
    <t>I... WILL... NOT!!!!</t>
    <phoneticPr fontId="1" type="noConversion"/>
  </si>
  <si>
    <t>Stop! Get away from me!</t>
  </si>
  <si>
    <t>Stop! Get away from me!</t>
    <phoneticPr fontId="1" type="noConversion"/>
  </si>
  <si>
    <t>What?!</t>
  </si>
  <si>
    <t>What?!</t>
    <phoneticPr fontId="1" type="noConversion"/>
  </si>
  <si>
    <t>Mother!! Is that you?!</t>
  </si>
  <si>
    <t>Mother!! Is that you?!</t>
    <phoneticPr fontId="1" type="noConversion"/>
  </si>
  <si>
    <t>Curse you!</t>
  </si>
  <si>
    <t>Curse you!</t>
    <phoneticPr fontId="1" type="noConversion"/>
  </si>
  <si>
    <t>Give me that lute!</t>
  </si>
  <si>
    <t>Give me that lute!</t>
    <phoneticPr fontId="1" type="noConversion"/>
  </si>
  <si>
    <t>The lute is mine!</t>
  </si>
  <si>
    <t>The lute is mine!</t>
    <phoneticPr fontId="1" type="noConversion"/>
  </si>
  <si>
    <t>Try again! Try again, my pets… I find this most amusing.</t>
  </si>
  <si>
    <t>Try again! Try again, my pets… I find this most amusing.</t>
    <phoneticPr fontId="1" type="noConversion"/>
  </si>
  <si>
    <t>Try again. Ifind this most amusing!</t>
  </si>
  <si>
    <t>Try again. Ifind this most amusing!</t>
    <phoneticPr fontId="1" type="noConversion"/>
  </si>
  <si>
    <t>If I'm gonna survive this, I'll have to remember what eli taught me</t>
  </si>
  <si>
    <t>If I'm gonna survive this, I'll have to remember what eli taught me</t>
    <phoneticPr fontId="1" type="noConversion"/>
  </si>
  <si>
    <t>Every opponent was a predictable pattern, he daid. Lean that pattern and you won't suffer so much as a scratch.</t>
  </si>
  <si>
    <t>Every opponent was a predictable pattern, he daid. Lean that pattern and you won't suffer so much as a scratch.</t>
    <phoneticPr fontId="1" type="noConversion"/>
  </si>
  <si>
    <t>That green guy didn't move al all, and this blue one jus moves up and then down so if I attack him from the side, I'll never get hurt.</t>
  </si>
  <si>
    <t>That green guy didn't move al all, and this blue one jus moves up and then down so if I attack him from the side, I'll never get hurt.</t>
    <phoneticPr fontId="1" type="noConversion"/>
  </si>
  <si>
    <t>Abroadsword! Not as sharp as I'm used to, but I bet it can still take out 3 enemies in one shot.</t>
  </si>
  <si>
    <t>Abroadsword! Not as sharp as I'm used to, but I bet it can still take out 3 enemies in one shot.</t>
    <phoneticPr fontId="1" type="noConversion"/>
  </si>
  <si>
    <t>Looks like those skeletons put their hands in the air when they're about to jump. If I'm in the waywhen they move ,it's gonna hurt.</t>
  </si>
  <si>
    <t>Looks like those skeletons put their hands in the air when they're about to jump. If I'm in the waywhen they move ,it's gonna hurt.</t>
    <phoneticPr fontId="1" type="noConversion"/>
  </si>
  <si>
    <t>That trap is mostly harmless, but eli warned me of deadlier traps to come.</t>
  </si>
  <si>
    <t>That trap is mostly harmless, but eli warned me of deadlier traps to come.</t>
    <phoneticPr fontId="1" type="noConversion"/>
  </si>
  <si>
    <t>他们说我还太年轻。</t>
  </si>
  <si>
    <t>他们说我还需要锻炼。</t>
  </si>
  <si>
    <t>我告诉他们下地狱吧！</t>
  </si>
  <si>
    <t>太讽刺了…</t>
  </si>
  <si>
    <t>我不知道我掉下来之后是怎么活下来的…但肯定发生了一些奇怪的事情。</t>
  </si>
  <si>
    <t>我的身体如火般跳动但是我的血液却逐渐变冷。</t>
  </si>
  <si>
    <t>我不明白接下来将会发生什么，但是我带着我的问题而来。</t>
  </si>
  <si>
    <t>就算因此而死，我也要找到我的答案。</t>
  </si>
  <si>
    <t>父亲总是来往于他的探险旅途中，但这一次他看起来特别兴奋。</t>
  </si>
  <si>
    <t>他说他已经找到了，一些很棒的宝藏。</t>
  </si>
  <si>
    <t>当我长大之后，我找到了他留下来的那些笔记。是关于一个墓地的路线记载。</t>
  </si>
  <si>
    <t>伯父Eli尝试着阻止我，但是父亲已经为此离开了两年了。我必须去找他。</t>
  </si>
  <si>
    <t>母亲在我7岁时就去世了。我听到父亲与伯父在母亲的葬礼上争吵。</t>
  </si>
  <si>
    <t>现在我别无选择了，Eli。我必须得去找到那把金鲁特琴。</t>
  </si>
  <si>
    <t>然后丢下你的孩子不管？</t>
  </si>
  <si>
    <t>有了这些记载上的东西，应该不会需要太长时间的…</t>
  </si>
  <si>
    <t>我们在一起生活的非常幸福快乐，直到我的母亲患病之后…</t>
  </si>
  <si>
    <t>我只是想帮你治好你的病，Melody。你知道吗？</t>
  </si>
  <si>
    <t>这就是为什么我母亲带着那把琴离开了，Dorian。别去！</t>
  </si>
  <si>
    <t>我必须找到它，我…我必须去冒这个险。</t>
  </si>
  <si>
    <t>父亲？！</t>
  </si>
  <si>
    <t>我很抱歉…我被法术迷惑了！</t>
  </si>
  <si>
    <t>不久后就能离开这？我想你们根本就没有信心来面对我！</t>
  </si>
  <si>
    <t>我觉得我知道应该如何击败他，Cadence。但是我们必须同心协力。来，听我指挥。</t>
  </si>
  <si>
    <t>1击杀</t>
  </si>
  <si>
    <t>击杀</t>
  </si>
  <si>
    <t>无限</t>
  </si>
  <si>
    <t>或</t>
  </si>
  <si>
    <t>1/2生命值</t>
  </si>
  <si>
    <t>1生命值</t>
  </si>
  <si>
    <t>1.5生命值</t>
  </si>
  <si>
    <t>可以原地踏步，提升伤害</t>
  </si>
  <si>
    <t>免疫攻击并冰冻所有敌人</t>
  </si>
  <si>
    <t>得到倍率x50的金币</t>
  </si>
  <si>
    <t>放置 地板</t>
  </si>
  <si>
    <t>戒指</t>
  </si>
  <si>
    <t>NULL</t>
  </si>
  <si>
    <t>RESETS DAILY AT MIDNIGHT GMT.</t>
    <phoneticPr fontId="1" type="noConversion"/>
  </si>
  <si>
    <t>CLONE</t>
    <phoneticPr fontId="1" type="noConversion"/>
  </si>
  <si>
    <t xml:space="preserve">LANGUAGE: </t>
    <phoneticPr fontId="1" type="noConversion"/>
  </si>
  <si>
    <t>ALL ZONES, SCORE</t>
  </si>
  <si>
    <t>ALL ZONES, SPEEDRUN</t>
    <phoneticPr fontId="1" type="noConversion"/>
  </si>
  <si>
    <t>SEEDED ALL ZONES, SPEEDRUN</t>
    <phoneticPr fontId="1" type="noConversion"/>
  </si>
  <si>
    <t xml:space="preserve">LANGUAGE: </t>
  </si>
  <si>
    <t>ALL ZONES, SPEEDRUN</t>
  </si>
  <si>
    <t>SEEDED ALL ZONES, SPEEDRUN</t>
  </si>
  <si>
    <t>绿史莱姆</t>
  </si>
  <si>
    <t>蓝史莱姆</t>
  </si>
  <si>
    <t>橙史莱姆</t>
  </si>
  <si>
    <t>骷髅</t>
  </si>
  <si>
    <t>黄骷髅</t>
  </si>
  <si>
    <t>黑骷髅</t>
  </si>
  <si>
    <t>蝙蝠</t>
  </si>
  <si>
    <t>红蝙蝠</t>
  </si>
  <si>
    <t>绿蝙蝠</t>
  </si>
  <si>
    <t>猴子</t>
  </si>
  <si>
    <t>白猴子</t>
  </si>
  <si>
    <t>鬼魂</t>
  </si>
  <si>
    <t>僵尸</t>
  </si>
  <si>
    <t>亡灵</t>
  </si>
  <si>
    <t>宝箱怪</t>
  </si>
  <si>
    <t>持盾骷髅</t>
  </si>
  <si>
    <t>黄色持盾骷髅</t>
  </si>
  <si>
    <t>黑色持盾骷髅</t>
  </si>
  <si>
    <t>骷髅法师</t>
  </si>
  <si>
    <t>黄色骷髅法师</t>
  </si>
  <si>
    <t>黑色骷髅法师</t>
  </si>
  <si>
    <t>蘑菇怪</t>
  </si>
  <si>
    <t>紫色蘑菇怪</t>
  </si>
  <si>
    <t>石巨人</t>
  </si>
  <si>
    <t>深色石巨人</t>
  </si>
  <si>
    <t>犰狳</t>
  </si>
  <si>
    <t>黄色犰狳</t>
  </si>
  <si>
    <t>克隆体</t>
  </si>
  <si>
    <t>焦油怪</t>
  </si>
  <si>
    <t>鼹鼠</t>
  </si>
  <si>
    <t>幽灵</t>
  </si>
  <si>
    <t>假墙体</t>
  </si>
  <si>
    <t>骷髅骑士</t>
  </si>
  <si>
    <t>黄色骷髅骑士</t>
  </si>
  <si>
    <t>黑色骷髅骑士</t>
  </si>
  <si>
    <t>火元素</t>
  </si>
  <si>
    <t>冰元素</t>
  </si>
  <si>
    <t>灰色哥布林</t>
  </si>
  <si>
    <t>火甲虫</t>
  </si>
  <si>
    <t>冰甲虫</t>
  </si>
  <si>
    <t>地狱犬</t>
  </si>
  <si>
    <t>冰风雪人</t>
  </si>
  <si>
    <t>恶魂</t>
  </si>
  <si>
    <t>锅炉怪</t>
  </si>
  <si>
    <t>石棺</t>
  </si>
  <si>
    <t>黄色石棺</t>
  </si>
  <si>
    <t>黑色石棺</t>
  </si>
  <si>
    <t>巫妖</t>
  </si>
  <si>
    <t>红巫妖</t>
  </si>
  <si>
    <t>黑巫妖</t>
  </si>
  <si>
    <t>绿色猴子</t>
  </si>
  <si>
    <t>魔法猴子</t>
  </si>
  <si>
    <t>术士</t>
  </si>
  <si>
    <t>霓虹术士</t>
  </si>
  <si>
    <t>见习剑士</t>
  </si>
  <si>
    <t>剑术大师</t>
  </si>
  <si>
    <t>鹰身女妖</t>
  </si>
  <si>
    <t>投弹手</t>
  </si>
  <si>
    <t>蜘蛛</t>
  </si>
  <si>
    <t>哥布林警卫</t>
  </si>
  <si>
    <t>软泥巨人</t>
  </si>
  <si>
    <t>黑色蝙蝠</t>
  </si>
  <si>
    <t>橙色犰狳</t>
  </si>
  <si>
    <t>饿魂</t>
  </si>
  <si>
    <t>小精灵</t>
  </si>
  <si>
    <t>恐怖巨蝠</t>
  </si>
  <si>
    <t>灰色恐怖巨蝠</t>
  </si>
  <si>
    <t>绿龙</t>
  </si>
  <si>
    <t>红龙</t>
  </si>
  <si>
    <t>蓝龙</t>
  </si>
  <si>
    <t>女妖</t>
  </si>
  <si>
    <t>绿色女妖</t>
  </si>
  <si>
    <t>竖琴牛头怪</t>
  </si>
  <si>
    <t>灰色竖琴牛头怪</t>
  </si>
  <si>
    <t>梦魇</t>
  </si>
  <si>
    <t>血之梦魇</t>
  </si>
  <si>
    <t>木乃伊母体</t>
  </si>
  <si>
    <t>食人魔</t>
  </si>
  <si>
    <t>金刚鼓王 1</t>
  </si>
  <si>
    <t>金刚鼓王 2</t>
  </si>
  <si>
    <t>金刚鼓王 3</t>
  </si>
  <si>
    <t>金刚鼓王 4</t>
  </si>
  <si>
    <t>死亡金属 1</t>
  </si>
  <si>
    <t>死亡金属 2</t>
  </si>
  <si>
    <t>死亡金属 3</t>
  </si>
  <si>
    <t>死亡金属 4</t>
  </si>
  <si>
    <t>深蓝象棋 1</t>
  </si>
  <si>
    <t>深蓝象棋 2</t>
  </si>
  <si>
    <t>深蓝象棋 3</t>
  </si>
  <si>
    <t>深蓝象棋 4</t>
  </si>
  <si>
    <t>珊瑚乐团 1</t>
  </si>
  <si>
    <t>珊瑚乐团 2</t>
  </si>
  <si>
    <t>珊瑚乐团 3</t>
  </si>
  <si>
    <t>珊瑚乐团 4</t>
  </si>
  <si>
    <t>亡灵舞者</t>
  </si>
  <si>
    <t>亡灵舞者 2</t>
  </si>
  <si>
    <t>0.5</t>
  </si>
  <si>
    <t/>
  </si>
  <si>
    <t>1.5</t>
  </si>
  <si>
    <t>地下城大师</t>
  </si>
  <si>
    <t>吹风！</t>
  </si>
  <si>
    <t>和平主义者</t>
  </si>
  <si>
    <t>深蓝象棋</t>
  </si>
  <si>
    <t>火焰史莱姆</t>
  </si>
  <si>
    <t>冰霜史莱姆</t>
  </si>
  <si>
    <t>推推怪</t>
  </si>
  <si>
    <t>白色犰狳</t>
  </si>
  <si>
    <t>白色持盾骷髅</t>
  </si>
  <si>
    <t>蓝色女妖</t>
  </si>
  <si>
    <t>蓝蝙蝠</t>
  </si>
  <si>
    <t>黄色恐怖蝙蝠</t>
  </si>
  <si>
    <t>棕色恐怖蝙蝠</t>
  </si>
  <si>
    <t>象</t>
  </si>
  <si>
    <t>象(红方)</t>
  </si>
  <si>
    <t>桶</t>
  </si>
  <si>
    <t>石像鬼</t>
  </si>
  <si>
    <t>紫色哥布林</t>
  </si>
  <si>
    <t>哥布林投弹手</t>
  </si>
  <si>
    <t>浅色石巨人</t>
  </si>
  <si>
    <t>国王</t>
  </si>
  <si>
    <t>国王(红方)</t>
  </si>
  <si>
    <t>马</t>
  </si>
  <si>
    <t>马(红方)</t>
  </si>
  <si>
    <t>妖精</t>
  </si>
  <si>
    <t>浅色牛头怪</t>
  </si>
  <si>
    <t>深色牛头怪</t>
  </si>
  <si>
    <t>紫色猴子</t>
  </si>
  <si>
    <t>木乃伊</t>
  </si>
  <si>
    <t>蓝色蘑菇怪</t>
  </si>
  <si>
    <t>爆炸蘑菇怪</t>
  </si>
  <si>
    <t>黑暗梦魇</t>
  </si>
  <si>
    <t>卒</t>
  </si>
  <si>
    <t>卒(红方)</t>
  </si>
  <si>
    <t>王后</t>
  </si>
  <si>
    <t>王后(红方)</t>
  </si>
  <si>
    <t>车</t>
  </si>
  <si>
    <t>车(红方)</t>
  </si>
  <si>
    <t>商店老板</t>
  </si>
  <si>
    <t>畸形商店老板</t>
  </si>
  <si>
    <t>商店老板幽灵</t>
  </si>
  <si>
    <t>白骷髅</t>
  </si>
  <si>
    <t>白色骷髅骑士</t>
  </si>
  <si>
    <t>白色骷髅法师</t>
  </si>
  <si>
    <t>触手怪</t>
  </si>
  <si>
    <t>锁住的宝箱怪</t>
  </si>
  <si>
    <t>白色宝箱怪</t>
  </si>
  <si>
    <t>火焰锅炉怪</t>
  </si>
  <si>
    <t>冰霜锅炉怪</t>
  </si>
  <si>
    <t>刺针陷阱</t>
  </si>
  <si>
    <t>鲜血魔法</t>
  </si>
  <si>
    <t>血债</t>
  </si>
  <si>
    <t>胆小鬼</t>
  </si>
  <si>
    <t>贪婪</t>
  </si>
  <si>
    <t>熔岩</t>
  </si>
  <si>
    <t>Dorian的诅咒</t>
  </si>
  <si>
    <t>水晶砖块</t>
  </si>
  <si>
    <t>陷阱墙</t>
  </si>
  <si>
    <t>灰色推推怪</t>
  </si>
  <si>
    <t>练习</t>
  </si>
  <si>
    <t>|</t>
    <phoneticPr fontId="1" type="noConversion"/>
  </si>
  <si>
    <t>localization/game_coinmultiplier.png</t>
  </si>
  <si>
    <t>localization/game_coinmultiplierlost.png</t>
  </si>
  <si>
    <t>localization/game_loading.png</t>
  </si>
  <si>
    <t>localization/options_savedatamismatch1.png</t>
  </si>
  <si>
    <t>localization/options_savedatamismatch2.png</t>
  </si>
  <si>
    <t>localization/options_savedatamismatch3.png</t>
  </si>
  <si>
    <t>localization/options_savedatausecloud.png</t>
  </si>
  <si>
    <t>localization/options_savedatauselocal.png</t>
  </si>
  <si>
    <t>localization/game_beatskipped.png</t>
  </si>
  <si>
    <t>localization/lobby_fastmove1.png</t>
  </si>
  <si>
    <t>localization/lobby_fastmove2.png</t>
  </si>
  <si>
    <t>localization/game_death1.png</t>
  </si>
  <si>
    <t>localization/game_death2.png</t>
  </si>
  <si>
    <t>localization/game_songend1.png</t>
  </si>
  <si>
    <t>localization/game_songend2.png</t>
  </si>
  <si>
    <t>localization/game_scoresubmitting.png</t>
  </si>
  <si>
    <t>localization/game_scoreskip.png</t>
  </si>
  <si>
    <t>localization/game_replayshowing.png</t>
  </si>
  <si>
    <t>localization/game_wincount.png</t>
  </si>
  <si>
    <t>localization/game_seeded.png</t>
  </si>
  <si>
    <t>localization/game_speedrun.png</t>
  </si>
  <si>
    <t>localization/location_lobby.png</t>
  </si>
  <si>
    <t>localization/location_zone.png</t>
  </si>
  <si>
    <t>localization/location_boss.png</t>
  </si>
  <si>
    <t>localization/location_level.png</t>
  </si>
  <si>
    <t>localization/lobby_janitorclean1.png</t>
  </si>
  <si>
    <t>localization/lobby_janitorclean2.png</t>
  </si>
  <si>
    <t>localization/lobby_unspent1.png</t>
  </si>
  <si>
    <t>localization/lobby_unspent2.png</t>
  </si>
  <si>
    <t>localization/lobby_unspent3.png</t>
  </si>
  <si>
    <t>localization/lobby_spenddiamonds.png</t>
  </si>
  <si>
    <t>localization/game_quickrestart1.png</t>
  </si>
  <si>
    <t>localization/game_quickrestart2.png</t>
  </si>
  <si>
    <t>localization/game_quickrestart3.png</t>
  </si>
  <si>
    <t>localization/game_scoresubmit.png</t>
  </si>
  <si>
    <t>localization/boss_practiceunlock1.png</t>
  </si>
  <si>
    <t>localization/boss_practiceunlock2.png</t>
  </si>
  <si>
    <t>localization/boss_practiceunlock3.png</t>
  </si>
  <si>
    <t>localization/character_unlockmelody1.png</t>
  </si>
  <si>
    <t>localization/character_unlockmelody2.png</t>
  </si>
  <si>
    <t>localization/character_unlockstory1.png</t>
  </si>
  <si>
    <t>localization/character_unlockstory2.png</t>
  </si>
  <si>
    <t>localization/character_unlock1.png</t>
  </si>
  <si>
    <t>localization/character_unlock2.png</t>
  </si>
  <si>
    <t>localization/character_unlock3.png</t>
  </si>
  <si>
    <t>localization/character_unlock4.png</t>
  </si>
  <si>
    <t>localization/shop_cost.png</t>
  </si>
  <si>
    <t>localization/shop_coins.png</t>
  </si>
  <si>
    <t>localization/hint_usewalls.png</t>
  </si>
  <si>
    <t>localization/lobby_tutorial.png</t>
  </si>
  <si>
    <t>localization/lobby_zone1.png</t>
  </si>
  <si>
    <t>localization/lobby_zone2.png</t>
  </si>
  <si>
    <t>localization/lobby_zone3.png</t>
  </si>
  <si>
    <t>localization/lobby_zone4.png</t>
  </si>
  <si>
    <t>localization/lobby_select.png</t>
  </si>
  <si>
    <t>localization/lobby_character.png</t>
  </si>
  <si>
    <t>localization/lobby_allzones.png</t>
  </si>
  <si>
    <t>localization/lobby_mode.png</t>
  </si>
  <si>
    <t>localization/lobby_dancepad.png</t>
  </si>
  <si>
    <t>localization/lobby_modeeasier.png</t>
  </si>
  <si>
    <t>localization/lobby_allzonesmode.png</t>
  </si>
  <si>
    <t>localization/lobby_seeded.png</t>
  </si>
  <si>
    <t>localization/lobby_leveleditor.png</t>
  </si>
  <si>
    <t>localization/lobby_dailychallenge.png</t>
  </si>
  <si>
    <t>localization/lobby_localcoop.png</t>
  </si>
  <si>
    <t>localization/lobby_singleplayer.png</t>
  </si>
  <si>
    <t>localization/lobby_zone1complete.png</t>
  </si>
  <si>
    <t>localization/lobby_zone2complete.png</t>
  </si>
  <si>
    <t>localization/lobby_zone3complete.png</t>
  </si>
  <si>
    <t>localization/lobby_zone4complete_aria.png</t>
  </si>
  <si>
    <t>localization/lobby_zone3complete_aria.png</t>
  </si>
  <si>
    <t>localization/lobby_zone2complete_aria.png</t>
  </si>
  <si>
    <t>localization/lobby_dungeonmaster.png</t>
  </si>
  <si>
    <t>localization/lobby_dungeonmasterhint.png</t>
  </si>
  <si>
    <t>localization/lobby_dungeonmasterexplain.png</t>
  </si>
  <si>
    <t>localization/lobby_beastmaster.png</t>
  </si>
  <si>
    <t>localization/lobby_bossmaster.png</t>
  </si>
  <si>
    <t>localization/lobby_bossmasterexplain.png</t>
  </si>
  <si>
    <t>localization/lobby_minibosses.png</t>
  </si>
  <si>
    <t>localization/lobby_bosses.png</t>
  </si>
  <si>
    <t>localization/lobby_weaponmaster.png</t>
  </si>
  <si>
    <t>localization/lobby_weaponmasterhint.png</t>
  </si>
  <si>
    <t>localization/lobby_weaponmasterexplain.png</t>
  </si>
  <si>
    <t>localization/lobby_weaponbase.png</t>
  </si>
  <si>
    <t>localization/lobby_weapongold.png</t>
  </si>
  <si>
    <t>localization/lobby_weaponglass.png</t>
  </si>
  <si>
    <t>localization/lobby_weaponblood.png</t>
  </si>
  <si>
    <t>localization/lobby_weaponobsidian.png</t>
  </si>
  <si>
    <t>localization/lobby_weapontitanium.png</t>
  </si>
  <si>
    <t>localization/lobby_codex.png</t>
  </si>
  <si>
    <t>localization/lobby_codexexplain.png</t>
  </si>
  <si>
    <t>localization/lobby_dragonlore.png</t>
  </si>
  <si>
    <t>localization/lobby_traplore.png</t>
  </si>
  <si>
    <t>localization/lobby_bomblore.png</t>
  </si>
  <si>
    <t>localization/lobby_howtogetaway.png</t>
  </si>
  <si>
    <t>localization/lobby_withmurder.png</t>
  </si>
  <si>
    <t>localization/lobby_janitor.png</t>
  </si>
  <si>
    <t>localization/lobby_janitorexplain1.png</t>
  </si>
  <si>
    <t>localization/lobby_janitorexplain2.png</t>
  </si>
  <si>
    <t>localization/lobby_diamonddealer.png</t>
  </si>
  <si>
    <t>localization/lobby_diamonddealerhint.png</t>
  </si>
  <si>
    <t>localization/lobby_diamonddealerexplain1.png</t>
  </si>
  <si>
    <t>localization/lobby_diamonddealerexplain2.png</t>
  </si>
  <si>
    <t>localization/characterselect_random.png</t>
  </si>
  <si>
    <t>localization/characterselect_character.png</t>
  </si>
  <si>
    <t>localization/characterselect_allchars.png</t>
  </si>
  <si>
    <t>localization/characterselect_exceptcoda.png</t>
  </si>
  <si>
    <t>localization/characterselect_deathless.png</t>
  </si>
  <si>
    <t>localization/characterselect_mode1.png</t>
  </si>
  <si>
    <t>localization/characterselect_story.png</t>
  </si>
  <si>
    <t>localization/characterselect_mode2.png</t>
  </si>
  <si>
    <t>localization/characterselect_hint1.png</t>
  </si>
  <si>
    <t>localization/characterselect_hint2.png</t>
  </si>
  <si>
    <t>localization/characterselect_choosenext.png</t>
  </si>
  <si>
    <t>localization/lobby_chooseenemy.png</t>
  </si>
  <si>
    <t>localization/lobby_beastmasterexplain2.png</t>
  </si>
  <si>
    <t>localization/lobby_back.png</t>
  </si>
  <si>
    <t>localization/lobby_chooseminiboss.png</t>
  </si>
  <si>
    <t>localization/lobby_chooseboss.png</t>
  </si>
  <si>
    <t>localization/game_goodluck.png</t>
  </si>
  <si>
    <t>localization/shop_transmog.png</t>
  </si>
  <si>
    <t>localization/shop_conjurer.png</t>
  </si>
  <si>
    <t>localization/shop_shriner.png</t>
  </si>
  <si>
    <t>localization/shop_pawnbroker.png</t>
  </si>
  <si>
    <t>localization/game_dancepad1.png</t>
  </si>
  <si>
    <t>localization/game_dancepad2.png</t>
  </si>
  <si>
    <t>localization/game_dancepad3.png</t>
  </si>
  <si>
    <t>localization/game_deathless1.png</t>
  </si>
  <si>
    <t>localization/game_deathless2.png</t>
  </si>
  <si>
    <t>localization/game_deathless3.png</t>
  </si>
  <si>
    <t>localization/game_allchars1.png</t>
  </si>
  <si>
    <t>localization/game_allchars2.png</t>
  </si>
  <si>
    <t>localization/game_allchars3.png</t>
  </si>
  <si>
    <t>localization/game_story1.png</t>
  </si>
  <si>
    <t>localization/game_story2.png</t>
  </si>
  <si>
    <t>localization/game_story3.png</t>
  </si>
  <si>
    <t>localization/game_allzones1.png</t>
  </si>
  <si>
    <t>localization/game_allzones2.png</t>
  </si>
  <si>
    <t>localization/game_allzones3.png</t>
  </si>
  <si>
    <t>localization/game_daily1.png</t>
  </si>
  <si>
    <t>localization/game_daily2.png</t>
  </si>
  <si>
    <t>localization/game_daily3.png</t>
  </si>
  <si>
    <t>localization/lobby_dailywait.png</t>
  </si>
  <si>
    <t>localization/lobby_dailyhours.png</t>
  </si>
  <si>
    <t>localization/lobby_dailyminutes.png</t>
  </si>
  <si>
    <t>localization/lobby_dailyseconds.png</t>
  </si>
  <si>
    <t>localization/lobby_beastmasterexplain1.png</t>
  </si>
  <si>
    <t>localization/character_cadence.png</t>
  </si>
  <si>
    <t>localization/character_melody.png</t>
  </si>
  <si>
    <t>localization/character_aria.png</t>
  </si>
  <si>
    <t>localization/character_dorian.png</t>
  </si>
  <si>
    <t>localization/character_eli.png</t>
  </si>
  <si>
    <t>localization/character_ghost.png</t>
  </si>
  <si>
    <t>localization/character_monk.png</t>
  </si>
  <si>
    <t>localization/character_dove.png</t>
  </si>
  <si>
    <t>localization/character_coda.png</t>
  </si>
  <si>
    <t>localization/character_thief.png</t>
  </si>
  <si>
    <t>localization/character_bolt.png</t>
  </si>
  <si>
    <t>localization/character_bard.png</t>
  </si>
  <si>
    <t>localization/character_mage.png</t>
  </si>
  <si>
    <t>localization/character_allchars.png</t>
  </si>
  <si>
    <t>localization/character_storymode.png</t>
  </si>
  <si>
    <t>localization/characterbig_cadence.png</t>
  </si>
  <si>
    <t>localization/characterbig_melody.png</t>
  </si>
  <si>
    <t>localization/characterbig_aria.png</t>
  </si>
  <si>
    <t>localization/characterbig_dorian.png</t>
  </si>
  <si>
    <t>localization/characterbig_eli.png</t>
  </si>
  <si>
    <t>localization/characterbig_ghost.png</t>
  </si>
  <si>
    <t>localization/characterbig_monk.png</t>
  </si>
  <si>
    <t>localization/characterbig_dove.png</t>
  </si>
  <si>
    <t>localization/characterbig_coda.png</t>
  </si>
  <si>
    <t>localization/characterbig_thief.png</t>
  </si>
  <si>
    <t>localization/characterbig_bolt.png</t>
  </si>
  <si>
    <t>localization/characterbig_bard.png</t>
  </si>
  <si>
    <t>localization/characterbig_mage.png</t>
  </si>
  <si>
    <t>localization/characterbig_allchars.png</t>
  </si>
  <si>
    <t>localization/characterbig_storymode.png</t>
  </si>
  <si>
    <t>localization/hint_destroysarcophagus.png</t>
  </si>
  <si>
    <t>localization/hint_completezone1.png</t>
  </si>
  <si>
    <t>localization/hint_completezone2.png</t>
  </si>
  <si>
    <t>localization/hint_completezone3.png</t>
  </si>
  <si>
    <t>localization/hint_completezone4.png</t>
  </si>
  <si>
    <t>localization/hint_completedragonlore.png</t>
  </si>
  <si>
    <t>localization/hint_completetraplore.png</t>
  </si>
  <si>
    <t>localization/hint_completebomblore.png</t>
  </si>
  <si>
    <t>localization/hint_completemonk.png</t>
  </si>
  <si>
    <t>localization/hint_completemelody.png</t>
  </si>
  <si>
    <t>localization/hint_completezone4cadence.png</t>
  </si>
  <si>
    <t>localization/hint_completecadence.png</t>
  </si>
  <si>
    <t>localization/hint_completeallchars.png</t>
  </si>
  <si>
    <t>localization/hint_unlockallchars.png</t>
  </si>
  <si>
    <t>localization/hint_alreadycomplete.png</t>
  </si>
  <si>
    <t>localization/hint_cadenceonly.png</t>
  </si>
  <si>
    <t>localization/hint_melodyonly.png</t>
  </si>
  <si>
    <t>localization/hint_ariaonly.png</t>
  </si>
  <si>
    <t>localization/hint_defeatminiboss.png</t>
  </si>
  <si>
    <t>localization/hint_deafened.png</t>
  </si>
  <si>
    <t>localization/hint_invincible.png</t>
  </si>
  <si>
    <t>localization/hint_shieldblock.png</t>
  </si>
  <si>
    <t>localization/hint_parried.png</t>
  </si>
  <si>
    <t>localization/hint_windspell.png</t>
  </si>
  <si>
    <t>localization/hint_confusionspell.png</t>
  </si>
  <si>
    <t>localization/hint_invinciblenecrodancer1.png</t>
  </si>
  <si>
    <t>localization/hint_invinciblenecrodancer2.png</t>
  </si>
  <si>
    <t>localization/hint_teleported.png</t>
  </si>
  <si>
    <t>localization/hint_confused.png</t>
  </si>
  <si>
    <t>localization/hint_immune.png</t>
  </si>
  <si>
    <t>localization/hint_helpme.png</t>
  </si>
  <si>
    <t>localization/hint_npcsaved1.png</t>
  </si>
  <si>
    <t>localization/hint_goldenkeydig.png</t>
  </si>
  <si>
    <t>localization/hint_bringglasskey.png</t>
  </si>
  <si>
    <t>localization/hint_goldenkeybuy.png</t>
  </si>
  <si>
    <t>localization/hint_npcsaved2.png</t>
  </si>
  <si>
    <t>localization/hint_shrineofblood1.png</t>
  </si>
  <si>
    <t>localization/hint_shrineofdarkness1.png</t>
  </si>
  <si>
    <t>localization/hint_shrineofglass1.png</t>
  </si>
  <si>
    <t>localization/hint_shrineofpeace1.png</t>
  </si>
  <si>
    <t>localization/hint_shrineofrhythm1.png</t>
  </si>
  <si>
    <t>localization/hint_shrineofrisk1.png</t>
  </si>
  <si>
    <t>localization/hint_shrineofsacrifice1.png</t>
  </si>
  <si>
    <t>localization/hint_shrineofspace1.png</t>
  </si>
  <si>
    <t>localization/hint_shrineofwar1.png</t>
  </si>
  <si>
    <t>localization/hint_shrineofnoreturn1.png</t>
  </si>
  <si>
    <t>localization/hint_shrineofphasing1.png</t>
  </si>
  <si>
    <t>localization/hint_shrineofpace1.png</t>
  </si>
  <si>
    <t>localization/hint_shrineofchance1.png</t>
  </si>
  <si>
    <t>localization/hint_chancewin.png</t>
  </si>
  <si>
    <t>localization/hint_chancelose.png</t>
  </si>
  <si>
    <t>localization/hint_tempotrapup.png</t>
  </si>
  <si>
    <t>localization/hint_tempotrapdown.png</t>
  </si>
  <si>
    <t>localization/hint_exitunlocked.png</t>
  </si>
  <si>
    <t>localization/hint_noitem1.png</t>
  </si>
  <si>
    <t>localization/hint_need.png</t>
  </si>
  <si>
    <t>localization/hint_coins1.png</t>
  </si>
  <si>
    <t>localization/hint_transmogfail.png</t>
  </si>
  <si>
    <t>localization/hint_success.png</t>
  </si>
  <si>
    <t>localization/hint_conjuringfail.png</t>
  </si>
  <si>
    <t>localization/hint_noitem2.png</t>
  </si>
  <si>
    <t>localization/hint_brokerreject.png</t>
  </si>
  <si>
    <t>localization/hint_coins2.png</t>
  </si>
  <si>
    <t>localization/hint_flawlessvictory.png</t>
  </si>
  <si>
    <t>localization/hint_gluttony.png</t>
  </si>
  <si>
    <t>localization/hint_needglasskey.png</t>
  </si>
  <si>
    <t>localization/hint_needgoldkey.png</t>
  </si>
  <si>
    <t>localization/hint_infernalfire.png</t>
  </si>
  <si>
    <t>localization/hint_lunge.png</t>
  </si>
  <si>
    <t>localization/hint_pain.png</t>
  </si>
  <si>
    <t>localization/hint_damageenemies.png</t>
  </si>
  <si>
    <t>localization/hint_potion.png</t>
  </si>
  <si>
    <t>localization/hint_coupon.png</t>
  </si>
  <si>
    <t>localization/hint_glass.png</t>
  </si>
  <si>
    <t>localization/hint_sloth.png</t>
  </si>
  <si>
    <t>localization/hint_shrunk.png</t>
  </si>
  <si>
    <t>localization/hint_exitlocked.png</t>
  </si>
  <si>
    <t>localization/hint_courage.png</t>
  </si>
  <si>
    <t>localization/hint_protected.png</t>
  </si>
  <si>
    <t>localization/hint_shielded.png</t>
  </si>
  <si>
    <t>localization/hint_ringshattered.png</t>
  </si>
  <si>
    <t>localization/hint_glassarmorshattered.png</t>
  </si>
  <si>
    <t>localization/hint_crownshattered.png</t>
  </si>
  <si>
    <t>localization/hint_charmshattered.png</t>
  </si>
  <si>
    <t>localization/hint_thorn.png</t>
  </si>
  <si>
    <t>localization/hint_frostmelted.png</t>
  </si>
  <si>
    <t>localization/hint_quaffedpotion.png</t>
  </si>
  <si>
    <t>localization/hint_oldweaponholstered.png</t>
  </si>
  <si>
    <t>localization/hint_cleaned.png</t>
  </si>
  <si>
    <t>localization/hint_purchased.png</t>
  </si>
  <si>
    <t>localization/hint_unlocked.png</t>
  </si>
  <si>
    <t>localization/hint_glassshattered.png</t>
  </si>
  <si>
    <t>localization/hint_quake.png</t>
  </si>
  <si>
    <t>localization/hint_charm.png</t>
  </si>
  <si>
    <t>localization/hint_greatertransmute.png</t>
  </si>
  <si>
    <t>localization/hint_transmute.png</t>
  </si>
  <si>
    <t>localization/hint_descend.png</t>
  </si>
  <si>
    <t>localization/hint_blank.png</t>
  </si>
  <si>
    <t>localization/hint_coins3.png</t>
  </si>
  <si>
    <t>localization/hint_gold.png</t>
  </si>
  <si>
    <t>localization/hint_fear.png</t>
  </si>
  <si>
    <t>localization/hint_greaterfireball.png</t>
  </si>
  <si>
    <t>localization/hint_fireball.png</t>
  </si>
  <si>
    <t>localization/hint_greaterfreeze.png</t>
  </si>
  <si>
    <t>localization/hint_freeze.png</t>
  </si>
  <si>
    <t>localization/hint_heal.png</t>
  </si>
  <si>
    <t>localization/hint_bomb.png</t>
  </si>
  <si>
    <t>localization/hint_gigantism.png</t>
  </si>
  <si>
    <t>localization/hint_greatershield.png</t>
  </si>
  <si>
    <t>localization/hint_shield.png</t>
  </si>
  <si>
    <t>localization/hint_enchantweapon2.png</t>
  </si>
  <si>
    <t>localization/hint_need2.png</t>
  </si>
  <si>
    <t>localization/hint_bloodmagic.png</t>
  </si>
  <si>
    <t>localization/hint_shrineofblood2.png</t>
  </si>
  <si>
    <t>localization/hint_shrineofdarkness2.png</t>
  </si>
  <si>
    <t>localization/hint_shrineofglass2.png</t>
  </si>
  <si>
    <t>localization/hint_shrineofpeace2.png</t>
  </si>
  <si>
    <t>localization/hint_shrineofrhythm2.png</t>
  </si>
  <si>
    <t>localization/hint_shrineofrisk2.png</t>
  </si>
  <si>
    <t>localization/hint_shrineofsacrifice2.png</t>
  </si>
  <si>
    <t>localization/hint_shrineofspace2.png</t>
  </si>
  <si>
    <t>localization/hint_shrineofwar2.png</t>
  </si>
  <si>
    <t>localization/hint_shrineofnoreturn2.png</t>
  </si>
  <si>
    <t>localization/hint_shrineofphasing2.png</t>
  </si>
  <si>
    <t>localization/hint_shrineofpace2.png</t>
  </si>
  <si>
    <t>localization/hint_shrineofchance2.png</t>
  </si>
  <si>
    <t>localization/hint_coins4.png</t>
  </si>
  <si>
    <t>localization/item_additionalblackchest.png</t>
  </si>
  <si>
    <t>localization/item_additionalredchest.png</t>
  </si>
  <si>
    <t>localization/item_additionalpurplechest.png</t>
  </si>
  <si>
    <t>localization/item_chainmail.png</t>
  </si>
  <si>
    <t>localization/item_heavyplate.png</t>
  </si>
  <si>
    <t>localization/item_leatherarmor.png</t>
  </si>
  <si>
    <t>localization/item_platearmor.png</t>
  </si>
  <si>
    <t>localization/item_karategi.png</t>
  </si>
  <si>
    <t>localization/item_glassarmor.png</t>
  </si>
  <si>
    <t>localization/item_obsidianarmor.png</t>
  </si>
  <si>
    <t>localization/item_coinmultiplier0-5.png</t>
  </si>
  <si>
    <t>localization/item_coinmultiplier1.png</t>
  </si>
  <si>
    <t>localization/item_balletshoes.png</t>
  </si>
  <si>
    <t>localization/item_bootsofspeed.png</t>
  </si>
  <si>
    <t>localization/item_wingedboots.png</t>
  </si>
  <si>
    <t>localization/item_explorersboots.png</t>
  </si>
  <si>
    <t>localization/item_leadboots.png</t>
  </si>
  <si>
    <t>localization/item_bootsofleaping.png</t>
  </si>
  <si>
    <t>localization/item_bootsoflunging.png</t>
  </si>
  <si>
    <t>localization/item_bootsofpain.png</t>
  </si>
  <si>
    <t>localization/item_hargreaves.png</t>
  </si>
  <si>
    <t>localization/item_bootsofstrength.png</t>
  </si>
  <si>
    <t>localization/item_apple.png</t>
  </si>
  <si>
    <t>localization/item_cheese.png</t>
  </si>
  <si>
    <t>localization/item_drumstick.png</t>
  </si>
  <si>
    <t>localization/item_ham.png</t>
  </si>
  <si>
    <t>localization/item_holywater.png</t>
  </si>
  <si>
    <t>localization/item_lordcrown.png</t>
  </si>
  <si>
    <t>localization/item_bomb.png</t>
  </si>
  <si>
    <t>localization/item_3bombs.png</t>
  </si>
  <si>
    <t>localization/item_wardrum.png</t>
  </si>
  <si>
    <t>localization/item_blooddrum.png</t>
  </si>
  <si>
    <t>localization/item_doublehearttransplant.png</t>
  </si>
  <si>
    <t>localization/item_hearttransplant.png</t>
  </si>
  <si>
    <t>localization/item_crownofthorns.png</t>
  </si>
  <si>
    <t>localization/item_crownofgreed.png</t>
  </si>
  <si>
    <t>localization/item_crownofteleportation.png</t>
  </si>
  <si>
    <t>localization/item_circletoftelepathy.png</t>
  </si>
  <si>
    <t>localization/item_minerscap.png</t>
  </si>
  <si>
    <t>localization/item_monocle.png</t>
  </si>
  <si>
    <t>localization/item_ninjamask.png</t>
  </si>
  <si>
    <t>localization/item_helm.png</t>
  </si>
  <si>
    <t>localization/item_glassjaw.png</t>
  </si>
  <si>
    <t>localization/item_blasthelm.png</t>
  </si>
  <si>
    <t>localization/item_sunglasses.png</t>
  </si>
  <si>
    <t>localization/item_backpack.png</t>
  </si>
  <si>
    <t>localization/item_holster.png</t>
  </si>
  <si>
    <t>localization/item_packofholding.png</t>
  </si>
  <si>
    <t>localization/item_compass.png</t>
  </si>
  <si>
    <t>localization/item_coupon.png</t>
  </si>
  <si>
    <t>localization/item_goldenkey.png</t>
  </si>
  <si>
    <t>localization/item_glasskey.png</t>
  </si>
  <si>
    <t>localization/item_heartcontainer.png</t>
  </si>
  <si>
    <t>localization/item_doubleheartcontainer.png</t>
  </si>
  <si>
    <t>localization/item_emptyheartcontainer.png</t>
  </si>
  <si>
    <t>localization/item_emptydoubleheartcontainer.png</t>
  </si>
  <si>
    <t>localization/item_key.png</t>
  </si>
  <si>
    <t>localization/item_goldmagnet.png</t>
  </si>
  <si>
    <t>localization/item_map.png</t>
  </si>
  <si>
    <t>localization/item_potion.png</t>
  </si>
  <si>
    <t>localization/item_frostcharm.png</t>
  </si>
  <si>
    <t>localization/item_gluttonycharm.png</t>
  </si>
  <si>
    <t>localization/item_luckycharm.png</t>
  </si>
  <si>
    <t>localization/item_nazarcharm.png</t>
  </si>
  <si>
    <t>localization/item_protectioncharm.png</t>
  </si>
  <si>
    <t>localization/item_riskcharm.png</t>
  </si>
  <si>
    <t>localization/item_strengthcharm.png</t>
  </si>
  <si>
    <t>localization/item_heartcontainer2.png</t>
  </si>
  <si>
    <t>localization/item_50coins.png</t>
  </si>
  <si>
    <t>localization/item_100coins.png</t>
  </si>
  <si>
    <t>localization/item_150coins.png</t>
  </si>
  <si>
    <t>localization/item_diamond.png</t>
  </si>
  <si>
    <t>localization/item_2diamonds.png</t>
  </si>
  <si>
    <t>localization/item_3diamonds.png</t>
  </si>
  <si>
    <t>localization/item_4diamonds.png</t>
  </si>
  <si>
    <t>localization/item_5diamonds.png</t>
  </si>
  <si>
    <t>localization/item_10diamonds.png</t>
  </si>
  <si>
    <t>localization/item_15diamonds.png</t>
  </si>
  <si>
    <t>localization/item_20diamonds.png</t>
  </si>
  <si>
    <t>localization/item_ringofcourage.png</t>
  </si>
  <si>
    <t>localization/item_ringofwar.png</t>
  </si>
  <si>
    <t>localization/item_ringofpeace.png</t>
  </si>
  <si>
    <t>localization/item_ringofmana.png</t>
  </si>
  <si>
    <t>localization/item_ringofshadows.png</t>
  </si>
  <si>
    <t>localization/item_ringofmight.png</t>
  </si>
  <si>
    <t>localization/item_ringofcharisma.png</t>
  </si>
  <si>
    <t>localization/item_ringofluck.png</t>
  </si>
  <si>
    <t>localization/item_ringofgold.png</t>
  </si>
  <si>
    <t>localization/item_ringofphasing.png</t>
  </si>
  <si>
    <t>localization/item_ringofregeneration.png</t>
  </si>
  <si>
    <t>localization/item_ringofprotection.png</t>
  </si>
  <si>
    <t>localization/item_ringofshielding.png</t>
  </si>
  <si>
    <t>localization/item_ringofbecoming.png</t>
  </si>
  <si>
    <t>localization/item_ringofwonder.png</t>
  </si>
  <si>
    <t>localization/item_earthquakescroll.png</t>
  </si>
  <si>
    <t>localization/item_fearscroll.png</t>
  </si>
  <si>
    <t>localization/item_fireballscroll.png</t>
  </si>
  <si>
    <t>localization/item_freezescroll.png</t>
  </si>
  <si>
    <t>localization/item_gigantismscroll.png</t>
  </si>
  <si>
    <t>localization/item_richesscroll.png</t>
  </si>
  <si>
    <t>localization/item_shieldscroll.png</t>
  </si>
  <si>
    <t>localization/item_enchantweaponscroll.png</t>
  </si>
  <si>
    <t>localization/item_scrollofneed.png</t>
  </si>
  <si>
    <t>localization/item_transmutescroll.png</t>
  </si>
  <si>
    <t>localization/item_crystalshovel.png</t>
  </si>
  <si>
    <t>localization/item_titaniumshovel.png</t>
  </si>
  <si>
    <t>localization/item_bloodshovel.png</t>
  </si>
  <si>
    <t>localization/item_obsidianshovel.png</t>
  </si>
  <si>
    <t>localization/item_glassshovel.png</t>
  </si>
  <si>
    <t>localization/item_glassshardshovel.png</t>
  </si>
  <si>
    <t>localization/item_shovel.png</t>
  </si>
  <si>
    <t>localization/item_pickaxe.png</t>
  </si>
  <si>
    <t>localization/item_fireballspell.png</t>
  </si>
  <si>
    <t>localization/item_freezeenemiesspell.png</t>
  </si>
  <si>
    <t>localization/item_healspell.png</t>
  </si>
  <si>
    <t>localization/item_bombspell.png</t>
  </si>
  <si>
    <t>localization/item_shieldspell.png</t>
  </si>
  <si>
    <t>localization/item_transmutespell.png</t>
  </si>
  <si>
    <t>localization/item_charmspell.png</t>
  </si>
  <si>
    <t>localization/item_torch.png</t>
  </si>
  <si>
    <t>localization/item_brighttorch.png</t>
  </si>
  <si>
    <t>localization/item_luminoustorch.png</t>
  </si>
  <si>
    <t>localization/item_torchofforesight.png</t>
  </si>
  <si>
    <t>localization/item_glasstorch.png</t>
  </si>
  <si>
    <t>localization/item_infernaltorch.png</t>
  </si>
  <si>
    <t>localization/item_obsidiantorch.png</t>
  </si>
  <si>
    <t>localization/item_flower.png</t>
  </si>
  <si>
    <t>localization/item_goldenlute.png</t>
  </si>
  <si>
    <t>localization/item_dagger.png</t>
  </si>
  <si>
    <t>localization/item_glassshardweapon.png</t>
  </si>
  <si>
    <t>localization/item_titaniumdagger.png</t>
  </si>
  <si>
    <t>localization/item_obsidiandagger.png</t>
  </si>
  <si>
    <t>localization/item_goldendagger.png</t>
  </si>
  <si>
    <t>localization/item_blooddagger.png</t>
  </si>
  <si>
    <t>localization/item_glassdagger.png</t>
  </si>
  <si>
    <t>localization/item_jeweleddagger.png</t>
  </si>
  <si>
    <t>localization/item_daggeroffrost.png</t>
  </si>
  <si>
    <t>localization/item_daggerofphasing.png</t>
  </si>
  <si>
    <t>localization/item_broadsword.png</t>
  </si>
  <si>
    <t>localization/item_titaniumbroadsword.png</t>
  </si>
  <si>
    <t>localization/item_obsidianbroadsword.png</t>
  </si>
  <si>
    <t>localization/item_goldenbroadsword.png</t>
  </si>
  <si>
    <t>localization/item_bloodbroadsword.png</t>
  </si>
  <si>
    <t>localization/item_glassbroadsword.png</t>
  </si>
  <si>
    <t>localization/item_longsword.png</t>
  </si>
  <si>
    <t>localization/item_titaniumlongsword.png</t>
  </si>
  <si>
    <t>localization/item_obsidianlongsword.png</t>
  </si>
  <si>
    <t>localization/item_goldenlongsword.png</t>
  </si>
  <si>
    <t>localization/item_bloodlongsword.png</t>
  </si>
  <si>
    <t>localization/item_glasslongsword.png</t>
  </si>
  <si>
    <t>localization/item_whip.png</t>
  </si>
  <si>
    <t>localization/item_titaniumwhip.png</t>
  </si>
  <si>
    <t>localization/item_obsidianwhip.png</t>
  </si>
  <si>
    <t>localization/item_goldenwhip.png</t>
  </si>
  <si>
    <t>localization/item_bloodwhip.png</t>
  </si>
  <si>
    <t>localization/item_glasswhip.png</t>
  </si>
  <si>
    <t>localization/item_spear.png</t>
  </si>
  <si>
    <t>localization/item_titaniumspear.png</t>
  </si>
  <si>
    <t>localization/item_obsidianspear.png</t>
  </si>
  <si>
    <t>localization/item_goldenspear.png</t>
  </si>
  <si>
    <t>localization/item_bloodspear.png</t>
  </si>
  <si>
    <t>localization/item_glassspear.png</t>
  </si>
  <si>
    <t>localization/item_rapier.png</t>
  </si>
  <si>
    <t>localization/item_titaniumrapier.png</t>
  </si>
  <si>
    <t>localization/item_obsidianrapier.png</t>
  </si>
  <si>
    <t>localization/item_goldenrapier.png</t>
  </si>
  <si>
    <t>localization/item_bloodrapier.png</t>
  </si>
  <si>
    <t>localization/item_glassrapier.png</t>
  </si>
  <si>
    <t>localization/item_bow.png</t>
  </si>
  <si>
    <t>localization/item_titaniumbow.png</t>
  </si>
  <si>
    <t>localization/item_obsidianbow.png</t>
  </si>
  <si>
    <t>localization/item_goldenbow.png</t>
  </si>
  <si>
    <t>localization/item_bloodbow.png</t>
  </si>
  <si>
    <t>localization/item_glassbow.png</t>
  </si>
  <si>
    <t>localization/item_crossbow.png</t>
  </si>
  <si>
    <t>localization/item_titaniumcrossbow.png</t>
  </si>
  <si>
    <t>localization/item_obsidiancrossbow.png</t>
  </si>
  <si>
    <t>localization/item_goldencrossbow.png</t>
  </si>
  <si>
    <t>localization/item_bloodcrossbow.png</t>
  </si>
  <si>
    <t>localization/item_glasscrossbow.png</t>
  </si>
  <si>
    <t>localization/item_flail.png</t>
  </si>
  <si>
    <t>localization/item_titaniumflail.png</t>
  </si>
  <si>
    <t>localization/item_obsidianflail.png</t>
  </si>
  <si>
    <t>localization/item_goldenflail.png</t>
  </si>
  <si>
    <t>localization/item_bloodflail.png</t>
  </si>
  <si>
    <t>localization/item_glassflail.png</t>
  </si>
  <si>
    <t>localization/item_cat.png</t>
  </si>
  <si>
    <t>localization/item_titaniumcat.png</t>
  </si>
  <si>
    <t>localization/item_obsidiancat.png</t>
  </si>
  <si>
    <t>localization/item_goldencat.png</t>
  </si>
  <si>
    <t>localization/item_bloodcat.png</t>
  </si>
  <si>
    <t>localization/item_glasscat.png</t>
  </si>
  <si>
    <t>localization/item_blunderbuss.png</t>
  </si>
  <si>
    <t>localization/item_rifle.png</t>
  </si>
  <si>
    <t>localization/hint_1defense.png</t>
  </si>
  <si>
    <t>localization/hint_2defenseheavy.png</t>
  </si>
  <si>
    <t>localization/hint_0-5defense.png</t>
  </si>
  <si>
    <t>localization/hint_1-5defense.png</t>
  </si>
  <si>
    <t>localization/hint_takeanddealdoubledamage.png</t>
  </si>
  <si>
    <t>localization/hint_preventsdamagethenshatters.png</t>
  </si>
  <si>
    <t>localization/hint_multiplierbaseddefense.png</t>
  </si>
  <si>
    <t>localization/hint_standstillkeepmultiplier.png</t>
  </si>
  <si>
    <t>localization/hint_doubletime.png</t>
  </si>
  <si>
    <t>localization/hint_levitation.png</t>
  </si>
  <si>
    <t>localization/hint_helpswithsometerrain.png</t>
  </si>
  <si>
    <t>localization/hint_helpswithtrapsandice.png</t>
  </si>
  <si>
    <t>localization/hint_longjump.png</t>
  </si>
  <si>
    <t>localization/hint_longjumpattack.png</t>
  </si>
  <si>
    <t>localization/hint_dodamageasyouwalk.png</t>
  </si>
  <si>
    <t>localization/hint_1damage.png</t>
  </si>
  <si>
    <t>localization/hint_restore1health.png</t>
  </si>
  <si>
    <t>localization/hint_restore2health.png</t>
  </si>
  <si>
    <t>localization/hint_restore3health.png</t>
  </si>
  <si>
    <t>localization/hint_restore4health.png</t>
  </si>
  <si>
    <t>localization/hint_usenearenemies.png</t>
  </si>
  <si>
    <t>localization/hint_gigantism2.png</t>
  </si>
  <si>
    <t>localization/hint_standstillincreasedamage.png</t>
  </si>
  <si>
    <t>localization/hint_takeshealthincreasesdamage.png</t>
  </si>
  <si>
    <t>localization/hint_pacemaker.png</t>
  </si>
  <si>
    <t>localization/hint_10killsheal.png</t>
  </si>
  <si>
    <t>localization/hint_doublecoinsleakcoins.png</t>
  </si>
  <si>
    <t>localization/hint_teleportonhit.png</t>
  </si>
  <si>
    <t>localization/hint_seeallenemies.png</t>
  </si>
  <si>
    <t>localization/hint_movedig.png</t>
  </si>
  <si>
    <t>localization/hint_seeallitems.png</t>
  </si>
  <si>
    <t>localization/hint_stealthy.png</t>
  </si>
  <si>
    <t>localization/hint_doublealldmgfrailty.png</t>
  </si>
  <si>
    <t>localization/hint_bombimmunity3bombs.png</t>
  </si>
  <si>
    <t>localization/hint_1dmgstrangevision.png</t>
  </si>
  <si>
    <t>localization/hint_1storage.png</t>
  </si>
  <si>
    <t>localization/hint_hold2ndweapon.png</t>
  </si>
  <si>
    <t>localization/hint_infinitestorage.png</t>
  </si>
  <si>
    <t>localization/hint_arrowshowsexit.png</t>
  </si>
  <si>
    <t>localization/hint_shoppingspree.png</t>
  </si>
  <si>
    <t>localization/hint_opencage.png</t>
  </si>
  <si>
    <t>localization/hint_opencagewithgoldenlock.png</t>
  </si>
  <si>
    <t>localization/hint_opencagewithglasslock.png</t>
  </si>
  <si>
    <t>localization/hint_1heartcontainer.png</t>
  </si>
  <si>
    <t>localization/hint_2heartcontainer.png</t>
  </si>
  <si>
    <t>localization/hint_1emptyheartcontainer.png</t>
  </si>
  <si>
    <t>localization/hint_2emptyheartcontainer.png</t>
  </si>
  <si>
    <t>localization/hint_openlocks.png</t>
  </si>
  <si>
    <t>localization/hint_magnetism.png</t>
  </si>
  <si>
    <t>localization/hint_revealdungeonminimap.png</t>
  </si>
  <si>
    <t>localization/hint_savesyourlife.png</t>
  </si>
  <si>
    <t>localization/hint_automaticfreeze.png</t>
  </si>
  <si>
    <t>localization/hint_rewardsovereatingonce.png</t>
  </si>
  <si>
    <t>localization/hint_findbetteritems.png</t>
  </si>
  <si>
    <t>localization/hint_wardsoffspirits.png</t>
  </si>
  <si>
    <t>localization/hint_2dmgatlowhealth.png</t>
  </si>
  <si>
    <t>localization/hint_1dmgkilldash.png</t>
  </si>
  <si>
    <t>localization/hint_1dmgmoreenemies.png</t>
  </si>
  <si>
    <t>localization/hint_1heartfewerenemies.png</t>
  </si>
  <si>
    <t>localization/hint_morepowerfulspells.png</t>
  </si>
  <si>
    <t>localization/hint_cheapershops.png</t>
  </si>
  <si>
    <t>localization/hint_findbetteritems2.png</t>
  </si>
  <si>
    <t>localization/hint_moregoldautogoldpickup.png</t>
  </si>
  <si>
    <t>localization/hint_healseachlevel.png</t>
  </si>
  <si>
    <t>localization/hint_automaticshield.png</t>
  </si>
  <si>
    <t>localization/hint_all.png</t>
  </si>
  <si>
    <t>localization/hint_damagenonflyingenemies.png</t>
  </si>
  <si>
    <t>localization/hint_scareenemiesaway.png</t>
  </si>
  <si>
    <t>localization/hint_horizontalfireblast.png</t>
  </si>
  <si>
    <t>localization/hint_freezeenemies.png</t>
  </si>
  <si>
    <t>localization/hint_riches.png</t>
  </si>
  <si>
    <t>localization/hint_temporaryshield.png</t>
  </si>
  <si>
    <t>localization/hint_enchantweapon.png</t>
  </si>
  <si>
    <t>localization/hint_giveswhatyouneed.png</t>
  </si>
  <si>
    <t>localization/hint_transformsallnonequippeditems.png</t>
  </si>
  <si>
    <t>localization/hint_2dig.png</t>
  </si>
  <si>
    <t>localization/hint_1dig.png</t>
  </si>
  <si>
    <t>localization/hint_diganythingbuttakedamage.png</t>
  </si>
  <si>
    <t>localization/hint_multiplierbaseddig.png</t>
  </si>
  <si>
    <t>localization/hint_2digbreakable.png</t>
  </si>
  <si>
    <t>localization/hint_slowstrongdig.png</t>
  </si>
  <si>
    <t>localization/hint_horizontalfireblast2.png</t>
  </si>
  <si>
    <t>localization/hint_freezeenemies2.png</t>
  </si>
  <si>
    <t>localization/hint_restore0-5health.png</t>
  </si>
  <si>
    <t>localization/hint_bombspell.png</t>
  </si>
  <si>
    <t>localization/hint_temporaryshield2.png</t>
  </si>
  <si>
    <t>localization/hint_transformnearbyitems.png</t>
  </si>
  <si>
    <t>localization/hint_charmnearbyenemies.png</t>
  </si>
  <si>
    <t>localization/hint_1visionradius.png</t>
  </si>
  <si>
    <t>localization/hint_2visionradius.png</t>
  </si>
  <si>
    <t>localization/hint_3visionradius.png</t>
  </si>
  <si>
    <t>localization/hint_1visiontrapsight.png</t>
  </si>
  <si>
    <t>localization/hint_magicvisionbreakable.png</t>
  </si>
  <si>
    <t>localization/hint_consumestorchesonwalls.png</t>
  </si>
  <si>
    <t>localization/hint_multiplierbasedlight.png</t>
  </si>
  <si>
    <t>localization/hint_daggerthrowable.png</t>
  </si>
  <si>
    <t>localization/hint_2damage.png</t>
  </si>
  <si>
    <t>localization/hint_multiplierbaseddamage.png</t>
  </si>
  <si>
    <t>localization/hint_highdmgaftergoldpickup.png</t>
  </si>
  <si>
    <t>localization/hint_killtoheallowhealthdamage.png</t>
  </si>
  <si>
    <t>localization/hint_4damagebreakable.png</t>
  </si>
  <si>
    <t>localization/hint_5damage.png</t>
  </si>
  <si>
    <t>localization/hint_freezeenemieskillfrozenenemiespiercing.png</t>
  </si>
  <si>
    <t>localization/hint_phasingattack2dmg.png</t>
  </si>
  <si>
    <t>localization/hint_wideattack.png</t>
  </si>
  <si>
    <t>localization/hint_longattack.png</t>
  </si>
  <si>
    <t>localization/hint_widerattack.png</t>
  </si>
  <si>
    <t>localization/hint_longattackthrowable.png</t>
  </si>
  <si>
    <t>localization/hint_lungefordoubledamage.png</t>
  </si>
  <si>
    <t>localization/hint_rangedattack.png</t>
  </si>
  <si>
    <t>localization/hint_rangedattackneedsreloadingpiercing.png</t>
  </si>
  <si>
    <t>localization/hint_knockbackattack.png</t>
  </si>
  <si>
    <t>localization/hint_moveandattack.png</t>
  </si>
  <si>
    <t>localization/hint_conicalblastneedsreloadingpiercing.png</t>
  </si>
  <si>
    <t>localization/hint_rangedattackneedsloadingpiercing.png</t>
  </si>
  <si>
    <t>localization/hud_1kill.png</t>
  </si>
  <si>
    <t>localization/hud_kills.png</t>
  </si>
  <si>
    <t>localization/hud_inf.png</t>
  </si>
  <si>
    <t>localization/hud_or.png</t>
  </si>
  <si>
    <t>localization/hud_0-5heart.png</t>
  </si>
  <si>
    <t>localization/hud_1heart.png</t>
  </si>
  <si>
    <t>localization/hud_1-5hearts.png</t>
  </si>
  <si>
    <t>localization/game_runsummary.png</t>
  </si>
  <si>
    <t>localization/game_quickrestart.png</t>
  </si>
  <si>
    <t>localization/game_watchreplay.png</t>
  </si>
  <si>
    <t>localization/game_scoreleaderboards.png</t>
  </si>
  <si>
    <t>localization/game_speedleaderboards.png</t>
  </si>
  <si>
    <t>localization/game_lobby.png</t>
  </si>
  <si>
    <t>localization/game_killedby.png</t>
  </si>
  <si>
    <t>localization/game_victory.png</t>
  </si>
  <si>
    <t>localization/game_score.png</t>
  </si>
  <si>
    <t>localization/game_duration.png</t>
  </si>
  <si>
    <t>localization/game_incomplete.png</t>
  </si>
  <si>
    <t>localization/game_endwincount.png</t>
  </si>
  <si>
    <t>localization/game_returntoleveleditor.png</t>
  </si>
  <si>
    <t>localization/game_randomseed.png</t>
  </si>
  <si>
    <t>localization/game_lowpercent.png</t>
  </si>
  <si>
    <t>localization/lobby_enterseed1.png</t>
  </si>
  <si>
    <t>localization/lobby_enterseed2.png</t>
  </si>
  <si>
    <t>localization/game_scorecheating.png</t>
  </si>
  <si>
    <t>localization/game_audiocheating.png</t>
  </si>
  <si>
    <t>localization/lobby_itemhints1.png</t>
  </si>
  <si>
    <t>localization/lobby_itemhints2.png</t>
  </si>
  <si>
    <t>localization/lobby_itemhints3.png</t>
  </si>
  <si>
    <t>localization/lobby_yeshints.png</t>
  </si>
  <si>
    <t>localization/lobby_nohints.png</t>
  </si>
  <si>
    <t>localization/lobby_unspentdiamonds1.png</t>
  </si>
  <si>
    <t>localization/lobby_unspentdiamonds2.png</t>
  </si>
  <si>
    <t>localization/lobby_unspentdiamonds3.png</t>
  </si>
  <si>
    <t>localization/lobby_stayspenddiamonds.png</t>
  </si>
  <si>
    <t>localization/lobby_leavelosediamonds.png</t>
  </si>
  <si>
    <t>localization/characterselect_cadence1.png</t>
  </si>
  <si>
    <t>localization/characterselect_cadence2.png</t>
  </si>
  <si>
    <t>localization/characterselect_continue.png</t>
  </si>
  <si>
    <t>localization/characterselect_aria1.png</t>
  </si>
  <si>
    <t>localization/characterselect_aria2.png</t>
  </si>
  <si>
    <t>localization/characterselect_aria3.png</t>
  </si>
  <si>
    <t>localization/characterselect_bolt1.png</t>
  </si>
  <si>
    <t>localization/characterselect_bolt2.png</t>
  </si>
  <si>
    <t>localization/characterselect_bard1.png</t>
  </si>
  <si>
    <t>localization/characterselect_bard2.png</t>
  </si>
  <si>
    <t>localization/characterselect_bard3.png</t>
  </si>
  <si>
    <t>localization/characterselect_monk1.png</t>
  </si>
  <si>
    <t>localization/characterselect_monk2.png</t>
  </si>
  <si>
    <t>localization/characterselect_monk3.png</t>
  </si>
  <si>
    <t>localization/characterselect_dove1.png</t>
  </si>
  <si>
    <t>localization/characterselect_dove2.png</t>
  </si>
  <si>
    <t>localization/characterselect_dove3.png</t>
  </si>
  <si>
    <t>localization/characterselect_eli1.png</t>
  </si>
  <si>
    <t>localization/characterselect_eli2.png</t>
  </si>
  <si>
    <t>localization/characterselect_eli3.png</t>
  </si>
  <si>
    <t>localization/characterselect_dorian1.png</t>
  </si>
  <si>
    <t>localization/characterselect_dorian2.png</t>
  </si>
  <si>
    <t>localization/characterselect_dorian3.png</t>
  </si>
  <si>
    <t>localization/characterselect_melody1.png</t>
  </si>
  <si>
    <t>localization/characterselect_melody2.png</t>
  </si>
  <si>
    <t>localization/characterselect_melody3.png</t>
  </si>
  <si>
    <t>localization/characterselect_coda1.png</t>
  </si>
  <si>
    <t>localization/characterselect_coda2.png</t>
  </si>
  <si>
    <t>localization/characterselect_coda3.png</t>
  </si>
  <si>
    <t>localization/characterselect_allchars1.png</t>
  </si>
  <si>
    <t>localization/characterselect_allchars2.png</t>
  </si>
  <si>
    <t>localization/characterselect_allchars3.png</t>
  </si>
  <si>
    <t>localization/characterselect_story1.png</t>
  </si>
  <si>
    <t>localization/characterselect_story2.png</t>
  </si>
  <si>
    <t>localization/characterselect_story3.png</t>
  </si>
  <si>
    <t>localization/characterselect_deathless1.png</t>
  </si>
  <si>
    <t>localization/characterselect_deathless2.png</t>
  </si>
  <si>
    <t>localization/lobby_allzonesmode1.png</t>
  </si>
  <si>
    <t>localization/lobby_allzonesmode2.png</t>
  </si>
  <si>
    <t>localization/lobby_allzonesmode3.png</t>
  </si>
  <si>
    <t>localization/lobby_dailychallenge1.png</t>
  </si>
  <si>
    <t>localization/lobby_dailychallenge2.png</t>
  </si>
  <si>
    <t>localization/lobby_dailychallenge3.png</t>
  </si>
  <si>
    <t>localization/lobby_bosstraining1.png</t>
  </si>
  <si>
    <t>localization/lobby_bosstraining2.png</t>
  </si>
  <si>
    <t>localization/lobby_bosstraining3.png</t>
  </si>
  <si>
    <t>localization/lobby_minibosstraining1.png</t>
  </si>
  <si>
    <t>localization/lobby_minibosstraining2.png</t>
  </si>
  <si>
    <t>localization/lobby_minibosstraining3.png</t>
  </si>
  <si>
    <t>localization/lobby_bossselection1.png</t>
  </si>
  <si>
    <t>localization/lobby_bossselection2.png</t>
  </si>
  <si>
    <t>localization/lobby_minibossselection1.png</t>
  </si>
  <si>
    <t>localization/lobby_minibossselection2.png</t>
  </si>
  <si>
    <t>localization/lobby_enemyselection1.png</t>
  </si>
  <si>
    <t>localization/lobby_enemyselection2.png</t>
  </si>
  <si>
    <t>localization/game_questionmark.png</t>
  </si>
  <si>
    <t>localization/options_done.png</t>
  </si>
  <si>
    <t>localization/options_previous.png</t>
  </si>
  <si>
    <t>localization/options_next.png</t>
  </si>
  <si>
    <t>localization/options_yes.png</t>
  </si>
  <si>
    <t>localization/options_no.png</t>
  </si>
  <si>
    <t>localization/options_ok.png</t>
  </si>
  <si>
    <t>localization/options_random.png</t>
  </si>
  <si>
    <t>localization/options_cancel.png</t>
  </si>
  <si>
    <t>localization/options_pause.png</t>
  </si>
  <si>
    <t>localization/options_continue.png</t>
  </si>
  <si>
    <t>localization/options_leaderboards.png</t>
  </si>
  <si>
    <t>localization/options_replays.png</t>
  </si>
  <si>
    <t>localization/options_options.png</t>
  </si>
  <si>
    <t>localization/options_custommusic.png</t>
  </si>
  <si>
    <t>localization/options_mods.png</t>
  </si>
  <si>
    <t>localization/options_quickrestart.png</t>
  </si>
  <si>
    <t>localization/options_quit_lobby.png</t>
  </si>
  <si>
    <t>localization/options_quit_leveleditor.png</t>
  </si>
  <si>
    <t>localization/options_exitgame.png</t>
  </si>
  <si>
    <t>localization/options_lowpercent.png</t>
  </si>
  <si>
    <t>localization/options_audiooptionstitle.png</t>
  </si>
  <si>
    <t>localization/options_soundvolume.png</t>
  </si>
  <si>
    <t>localization/options_musicvolume.png</t>
  </si>
  <si>
    <t>localization/options_prebosseffect.png</t>
  </si>
  <si>
    <t>localization/options_beatdetection.png</t>
  </si>
  <si>
    <t>localization/options_beatdetectionongoing.png</t>
  </si>
  <si>
    <t>localization/options_beatdetectionstart.png</t>
  </si>
  <si>
    <t>localization/options_beatdetectionfinalize.png</t>
  </si>
  <si>
    <t>localization/boss_necrodancersplash.png</t>
  </si>
  <si>
    <t>localization/boss_kingcongasplash.png</t>
  </si>
  <si>
    <t>localization/boss_deathmetalsplash.png</t>
  </si>
  <si>
    <t>localization/boss_deepbluessplash.png</t>
  </si>
  <si>
    <t>localization/boss_coralriffsplash.png</t>
  </si>
  <si>
    <t>localization/boss_deadringersplash.png</t>
  </si>
  <si>
    <t>localization/boss_goldenlutesplash.png</t>
  </si>
  <si>
    <t>localization/options_audiolatencytitle.png</t>
  </si>
  <si>
    <t>localization/options_videolatencytitle.png</t>
  </si>
  <si>
    <t>localization/options_latencysound.png</t>
  </si>
  <si>
    <t>localization/options_latencybeat.png</t>
  </si>
  <si>
    <t>localization/options_latencyskip.png</t>
  </si>
  <si>
    <t>localization/options_latencynote.png</t>
  </si>
  <si>
    <t>localization/options_latencyresults.png</t>
  </si>
  <si>
    <t>localization/options_audiolatency.png</t>
  </si>
  <si>
    <t>localization/options_videolatency.png</t>
  </si>
  <si>
    <t>localization/options_audiolatencyadjust.png</t>
  </si>
  <si>
    <t>localization/options_videolatencyadjust.png</t>
  </si>
  <si>
    <t>localization/options_latencyconfirm.png</t>
  </si>
  <si>
    <t>localization/options_modstitle.png</t>
  </si>
  <si>
    <t>localization/options_moddefault.png</t>
  </si>
  <si>
    <t>localization/options_modchoosepublish.png</t>
  </si>
  <si>
    <t>localization/options_modchooseplay.png</t>
  </si>
  <si>
    <t>localization/options_modpublishing.png</t>
  </si>
  <si>
    <t>localization/options_modpublishfail.png</t>
  </si>
  <si>
    <t>localization/options_modpublished.png</t>
  </si>
  <si>
    <t>localization/options_workshop.png</t>
  </si>
  <si>
    <t>localization/options_modwarning1.png</t>
  </si>
  <si>
    <t>localization/options_modwarning2.png</t>
  </si>
  <si>
    <t>localization/options_modwarning3.png</t>
  </si>
  <si>
    <t>localization/options_moderror1.png</t>
  </si>
  <si>
    <t>localization/options_moderror2.png</t>
  </si>
  <si>
    <t>localization/options_moderror3.png</t>
  </si>
  <si>
    <t>localization/options_modplay.png</t>
  </si>
  <si>
    <t>localization/options_modpublish.png</t>
  </si>
  <si>
    <t>localization/options_moddeactivate.png</t>
  </si>
  <si>
    <t>localization/options_reassigncontrolstitle.png</t>
  </si>
  <si>
    <t>localization/options_assigningplayer.png</t>
  </si>
  <si>
    <t>localization/options_defaultcontrols.png</t>
  </si>
  <si>
    <t>localization/options_showdefaulthudtext.png</t>
  </si>
  <si>
    <t>localization/options_ignoremultipress.png</t>
  </si>
  <si>
    <t>localization/options_keyset.png</t>
  </si>
  <si>
    <t>localization/options_control_up.png</t>
  </si>
  <si>
    <t>localization/options_control_right.png</t>
  </si>
  <si>
    <t>localization/options_control_down.png</t>
  </si>
  <si>
    <t>localization/options_control_left.png</t>
  </si>
  <si>
    <t>localization/options_control_upalt.png</t>
  </si>
  <si>
    <t>localization/options_control_rightalt.png</t>
  </si>
  <si>
    <t>localization/options_control_downalt.png</t>
  </si>
  <si>
    <t>localization/options_control_leftalt.png</t>
  </si>
  <si>
    <t>localization/options_control_comboLR.png</t>
  </si>
  <si>
    <t>localization/options_control_comboUD.png</t>
  </si>
  <si>
    <t>localization/options_control_comboUL.png</t>
  </si>
  <si>
    <t>localization/options_control_comboUR.png</t>
  </si>
  <si>
    <t>localization/options_control_comboDL.png</t>
  </si>
  <si>
    <t>localization/options_control_comboDR.png</t>
  </si>
  <si>
    <t>localization/options_control_restart.png</t>
  </si>
  <si>
    <t>localization/options_control_pause.png</t>
  </si>
  <si>
    <t>localization/options_soundtrack.png</t>
  </si>
  <si>
    <t>localization/options_graphicstitle.png</t>
  </si>
  <si>
    <t>localization/options_fullscreen.png</t>
  </si>
  <si>
    <t>localization/options_vsync.png</t>
  </si>
  <si>
    <t>localization/options_viewmultiplierdefault.png</t>
  </si>
  <si>
    <t>localization/options_viewmultiplier.png</t>
  </si>
  <si>
    <t>localization/options_hudheart.png</t>
  </si>
  <si>
    <t>localization/options_hudbars.png</t>
  </si>
  <si>
    <t>localization/options_screenshake.png</t>
  </si>
  <si>
    <t>localization/options_timer.png</t>
  </si>
  <si>
    <t>localization/options_discofloor.png</t>
  </si>
  <si>
    <t>localization/options_deathreplay.png</t>
  </si>
  <si>
    <t>localization/options_resolution.png</t>
  </si>
  <si>
    <t>localization/options_resolutionwidth.png</t>
  </si>
  <si>
    <t>localization/options_currentresolution.png</t>
  </si>
  <si>
    <t>localization/options_resolutionheight.png</t>
  </si>
  <si>
    <t>localization/options_resolutionconfirm.png</t>
  </si>
  <si>
    <t>localization/options_resolutionerror.png</t>
  </si>
  <si>
    <t>localization/options_optionstitle.png</t>
  </si>
  <si>
    <t>localization/options_gameplayoptions.png</t>
  </si>
  <si>
    <t>localization/options_audiooptions.png</t>
  </si>
  <si>
    <t>localization/options_graphicaloptions.png</t>
  </si>
  <si>
    <t>localization/options_reassigncontrols.png</t>
  </si>
  <si>
    <t>localization/options_latencycalibration.png</t>
  </si>
  <si>
    <t>localization/options_changesoundtrack.png</t>
  </si>
  <si>
    <t>localization/options_languageoptions.png</t>
  </si>
  <si>
    <t>localization/options_replaystitle.png</t>
  </si>
  <si>
    <t>localization/options_replayszone1.png</t>
  </si>
  <si>
    <t>localization/options_replayszone2.png</t>
  </si>
  <si>
    <t>localization/options_replayszone3.png</t>
  </si>
  <si>
    <t>localization/options_replayszone4.png</t>
  </si>
  <si>
    <t>localization/options_replaysdancepad.png</t>
  </si>
  <si>
    <t>localization/options_replaysallzones.png</t>
  </si>
  <si>
    <t>localization/options_replaysseeded.png</t>
  </si>
  <si>
    <t>localization/options_replaysdailytitle.png</t>
  </si>
  <si>
    <t>localization/options_replay_jan.png</t>
  </si>
  <si>
    <t>localization/options_replay_feb.png</t>
  </si>
  <si>
    <t>localization/options_replay_mar.png</t>
  </si>
  <si>
    <t>localization/options_replay_apr.png</t>
  </si>
  <si>
    <t>localization/options_replay_may.png</t>
  </si>
  <si>
    <t>localization/options_replay_jun.png</t>
  </si>
  <si>
    <t>localization/options_replay_jul.png</t>
  </si>
  <si>
    <t>localization/options_replay_aug.png</t>
  </si>
  <si>
    <t>localization/options_replay_sep.png</t>
  </si>
  <si>
    <t>localization/options_replay_oct.png</t>
  </si>
  <si>
    <t>localization/options_replay_nov.png</t>
  </si>
  <si>
    <t>localization/options_replay_dec.png</t>
  </si>
  <si>
    <t>localization/options_replay_0.png</t>
  </si>
  <si>
    <t>localization/options_replay_1.png</t>
  </si>
  <si>
    <t>localization/options_replay_2.png</t>
  </si>
  <si>
    <t>localization/options_replay_3.png</t>
  </si>
  <si>
    <t>localization/options_replay_4.png</t>
  </si>
  <si>
    <t>localization/options_replay_5.png</t>
  </si>
  <si>
    <t>localization/options_replay_6.png</t>
  </si>
  <si>
    <t>localization/options_replay_7.png</t>
  </si>
  <si>
    <t>localization/options_replay_8.png</t>
  </si>
  <si>
    <t>localization/options_replay_9.png</t>
  </si>
  <si>
    <t>localization/options_replay_colon.png</t>
  </si>
  <si>
    <t>localization/options_gameplaytitle.png</t>
  </si>
  <si>
    <t>localization/options_defaultplayer1.png</t>
  </si>
  <si>
    <t>localization/options_defaultcharacter.png</t>
  </si>
  <si>
    <t>localization/options_itemhints.png</t>
  </si>
  <si>
    <t>localization/options_itemnames.png</t>
  </si>
  <si>
    <t>localization/options_enemyhearts.png</t>
  </si>
  <si>
    <t>localization/options_lobbymovement.png</t>
  </si>
  <si>
    <t>localization/options_diamondreminder.png</t>
  </si>
  <si>
    <t>localization/options_pauseminimized.png</t>
  </si>
  <si>
    <t>localization/options_cutscenes.png</t>
  </si>
  <si>
    <t>localization/options_bossintros.png</t>
  </si>
  <si>
    <t>localization/options_deletesave.png</t>
  </si>
  <si>
    <t>localization/options_deletewarning1.png</t>
  </si>
  <si>
    <t>localization/options_deletewarning2.png</t>
  </si>
  <si>
    <t>localization/options_languagetitle.png</t>
  </si>
  <si>
    <t>localization/options_subtitles.png</t>
  </si>
  <si>
    <t>localization/options_language.png</t>
  </si>
  <si>
    <t>localization/options_leaderboardselecttitle.png</t>
  </si>
  <si>
    <t>localization/options_leaderboardsdaily.png</t>
  </si>
  <si>
    <t>localization/options_leaderboardsscore.png</t>
  </si>
  <si>
    <t>localization/options_leaderboardsspeed.png</t>
  </si>
  <si>
    <t>localization/options_leaderboardsscoreseeded.png</t>
  </si>
  <si>
    <t>localization/options_leaderboardsspeedseeded.png</t>
  </si>
  <si>
    <t>localization/options_leaderboardsdeathless.png</t>
  </si>
  <si>
    <t>localization/options_leaderboardsstory.png</t>
  </si>
  <si>
    <t>localization/options_leaderboardstitle.png</t>
  </si>
  <si>
    <t>localization/leaderboard_nextday.png</t>
  </si>
  <si>
    <t>localization/leaderboard_previousday.png</t>
  </si>
  <si>
    <t>localization/leaderboard_nextpage.png</t>
  </si>
  <si>
    <t>localization/leaderboard_previouspage.png</t>
  </si>
  <si>
    <t>localization/leaderboard_friendsonly.png</t>
  </si>
  <si>
    <t>localization/leaderboard_no.png</t>
  </si>
  <si>
    <t>localization/leaderboard_yes.png</t>
  </si>
  <si>
    <t>localization/leaderboard_hasreplay.png</t>
  </si>
  <si>
    <t>localization/leaderboard_oldversion.png</t>
  </si>
  <si>
    <t>localization/leaderboard_nopeeking.png</t>
  </si>
  <si>
    <t>localization/leaderboard_watch.png</t>
  </si>
  <si>
    <t>localization/leaderboard_allzones_speedrun_seeded.png</t>
  </si>
  <si>
    <t>localization/leaderboard_allzones_speedrun.png</t>
  </si>
  <si>
    <t>localization/leaderboard_allzones_seeded.png</t>
  </si>
  <si>
    <t>localization/leaderboard_allzones.png</t>
  </si>
  <si>
    <t>localization/leaderboard_daily.png</t>
  </si>
  <si>
    <t>localization/leaderboard_coop.png</t>
  </si>
  <si>
    <t>localization/leaderboard_deathless.png</t>
  </si>
  <si>
    <t>localization/leaderboard_custommusic.png</t>
  </si>
  <si>
    <t>localization/leaderboard_loading.png</t>
  </si>
  <si>
    <t>localization/leaderboard_rank.png</t>
  </si>
  <si>
    <t>localization/leaderboard_name.png</t>
  </si>
  <si>
    <t>localization/leaderboard_wins.png</t>
  </si>
  <si>
    <t>localization/leaderboard_score.png</t>
  </si>
  <si>
    <t>localization/leaderboard_time.png</t>
  </si>
  <si>
    <t>localization/leaderboard_zone.png</t>
  </si>
  <si>
    <t>localization/leaderboard_level.png</t>
  </si>
  <si>
    <t>localization/leaderboard_killedby.png</t>
  </si>
  <si>
    <t>localization/leaderboard_unkown.png</t>
  </si>
  <si>
    <t>localization/leaderboard_win.png</t>
  </si>
  <si>
    <t>localization/leaderboard_donesmall.png</t>
  </si>
  <si>
    <t>localization/options_custommusictitle.png</t>
  </si>
  <si>
    <t>localization/custommusic_choose.png</t>
  </si>
  <si>
    <t>localization/custommusic_restore.png</t>
  </si>
  <si>
    <t>localization/custommusic_2xspeed.png</t>
  </si>
  <si>
    <t>localization/custommusic_1-2xspeed.png</t>
  </si>
  <si>
    <t>localization/custommusic_back.png</t>
  </si>
  <si>
    <t>localization/custommusic_multiple.png</t>
  </si>
  <si>
    <t>localization/custommusic_manualbeats.png</t>
  </si>
  <si>
    <t>localization/custommusic_manualbeatslobby.png</t>
  </si>
  <si>
    <t>localization/custommusic_disabled.png</t>
  </si>
  <si>
    <t>localization/custommusic_enabled.png</t>
  </si>
  <si>
    <t>localization/custommusic_processnote.png</t>
  </si>
  <si>
    <t>localization/options_custommusicprocess.png</t>
  </si>
  <si>
    <t>localization/custommusic_level.png</t>
  </si>
  <si>
    <t>localization/custommusic_kingconga.png</t>
  </si>
  <si>
    <t>localization/custommusic_deepblues.png</t>
  </si>
  <si>
    <t>localization/custommusic_deathmetal.png</t>
  </si>
  <si>
    <t>localization/custommusic_coralriff.png</t>
  </si>
  <si>
    <t>localization/custommusic_lobby.png</t>
  </si>
  <si>
    <t>localization/custommusic_default.png</t>
  </si>
  <si>
    <t>localization/custommusic_up.png</t>
  </si>
  <si>
    <t>localization/custommusic_previous.png</t>
  </si>
  <si>
    <t>localization/custommusic_next.png</t>
  </si>
  <si>
    <t>localization/custommusic_add.png</t>
  </si>
  <si>
    <t>localization/options_availabledungeons.png</t>
  </si>
  <si>
    <t>localization/options_steamworkshop.png</t>
  </si>
  <si>
    <t>localization/leveleditor_level.png</t>
  </si>
  <si>
    <t>localization/leveleditor_instructions1.png</t>
  </si>
  <si>
    <t>localization/leveleditor_instructions2.png</t>
  </si>
  <si>
    <t>localization/leveleditor_instructions3.png</t>
  </si>
  <si>
    <t>localization/leveleditor_publishing.png</t>
  </si>
  <si>
    <t>localization/leveleditor_publishfail.png</t>
  </si>
  <si>
    <t>localization/leveleditor_published.png</t>
  </si>
  <si>
    <t>localization/leveleditor_saved.png</t>
  </si>
  <si>
    <t>localization/leveleditor_name.png</t>
  </si>
  <si>
    <t>localization/leveleditor_character.png</t>
  </si>
  <si>
    <t>localization/leveleditor_any.png</t>
  </si>
  <si>
    <t>localization/leveleditor_noitems.png</t>
  </si>
  <si>
    <t>localization/leveleditor_currentlevel.png</t>
  </si>
  <si>
    <t>localization/leveleditor_addlevel.png</t>
  </si>
  <si>
    <t>localization/leveleditor_deletelevel.png</t>
  </si>
  <si>
    <t>localization/leveleditor_levelgen.png</t>
  </si>
  <si>
    <t>localization/leveleditor_generate.png</t>
  </si>
  <si>
    <t>localization/leveleditor_music.png</t>
  </si>
  <si>
    <t>localization/leveleditor_viewlevel.png</t>
  </si>
  <si>
    <t>localization/leveleditor_testlevel.png</t>
  </si>
  <si>
    <t>localization/leveleditor_playdungeon.png</t>
  </si>
  <si>
    <t>localization/leveleditor_loaddungeon.png</t>
  </si>
  <si>
    <t>localization/leveleditor_publishdungeon.png</t>
  </si>
  <si>
    <t>localization/leveleditor_savedungeon.png</t>
  </si>
  <si>
    <t>localization/leveleditor_saveandexit.png</t>
  </si>
  <si>
    <t>localization/leveleditor_exit.png</t>
  </si>
  <si>
    <t>localization/leveleditor_kingconga.png</t>
  </si>
  <si>
    <t>localization/leveleditor_deathmetal.png</t>
  </si>
  <si>
    <t>localization/leveleditor_deepblues.png</t>
  </si>
  <si>
    <t>localization/leveleditor_coralriff.png</t>
  </si>
  <si>
    <t>localization/leveleditor_placefloor.png</t>
  </si>
  <si>
    <t>localization/leveleditor_placewall.png</t>
  </si>
  <si>
    <t>localization/leveleditor_placeenemy.png</t>
  </si>
  <si>
    <t>localization/leveleditor_placetrap.png</t>
  </si>
  <si>
    <t>localization/leveleditor_placeshrine.png</t>
  </si>
  <si>
    <t>localization/leveleditor_placeitem.png</t>
  </si>
  <si>
    <t>localization/leveleditor_placechest.png</t>
  </si>
  <si>
    <t>localization/leveleditor_placecontainer.png</t>
  </si>
  <si>
    <t>localization/leveleditor_move.png</t>
  </si>
  <si>
    <t>localization/leveleditor_erase.png</t>
  </si>
  <si>
    <t>localization/leveleditor_tileset.png</t>
  </si>
  <si>
    <t>localization/leveleditor_floor.png</t>
  </si>
  <si>
    <t>localization/leveleditor_shopfloor.png</t>
  </si>
  <si>
    <t>localization/leveleditor_water.png</t>
  </si>
  <si>
    <t>localization/leveleditor_tar.png</t>
  </si>
  <si>
    <t>localization/leveleditor_hotcoals.png</t>
  </si>
  <si>
    <t>localization/leveleditor_ice.png</t>
  </si>
  <si>
    <t>localization/leveleditor_ooze.png</t>
  </si>
  <si>
    <t>localization/leveleditor_stairs.png</t>
  </si>
  <si>
    <t>localization/leveleditor_dirtwall.png</t>
  </si>
  <si>
    <t>localization/leveleditor_back.png</t>
  </si>
  <si>
    <t>localization/leveleditor_stonewall.png</t>
  </si>
  <si>
    <t>localization/leveleditor_catacombwall.png</t>
  </si>
  <si>
    <t>localization/leveleditor_shopwall.png</t>
  </si>
  <si>
    <t>localization/leveleditor_unbreakablewall.png</t>
  </si>
  <si>
    <t>localization/leveleditor_door.png</t>
  </si>
  <si>
    <t>localization/leveleditor_metaldoor.png</t>
  </si>
  <si>
    <t>localization/leveleditor_lockeddoor.png</t>
  </si>
  <si>
    <t>localization/leveleditor_zone1.png</t>
  </si>
  <si>
    <t>localization/leveleditor_zone2.png</t>
  </si>
  <si>
    <t>localization/leveleditor_zone3hot.png</t>
  </si>
  <si>
    <t>localization/leveleditor_zone3cold.png</t>
  </si>
  <si>
    <t>localization/leveleditor_zone4.png</t>
  </si>
  <si>
    <t>localization/leveleditor_boss.png</t>
  </si>
  <si>
    <t>localization/leveleditor_previous.png</t>
  </si>
  <si>
    <t>localization/leveleditor_next.png</t>
  </si>
  <si>
    <t>localization/leveleditor_bouncetrap.png</t>
  </si>
  <si>
    <t>localization/leveleditor_spiketrap.png</t>
  </si>
  <si>
    <t>localization/leveleditor_trapdoor.png</t>
  </si>
  <si>
    <t>localization/leveleditor_confusetrap.png</t>
  </si>
  <si>
    <t>localization/leveleditor_teleporttrap.png</t>
  </si>
  <si>
    <t>localization/leveleditor_tempotrap.png</t>
  </si>
  <si>
    <t>localization/leveleditor_bombtrap.png</t>
  </si>
  <si>
    <t>localization/leveleditor_firetrap.png</t>
  </si>
  <si>
    <t>localization/leveleditor_travelrune.png</t>
  </si>
  <si>
    <t>localization/leveleditor_shrineblood.png</t>
  </si>
  <si>
    <t>localization/leveleditor_shrinedarkness.png</t>
  </si>
  <si>
    <t>localization/leveleditor_shrineglass.png</t>
  </si>
  <si>
    <t>localization/leveleditor_shrinepeace.png</t>
  </si>
  <si>
    <t>localization/leveleditor_shrinerhythm.png</t>
  </si>
  <si>
    <t>localization/leveleditor_shrinerisk.png</t>
  </si>
  <si>
    <t>localization/leveleditor_shrinesacrifice.png</t>
  </si>
  <si>
    <t>localization/leveleditor_shrinespace.png</t>
  </si>
  <si>
    <t>localization/leveleditor_shrinewar.png</t>
  </si>
  <si>
    <t>localization/leveleditor_shrinenoreturn.png</t>
  </si>
  <si>
    <t>localization/leveleditor_shrinephasing.png</t>
  </si>
  <si>
    <t>localization/leveleditor_shrinepace.png</t>
  </si>
  <si>
    <t>localization/leveleditor_shrinechance.png</t>
  </si>
  <si>
    <t>localization/leveleditor_weapons.png</t>
  </si>
  <si>
    <t>localization/leveleditor_armor.png</t>
  </si>
  <si>
    <t>localization/leveleditor_footwear.png</t>
  </si>
  <si>
    <t>localization/leveleditor_headgear.png</t>
  </si>
  <si>
    <t>localization/leveleditor_rings.png</t>
  </si>
  <si>
    <t>localization/leveleditor_scrolls.png</t>
  </si>
  <si>
    <t>localization/leveleditor_otheritems.png</t>
  </si>
  <si>
    <t>localization/leveleditor_entername.png</t>
  </si>
  <si>
    <t>localization/leveleditor_exitwithoutsave.png</t>
  </si>
  <si>
    <t>localization/leveleditor_saveandpublish.png</t>
  </si>
  <si>
    <t>localization/leveleditor_workshop.png</t>
  </si>
  <si>
    <t>localization/leveleditor_loadnew.png</t>
  </si>
  <si>
    <t>localization/leveleditor_unsavedprogress.png</t>
  </si>
  <si>
    <t>localization/leveleditor_delete.png</t>
  </si>
  <si>
    <t>localization/leveleditor_generatewarning1.png</t>
  </si>
  <si>
    <t>localization/leveleditor_generatewarning2.png</t>
  </si>
  <si>
    <t>localization/leveleditor_alreadyexists.png</t>
  </si>
  <si>
    <t>localization/leveleditor_overwrite.png</t>
  </si>
  <si>
    <t>localization/training_greenslime.png</t>
  </si>
  <si>
    <t>localization/training_blueslime.png</t>
  </si>
  <si>
    <t>localization/training_orangeslime.png</t>
  </si>
  <si>
    <t>localization/training_skeleton.png</t>
  </si>
  <si>
    <t>localization/training_yellowskeleton.png</t>
  </si>
  <si>
    <t>localization/training_blackskeleton.png</t>
  </si>
  <si>
    <t>localization/training_bat.png</t>
  </si>
  <si>
    <t>localization/training_redbat.png</t>
  </si>
  <si>
    <t>localization/training_greenbat.png</t>
  </si>
  <si>
    <t>localization/training_monkey.png</t>
  </si>
  <si>
    <t>localization/training_whitemonkey.png</t>
  </si>
  <si>
    <t>localization/training_ghost.png</t>
  </si>
  <si>
    <t>localization/training_zombie.png</t>
  </si>
  <si>
    <t>localization/training_wraith.png</t>
  </si>
  <si>
    <t>localization/training_chestmimic.png</t>
  </si>
  <si>
    <t>localization/training_armoredskeleton1.png</t>
  </si>
  <si>
    <t>localization/training_armoredskeleton2.png</t>
  </si>
  <si>
    <t>localization/training_yellowarmoredskeleton1.png</t>
  </si>
  <si>
    <t>localization/training_yellowarmoredskeleton2.png</t>
  </si>
  <si>
    <t>localization/training_blackarmoredskeleton1.png</t>
  </si>
  <si>
    <t>localization/training_blackarmoredskeleton2.png</t>
  </si>
  <si>
    <t>localization/training_skeletonmage.png</t>
  </si>
  <si>
    <t>localization/training_yellowskeletonmage1.png</t>
  </si>
  <si>
    <t>localization/training_yellowskeletonmage2.png</t>
  </si>
  <si>
    <t>localization/training_blackskeletonmage1.png</t>
  </si>
  <si>
    <t>localization/training_blackskeletonmage2.png</t>
  </si>
  <si>
    <t>localization/training_mushroom.png</t>
  </si>
  <si>
    <t>localization/training_purplemushroom1.png</t>
  </si>
  <si>
    <t>localization/training_purplemushroom2.png</t>
  </si>
  <si>
    <t>localization/training_golem.png</t>
  </si>
  <si>
    <t>localization/training_darkgolem.png</t>
  </si>
  <si>
    <t>localization/training_armadillo.png</t>
  </si>
  <si>
    <t>localization/training_yellowarmadillo.png</t>
  </si>
  <si>
    <t>localization/training_clone.png</t>
  </si>
  <si>
    <t>localization/training_tarmonster.png</t>
  </si>
  <si>
    <t>localization/training_mole.png</t>
  </si>
  <si>
    <t>localization/training_wight.png</t>
  </si>
  <si>
    <t>localization/training_wallmimic.png</t>
  </si>
  <si>
    <t>localization/training_fireslime.png</t>
  </si>
  <si>
    <t>localization/training_iceslime.png</t>
  </si>
  <si>
    <t>localization/training_skeletonknight.png</t>
  </si>
  <si>
    <t>localization/training_yellowskeletonknight1.png</t>
  </si>
  <si>
    <t>localization/training_yellowskeletonknight2.png</t>
  </si>
  <si>
    <t>localization/training_blackskeletonknight1.png</t>
  </si>
  <si>
    <t>localization/training_blackskeletonknight2.png</t>
  </si>
  <si>
    <t>localization/training_fireelemental.png</t>
  </si>
  <si>
    <t>localization/training_iceelemental.png</t>
  </si>
  <si>
    <t>localization/training_goblin.png</t>
  </si>
  <si>
    <t>localization/training_graygoblin1.png</t>
  </si>
  <si>
    <t>localization/training_graygoblin2.png</t>
  </si>
  <si>
    <t>localization/training_firebeetle.png</t>
  </si>
  <si>
    <t>localization/training_icebeetle.png</t>
  </si>
  <si>
    <t>localization/training_shovemonster.png</t>
  </si>
  <si>
    <t>localization/training_grayshovemonster1.png</t>
  </si>
  <si>
    <t>localization/training_grayshovemonster2.png</t>
  </si>
  <si>
    <t>localization/training_hellhound.png</t>
  </si>
  <si>
    <t>localization/training_yeti.png</t>
  </si>
  <si>
    <t>localization/training_ghast.png</t>
  </si>
  <si>
    <t>localization/training_cauldronmimic.png</t>
  </si>
  <si>
    <t>localization/training_sarcophagus.png</t>
  </si>
  <si>
    <t>localization/training_yellowsarcophagus1.png</t>
  </si>
  <si>
    <t>localization/training_yellowsarcophagus2.png</t>
  </si>
  <si>
    <t>localization/training_blacksarcophagus1.png</t>
  </si>
  <si>
    <t>localization/training_blacksarcophagus2.png</t>
  </si>
  <si>
    <t>localization/training_lich.png</t>
  </si>
  <si>
    <t>localization/training_redlich.png</t>
  </si>
  <si>
    <t>localization/training_blacklich.png</t>
  </si>
  <si>
    <t>localization/training_greenmonkey1.png</t>
  </si>
  <si>
    <t>localization/training_greenmonkey2.png</t>
  </si>
  <si>
    <t>localization/training_magicmonkey1.png</t>
  </si>
  <si>
    <t>localization/training_magicmonkey2.png</t>
  </si>
  <si>
    <t>localization/training_warlock.png</t>
  </si>
  <si>
    <t>localization/training_neonwarlock.png</t>
  </si>
  <si>
    <t>localization/training_apprenticeblademaster1.png</t>
  </si>
  <si>
    <t>localization/training_apprenticeblademaster2.png</t>
  </si>
  <si>
    <t>localization/training_blademaster.png</t>
  </si>
  <si>
    <t>localization/training_harpy.png</t>
  </si>
  <si>
    <t>localization/training_goblinbomber1.png</t>
  </si>
  <si>
    <t>localization/training_goblinbomber2.png</t>
  </si>
  <si>
    <t>localization/training_spider.png</t>
  </si>
  <si>
    <t>localization/training_goblinsentry1.png</t>
  </si>
  <si>
    <t>localization/training_goblinsentry2.png</t>
  </si>
  <si>
    <t>localization/training_oozegolem.png</t>
  </si>
  <si>
    <t>localization/training_blackbat.png</t>
  </si>
  <si>
    <t>localization/training_orangearmadillo1.png</t>
  </si>
  <si>
    <t>localization/training_orangearmadillo2.png</t>
  </si>
  <si>
    <t>localization/training_ghoul.png</t>
  </si>
  <si>
    <t>localization/training_pixie.png</t>
  </si>
  <si>
    <t>localization/training_direbat.png</t>
  </si>
  <si>
    <t>localization/training_graydirebat.png</t>
  </si>
  <si>
    <t>localization/training_greendragon.png</t>
  </si>
  <si>
    <t>localization/training_reddragon.png</t>
  </si>
  <si>
    <t>localization/training_bluedragon.png</t>
  </si>
  <si>
    <t>localization/training_banshee.png</t>
  </si>
  <si>
    <t>localization/training_greenbanshee1.png</t>
  </si>
  <si>
    <t>localization/training_greenbanshee2.png</t>
  </si>
  <si>
    <t>localization/training_minotaur.png</t>
  </si>
  <si>
    <t>localization/training_grayminotaur.png</t>
  </si>
  <si>
    <t>localization/training_nightmare.png</t>
  </si>
  <si>
    <t>localization/training_bloodnightmare.png</t>
  </si>
  <si>
    <t>localization/training_mommy.png</t>
  </si>
  <si>
    <t>localization/training_ogre.png</t>
  </si>
  <si>
    <t>localization/training_kingconga1.png</t>
  </si>
  <si>
    <t>localization/training_kingconga2.png</t>
  </si>
  <si>
    <t>localization/training_kingconga3.png</t>
  </si>
  <si>
    <t>localization/training_kingconga4.png</t>
  </si>
  <si>
    <t>localization/training_deathmetal1.png</t>
  </si>
  <si>
    <t>localization/training_deathmetal2.png</t>
  </si>
  <si>
    <t>localization/training_deathmetal3.png</t>
  </si>
  <si>
    <t>localization/training_deathmetal4.png</t>
  </si>
  <si>
    <t>localization/training_deepblues1.png</t>
  </si>
  <si>
    <t>localization/training_deepblues2.png</t>
  </si>
  <si>
    <t>localization/training_deepblues3.png</t>
  </si>
  <si>
    <t>localization/training_deepblues4.png</t>
  </si>
  <si>
    <t>localization/training_coralriff1.png</t>
  </si>
  <si>
    <t>localization/training_coralriff2.png</t>
  </si>
  <si>
    <t>localization/training_coralriff3.png</t>
  </si>
  <si>
    <t>localization/training_coralriff4.png</t>
  </si>
  <si>
    <t>localization/training_deadringer.png</t>
  </si>
  <si>
    <t>localization/training_necrodancer1.png</t>
  </si>
  <si>
    <t>localization/training_necrodancer2.png</t>
  </si>
  <si>
    <t>localization/training_necrodancer3.png</t>
  </si>
  <si>
    <t>localization/training_necrodancer4.png</t>
  </si>
  <si>
    <t>localization/training_goldenlute.png</t>
  </si>
  <si>
    <t>localization/enemy_whitearmadillo.png</t>
  </si>
  <si>
    <t>localization/enemy_yellowarmadillo.png</t>
  </si>
  <si>
    <t>localization/enemy_orangearmadillo.png</t>
  </si>
  <si>
    <t>localization/enemy_whitearmoredskeleton.png</t>
  </si>
  <si>
    <t>localization/enemy_yellowarmoredskeleton.png</t>
  </si>
  <si>
    <t>localization/enemy_blackarmoredskeleton.png</t>
  </si>
  <si>
    <t>localization/enemy_bluebanshee.png</t>
  </si>
  <si>
    <t>localization/enemy_greenbanshee.png</t>
  </si>
  <si>
    <t>localization/enemy_bluebat.png</t>
  </si>
  <si>
    <t>localization/enemy_redbat.png</t>
  </si>
  <si>
    <t>localization/enemy_greenbat.png</t>
  </si>
  <si>
    <t>localization/enemy_blackbat.png</t>
  </si>
  <si>
    <t>localization/enemy_yellowdirebat.png</t>
  </si>
  <si>
    <t>localization/enemy_browndirebat.png</t>
  </si>
  <si>
    <t>localization/enemy_firebeetle.png</t>
  </si>
  <si>
    <t>localization/enemy_icebeetle.png</t>
  </si>
  <si>
    <t>localization/enemy_bishop.png</t>
  </si>
  <si>
    <t>localization/enemy_redbishop.png</t>
  </si>
  <si>
    <t>localization/enemy_apprenticeblademaster.png</t>
  </si>
  <si>
    <t>localization/enemy_blademaster.png</t>
  </si>
  <si>
    <t>localization/enemy_clone.png</t>
  </si>
  <si>
    <t>localization/enemy_coralriff.png</t>
  </si>
  <si>
    <t>localization/enemy_barrel.png</t>
  </si>
  <si>
    <t>localization/enemy_deadringer.png</t>
  </si>
  <si>
    <t>localization/enemy_deathmetal.png</t>
  </si>
  <si>
    <t>localization/enemy_greendragon.png</t>
  </si>
  <si>
    <t>localization/enemy_reddragon.png</t>
  </si>
  <si>
    <t>localization/enemy_bluedragon.png</t>
  </si>
  <si>
    <t>localization/enemy_wallmimic.png</t>
  </si>
  <si>
    <t>localization/enemy_fireelemental.png</t>
  </si>
  <si>
    <t>localization/enemy_gargoyle.png</t>
  </si>
  <si>
    <t>localization/enemy_ghast.png</t>
  </si>
  <si>
    <t>localization/enemy_ghost.png</t>
  </si>
  <si>
    <t>localization/enemy_ghoul.png</t>
  </si>
  <si>
    <t>localization/enemy_purplegoblin.png</t>
  </si>
  <si>
    <t>localization/enemy_graygoblin.png</t>
  </si>
  <si>
    <t>localization/enemy_goblinbomber.png</t>
  </si>
  <si>
    <t>localization/enemy_lightgolem.png</t>
  </si>
  <si>
    <t>localization/enemy_darkgolem.png</t>
  </si>
  <si>
    <t>localization/enemy_oozegolem.png</t>
  </si>
  <si>
    <t>localization/enemy_harpy.png</t>
  </si>
  <si>
    <t>localization/enemy_hellhound.png</t>
  </si>
  <si>
    <t>localization/enemy_iceelemental.png</t>
  </si>
  <si>
    <t>localization/enemy_king.png</t>
  </si>
  <si>
    <t>localization/enemy_redking.png</t>
  </si>
  <si>
    <t>localization/enemy_kingconga.png</t>
  </si>
  <si>
    <t>localization/enemy_knight.png</t>
  </si>
  <si>
    <t>localization/enemy_redknight.png</t>
  </si>
  <si>
    <t>localization/enemy_leprechaun.png</t>
  </si>
  <si>
    <t>localization/enemy_lich.png</t>
  </si>
  <si>
    <t>localization/enemy_redlich.png</t>
  </si>
  <si>
    <t>localization/enemy_blacklich.png</t>
  </si>
  <si>
    <t>localization/enemy_goldenlute.png</t>
  </si>
  <si>
    <t>localization/enemy_lightminotaur.png</t>
  </si>
  <si>
    <t>localization/enemy_darkminotaur.png</t>
  </si>
  <si>
    <t>localization/enemy_mole.png</t>
  </si>
  <si>
    <t>localization/enemy_purplemonkey.png</t>
  </si>
  <si>
    <t>localization/enemy_whitemonkey.png</t>
  </si>
  <si>
    <t>localization/enemy_greenmonkey.png</t>
  </si>
  <si>
    <t>localization/enemy_magicmonkey.png</t>
  </si>
  <si>
    <t>localization/enemy_mommy.png</t>
  </si>
  <si>
    <t>localization/enemy_mummy.png</t>
  </si>
  <si>
    <t>localization/enemy_bluemushroom.png</t>
  </si>
  <si>
    <t>localization/enemy_purplemushroom.png</t>
  </si>
  <si>
    <t>localization/enemy_explodingmushroom.png</t>
  </si>
  <si>
    <t>localization/enemy_necrodancer.png</t>
  </si>
  <si>
    <t>localization/enemy_darknightmare.png</t>
  </si>
  <si>
    <t>localization/enemy_bloodnightmare.png</t>
  </si>
  <si>
    <t>localization/enemy_ogre.png</t>
  </si>
  <si>
    <t>localization/enemy_pawn.png</t>
  </si>
  <si>
    <t>localization/enemy_redpawn.png</t>
  </si>
  <si>
    <t>localization/enemy_pixie.png</t>
  </si>
  <si>
    <t>localization/enemy_queen.png</t>
  </si>
  <si>
    <t>localization/enemy_redqueen.png</t>
  </si>
  <si>
    <t>localization/enemy_rook.png</t>
  </si>
  <si>
    <t>localization/enemy_redrook.png</t>
  </si>
  <si>
    <t>localization/enemy_sarcophagus.png</t>
  </si>
  <si>
    <t>localization/enemy_yellowsarcophagus.png</t>
  </si>
  <si>
    <t>localization/enemy_blacksarcophagus.png</t>
  </si>
  <si>
    <t>localization/enemy_shopkeeper.png</t>
  </si>
  <si>
    <t>localization/enemy_monstrousshopkeeper.png</t>
  </si>
  <si>
    <t>localization/enemy_shopkeeperghost.png</t>
  </si>
  <si>
    <t>localization/enemy_shovemonster.png</t>
  </si>
  <si>
    <t>localization/enemy_whiteskeleton.png</t>
  </si>
  <si>
    <t>localization/enemy_yellowskeleton.png</t>
  </si>
  <si>
    <t>localization/enemy_blackskeleton.png</t>
  </si>
  <si>
    <t>localization/enemy_whiteskeletonknight.png</t>
  </si>
  <si>
    <t>localization/enemy_yellowskeletonknight.png</t>
  </si>
  <si>
    <t>localization/enemy_blackskeletonknight.png</t>
  </si>
  <si>
    <t>localization/enemy_whiteskeletonmage.png</t>
  </si>
  <si>
    <t>localization/enemy_yellowskeletonmage.png</t>
  </si>
  <si>
    <t>localization/enemy_blackskeletonmage.png</t>
  </si>
  <si>
    <t>localization/enemy_goblinsentry.png</t>
  </si>
  <si>
    <t>localization/enemy_greenslime.png</t>
  </si>
  <si>
    <t>localization/enemy_blueslime.png</t>
  </si>
  <si>
    <t>localization/enemy_orangeslime.png</t>
  </si>
  <si>
    <t>localization/enemy_iceslime.png</t>
  </si>
  <si>
    <t>localization/enemy_fireslime.png</t>
  </si>
  <si>
    <t>localization/enemy_spider.png</t>
  </si>
  <si>
    <t>localization/enemy_tarmonster.png</t>
  </si>
  <si>
    <t>localization/enemy_tentacle.png</t>
  </si>
  <si>
    <t>localization/enemy_chestmimic.png</t>
  </si>
  <si>
    <t>localization/enemy_lockedchestmimic.png</t>
  </si>
  <si>
    <t>localization/enemy_whitechestmimic.png</t>
  </si>
  <si>
    <t>localization/enemy_firecauldronmimic.png</t>
  </si>
  <si>
    <t>localization/enemy_icecauldronmimic.png</t>
  </si>
  <si>
    <t>localization/enemy_warlock.png</t>
  </si>
  <si>
    <t>localization/enemy_neonwarlock.png</t>
  </si>
  <si>
    <t>localization/enemy_wight.png</t>
  </si>
  <si>
    <t>localization/enemy_wraith.png</t>
  </si>
  <si>
    <t>localization/enemy_yeti.png</t>
  </si>
  <si>
    <t>localization/enemy_zombie.png</t>
  </si>
  <si>
    <t>localization/enemy_congaline.png</t>
  </si>
  <si>
    <t>localization/enemy_spiketrap.png</t>
  </si>
  <si>
    <t>localization/enemy_bloodmagic.png</t>
  </si>
  <si>
    <t>localization/enemy_bloodshovel.png</t>
  </si>
  <si>
    <t>localization/enemy_blooddrum.png</t>
  </si>
  <si>
    <t>localization/enemy_blooddebt.png</t>
  </si>
  <si>
    <t>localization/enemy_bootsofpain.png</t>
  </si>
  <si>
    <t>localization/enemy_crownofthorns.png</t>
  </si>
  <si>
    <t>localization/enemy_cowardice.png</t>
  </si>
  <si>
    <t>localization/enemy_vowofpoverty.png</t>
  </si>
  <si>
    <t>localization/enemy_hotcoal.png</t>
  </si>
  <si>
    <t>localization/enemy_lava.png</t>
  </si>
  <si>
    <t>localization/enemy_dorianscurse.png</t>
  </si>
  <si>
    <t>localization/enemy_shove.png</t>
  </si>
  <si>
    <t>localization/enemy_crystaltile.png</t>
  </si>
  <si>
    <t>localization/enemy_shrineofpace.png</t>
  </si>
  <si>
    <t>localization/enemy_shrineofnoreturn.png</t>
  </si>
  <si>
    <t>localization/enemy_shrineofrisk.png</t>
  </si>
  <si>
    <t>localization/enemy_trapwalls.png</t>
  </si>
  <si>
    <t>localization/enemy_bomb.png</t>
  </si>
  <si>
    <t>localization/enemy_missedbeat.png</t>
  </si>
  <si>
    <t>localization/enemy_grayshovemonster.png</t>
  </si>
  <si>
    <t>localization/enemy_deepblues.png</t>
  </si>
  <si>
    <t>localization/enemy_fireball.png</t>
  </si>
  <si>
    <t>localization/enemybig_whitearmadillo.png</t>
  </si>
  <si>
    <t>localization/enemybig_yellowarmadillo.png</t>
  </si>
  <si>
    <t>localization/enemybig_orangearmadillo.png</t>
  </si>
  <si>
    <t>localization/enemybig_whitearmoredskeleton.png</t>
  </si>
  <si>
    <t>localization/enemybig_yellowarmoredskeleton.png</t>
  </si>
  <si>
    <t>localization/enemybig_blackarmoredskeleton.png</t>
  </si>
  <si>
    <t>localization/enemybig_bluebanshee.png</t>
  </si>
  <si>
    <t>localization/enemybig_greenbanshee.png</t>
  </si>
  <si>
    <t>localization/enemybig_bluebat.png</t>
  </si>
  <si>
    <t>localization/enemybig_redbat.png</t>
  </si>
  <si>
    <t>localization/enemybig_greenbat.png</t>
  </si>
  <si>
    <t>localization/enemybig_blackbat.png</t>
  </si>
  <si>
    <t>localization/enemybig_yellowdirebat.png</t>
  </si>
  <si>
    <t>localization/enemybig_browndirebat.png</t>
  </si>
  <si>
    <t>localization/enemybig_firebeetle.png</t>
  </si>
  <si>
    <t>localization/enemybig_icebeetle.png</t>
  </si>
  <si>
    <t>localization/enemybig_bishop.png</t>
  </si>
  <si>
    <t>localization/enemybig_redbishop.png</t>
  </si>
  <si>
    <t>localization/enemybig_apprenticeblademaster.png</t>
  </si>
  <si>
    <t>localization/enemybig_blademaster.png</t>
  </si>
  <si>
    <t>localization/enemybig_clone.png</t>
  </si>
  <si>
    <t>localization/enemybig_coralriff.png</t>
  </si>
  <si>
    <t>localization/enemybig_barrel.png</t>
  </si>
  <si>
    <t>localization/enemybig_deadringer.png</t>
  </si>
  <si>
    <t>localization/enemybig_deathmetal.png</t>
  </si>
  <si>
    <t>localization/enemybig_greendragon.png</t>
  </si>
  <si>
    <t>localization/enemybig_reddragon.png</t>
  </si>
  <si>
    <t>localization/enemybig_bluedragon.png</t>
  </si>
  <si>
    <t>localization/enemybig_wallmimic.png</t>
  </si>
  <si>
    <t>localization/enemybig_fireelemental.png</t>
  </si>
  <si>
    <t>localization/enemybig_gargoyle.png</t>
  </si>
  <si>
    <t>localization/enemybig_ghast.png</t>
  </si>
  <si>
    <t>localization/enemybig_ghost.png</t>
  </si>
  <si>
    <t>localization/enemybig_ghoul.png</t>
  </si>
  <si>
    <t>localization/enemybig_purplegoblin.png</t>
  </si>
  <si>
    <t>localization/enemybig_graygoblin.png</t>
  </si>
  <si>
    <t>localization/enemybig_goblinbomber.png</t>
  </si>
  <si>
    <t>localization/enemybig_lightgolem.png</t>
  </si>
  <si>
    <t>localization/enemybig_darkgolem.png</t>
  </si>
  <si>
    <t>localization/enemybig_oozegolem.png</t>
  </si>
  <si>
    <t>localization/enemybig_harpy.png</t>
  </si>
  <si>
    <t>localization/enemybig_hellhound.png</t>
  </si>
  <si>
    <t>localization/enemybig_iceelemental.png</t>
  </si>
  <si>
    <t>localization/enemybig_king.png</t>
  </si>
  <si>
    <t>localization/enemybig_redking.png</t>
  </si>
  <si>
    <t>localization/enemybig_kingconga.png</t>
  </si>
  <si>
    <t>localization/enemybig_knight.png</t>
  </si>
  <si>
    <t>localization/enemybig_redknight.png</t>
  </si>
  <si>
    <t>localization/enemybig_leprechaun.png</t>
  </si>
  <si>
    <t>localization/enemybig_lich.png</t>
  </si>
  <si>
    <t>localization/enemybig_redlich.png</t>
  </si>
  <si>
    <t>localization/enemybig_blacklich.png</t>
  </si>
  <si>
    <t>localization/enemybig_goldenlute.png</t>
  </si>
  <si>
    <t>localization/enemybig_lightminotaur.png</t>
  </si>
  <si>
    <t>localization/enemybig_darkminotaur.png</t>
  </si>
  <si>
    <t>localization/enemybig_mole.png</t>
  </si>
  <si>
    <t>localization/enemybig_purplemonkey.png</t>
  </si>
  <si>
    <t>localization/enemybig_whitemonkey.png</t>
  </si>
  <si>
    <t>localization/enemybig_greenmonkey.png</t>
  </si>
  <si>
    <t>localization/enemybig_magicmonkey.png</t>
  </si>
  <si>
    <t>localization/enemybig_mommy.png</t>
  </si>
  <si>
    <t>localization/enemybig_mummy.png</t>
  </si>
  <si>
    <t>localization/enemybig_bluemushroom.png</t>
  </si>
  <si>
    <t>localization/enemybig_purplemushroom.png</t>
  </si>
  <si>
    <t>localization/enemybig_explodingmushroom.png</t>
  </si>
  <si>
    <t>localization/enemybig_necrodancer.png</t>
  </si>
  <si>
    <t>localization/enemybig_darknightmare.png</t>
  </si>
  <si>
    <t>localization/enemybig_bloodnightmare.png</t>
  </si>
  <si>
    <t>localization/enemybig_ogre.png</t>
  </si>
  <si>
    <t>localization/enemybig_pawn.png</t>
  </si>
  <si>
    <t>localization/enemybig_redpawn.png</t>
  </si>
  <si>
    <t>localization/enemybig_pixie.png</t>
  </si>
  <si>
    <t>localization/enemybig_queen.png</t>
  </si>
  <si>
    <t>localization/enemybig_redqueen.png</t>
  </si>
  <si>
    <t>localization/enemybig_rook.png</t>
  </si>
  <si>
    <t>localization/enemybig_redrook.png</t>
  </si>
  <si>
    <t>localization/enemybig_sarcophagus.png</t>
  </si>
  <si>
    <t>localization/enemybig_yellowsarcophagus.png</t>
  </si>
  <si>
    <t>localization/enemybig_blacksarcophagus.png</t>
  </si>
  <si>
    <t>localization/enemybig_shopkeeper.png</t>
  </si>
  <si>
    <t>localization/enemybig_monstrousshopkeeper.png</t>
  </si>
  <si>
    <t>localization/enemybig_shopkeeperghost.png</t>
  </si>
  <si>
    <t>localization/enemybig_shovemonster.png</t>
  </si>
  <si>
    <t>localization/enemybig_whiteskeleton.png</t>
  </si>
  <si>
    <t>localization/enemybig_yellowskeleton.png</t>
  </si>
  <si>
    <t>localization/enemybig_blackskeleton.png</t>
  </si>
  <si>
    <t>localization/enemybig_whiteskeletonknight.png</t>
  </si>
  <si>
    <t>localization/enemybig_yellowskeletonknight.png</t>
  </si>
  <si>
    <t>localization/enemybig_blackskeletonknight.png</t>
  </si>
  <si>
    <t>localization/enemybig_whiteskeletonmage.png</t>
  </si>
  <si>
    <t>localization/enemybig_yellowskeletonmage.png</t>
  </si>
  <si>
    <t>localization/enemybig_blackskeletonmage.png</t>
  </si>
  <si>
    <t>localization/enemybig_goblinsentry.png</t>
  </si>
  <si>
    <t>localization/enemybig_greenslime.png</t>
  </si>
  <si>
    <t>localization/enemybig_blueslime.png</t>
  </si>
  <si>
    <t>localization/enemybig_orangeslime.png</t>
  </si>
  <si>
    <t>localization/enemybig_iceslime.png</t>
  </si>
  <si>
    <t>localization/enemybig_fireslime.png</t>
  </si>
  <si>
    <t>localization/enemybig_spider.png</t>
  </si>
  <si>
    <t>localization/enemybig_tarmonster.png</t>
  </si>
  <si>
    <t>localization/enemybig_tentacle.png</t>
  </si>
  <si>
    <t>localization/enemybig_chestmimic.png</t>
  </si>
  <si>
    <t>localization/enemybig_lockedchestmimic.png</t>
  </si>
  <si>
    <t>localization/enemybig_whitechestmimic.png</t>
  </si>
  <si>
    <t>localization/enemybig_firecauldronmimic.png</t>
  </si>
  <si>
    <t>localization/enemybig_icecauldronmimic.png</t>
  </si>
  <si>
    <t>localization/enemybig_warlock.png</t>
  </si>
  <si>
    <t>localization/enemybig_neonwarlock.png</t>
  </si>
  <si>
    <t>localization/enemybig_wight.png</t>
  </si>
  <si>
    <t>localization/enemybig_wraith.png</t>
  </si>
  <si>
    <t>localization/enemybig_yeti.png</t>
  </si>
  <si>
    <t>localization/enemybig_zombie.png</t>
  </si>
  <si>
    <t>localization/enemybig_congaline.png</t>
  </si>
  <si>
    <t>localization/enemybig_spiketrap.png</t>
  </si>
  <si>
    <t>localization/enemybig_bloodmagic.png</t>
  </si>
  <si>
    <t>localization/enemybig_bloodshovel.png</t>
  </si>
  <si>
    <t>localization/enemybig_blooddrum.png</t>
  </si>
  <si>
    <t>localization/enemybig_blooddebt.png</t>
  </si>
  <si>
    <t>localization/enemybig_bootsofpain.png</t>
  </si>
  <si>
    <t>localization/enemybig_crownofthorns.png</t>
  </si>
  <si>
    <t>localization/enemybig_cowardice.png</t>
  </si>
  <si>
    <t>localization/enemybig_vowofpoverty.png</t>
  </si>
  <si>
    <t>localization/enemybig_hotcoal.png</t>
  </si>
  <si>
    <t>localization/enemybig_lava.png</t>
  </si>
  <si>
    <t>localization/enemybig_dorianscurse.png</t>
  </si>
  <si>
    <t>localization/enemybig_shove.png</t>
  </si>
  <si>
    <t>localization/enemybig_crystaltile.png</t>
  </si>
  <si>
    <t>localization/enemybig_shrineofpace.png</t>
  </si>
  <si>
    <t>localization/enemybig_shrineofnoreturn.png</t>
  </si>
  <si>
    <t>localization/enemybig_shrineofrisk.png</t>
  </si>
  <si>
    <t>localization/enemybig_trapwalls.png</t>
  </si>
  <si>
    <t>localization/enemybig_bomb.png</t>
  </si>
  <si>
    <t>localization/enemybig_missedbeat.png</t>
  </si>
  <si>
    <t>localization/enemybig_grayshovemonster.png</t>
  </si>
  <si>
    <t>localization/enemybig_deepblues.png</t>
  </si>
  <si>
    <t>localization/enemybig_fireball.png</t>
  </si>
  <si>
    <t>localization/options_button_default.png</t>
  </si>
  <si>
    <t>localization/options_button_set.png</t>
  </si>
  <si>
    <t>localization/options_button_none.png</t>
  </si>
  <si>
    <t>localization/options_button_bksp.png</t>
  </si>
  <si>
    <t>localization/options_button_tab.png</t>
  </si>
  <si>
    <t>localization/options_button_shift.png</t>
  </si>
  <si>
    <t>localization/options_button_ctrl.png</t>
  </si>
  <si>
    <t>localization/options_button_caps.png</t>
  </si>
  <si>
    <t>localization/options_button_esc.png</t>
  </si>
  <si>
    <t>localization/options_button_space.png</t>
  </si>
  <si>
    <t>localization/options_button_pgup.png</t>
  </si>
  <si>
    <t>localization/options_button_pgdn.png</t>
  </si>
  <si>
    <t>localization/options_button_end.png</t>
  </si>
  <si>
    <t>localization/options_button_home.png</t>
  </si>
  <si>
    <t>localization/options_button_left1.png</t>
  </si>
  <si>
    <t>localization/options_button_up1.png</t>
  </si>
  <si>
    <t>localization/options_button_right1.png</t>
  </si>
  <si>
    <t>localization/options_button_down1.png</t>
  </si>
  <si>
    <t>localization/options_button_ins.png</t>
  </si>
  <si>
    <t>localization/options_button_del.png</t>
  </si>
  <si>
    <t>localization/options_button_np0.png</t>
  </si>
  <si>
    <t>localization/options_button_np1.png</t>
  </si>
  <si>
    <t>localization/options_button_np2.png</t>
  </si>
  <si>
    <t>localization/options_button_np3.png</t>
  </si>
  <si>
    <t>localization/options_button_np4.png</t>
  </si>
  <si>
    <t>localization/options_button_np5.png</t>
  </si>
  <si>
    <t>localization/options_button_np6.png</t>
  </si>
  <si>
    <t>localization/options_button_np7.png</t>
  </si>
  <si>
    <t>localization/options_button_np8.png</t>
  </si>
  <si>
    <t>localization/options_button_np9.png</t>
  </si>
  <si>
    <t>localization/options_button_nptms.png</t>
  </si>
  <si>
    <t>localization/options_button_npplus.png</t>
  </si>
  <si>
    <t>localization/options_button_npslash.png</t>
  </si>
  <si>
    <t>localization/options_button_npminus.png</t>
  </si>
  <si>
    <t>localization/options_button_npperiod.png</t>
  </si>
  <si>
    <t>localization/options_button_npdiv.png</t>
  </si>
  <si>
    <t>localization/options_button_f1.png</t>
  </si>
  <si>
    <t>localization/options_button_f2.png</t>
  </si>
  <si>
    <t>localization/options_button_f3.png</t>
  </si>
  <si>
    <t>localization/options_button_f4.png</t>
  </si>
  <si>
    <t>localization/options_button_f5.png</t>
  </si>
  <si>
    <t>localization/options_button_f6.png</t>
  </si>
  <si>
    <t>localization/options_button_f7.png</t>
  </si>
  <si>
    <t>localization/options_button_f8.png</t>
  </si>
  <si>
    <t>localization/options_button_f9.png</t>
  </si>
  <si>
    <t>localization/options_button_f10.png</t>
  </si>
  <si>
    <t>localization/options_button_f11.png</t>
  </si>
  <si>
    <t>localization/options_button_f12.png</t>
  </si>
  <si>
    <t>localization/options_button_tilde.png</t>
  </si>
  <si>
    <t>localization/options_button_lbrace.png</t>
  </si>
  <si>
    <t>localization/options_button_bkslsh.png</t>
  </si>
  <si>
    <t>localization/options_button_rbrace.png</t>
  </si>
  <si>
    <t>localization/options_button_stick.png</t>
  </si>
  <si>
    <t>localization/options_button_rstick.png</t>
  </si>
  <si>
    <t>localization/options_button_dpad.png</t>
  </si>
  <si>
    <t>localization/options_button_down2.png</t>
  </si>
  <si>
    <t>localization/options_button_up2.png</t>
  </si>
  <si>
    <t>localization/options_button_left2.png</t>
  </si>
  <si>
    <t>localization/options_button_right2.png</t>
  </si>
  <si>
    <t>localization/options_button_stickdown.png</t>
  </si>
  <si>
    <t>localization/options_button_stickup.png</t>
  </si>
  <si>
    <t>localization/options_button_stickleft.png</t>
  </si>
  <si>
    <t>localization/options_button_stickright.png</t>
  </si>
  <si>
    <t>localization/options_button_rstickdown.png</t>
  </si>
  <si>
    <t>localization/options_button_rstickup.png</t>
  </si>
  <si>
    <t>localization/options_button_rstickleft.png</t>
  </si>
  <si>
    <t>localization/options_button_rstickright.png</t>
  </si>
  <si>
    <t>localization/options_button_dpaddown.png</t>
  </si>
  <si>
    <t>localization/options_button_dpadup.png</t>
  </si>
  <si>
    <t>localization/options_button_dpadleft.png</t>
  </si>
  <si>
    <t>localization/options_button_dpadright.png</t>
  </si>
  <si>
    <t>localization/options_button_abtn.png</t>
  </si>
  <si>
    <t>localization/options_button_ybtn.png</t>
  </si>
  <si>
    <t>localization/options_button_xbtn.png</t>
  </si>
  <si>
    <t>localization/options_button_bbtn.png</t>
  </si>
  <si>
    <t>localization/options_button_start1.png</t>
  </si>
  <si>
    <t>localization/options_button_back.png</t>
  </si>
  <si>
    <t>localization/options_button_lb.png</t>
  </si>
  <si>
    <t>localization/options_button_rb.png</t>
  </si>
  <si>
    <t>localization/options_button_lt.png</t>
  </si>
  <si>
    <t>localization/options_button_rt.png</t>
  </si>
  <si>
    <t>localization/options_button_l3.png</t>
  </si>
  <si>
    <t>localization/options_button_r3.png</t>
  </si>
  <si>
    <t>localization/options_button_x.png</t>
  </si>
  <si>
    <t>localization/options_button_triangle.png</t>
  </si>
  <si>
    <t>localization/options_button_square.png</t>
  </si>
  <si>
    <t>localization/options_button_circle.png</t>
  </si>
  <si>
    <t>localization/options_button_start2.png</t>
  </si>
  <si>
    <t>localization/options_button_select.png</t>
  </si>
  <si>
    <t>localization/options_button_l1.png</t>
  </si>
  <si>
    <t>localization/options_button_r1.png</t>
  </si>
  <si>
    <t>localization/options_button_l2.png</t>
  </si>
  <si>
    <t>localization/options_button_r2.png</t>
  </si>
  <si>
    <t>localization/options_button_joy1button.png</t>
  </si>
  <si>
    <t>localization/options_button_joy2button.png</t>
  </si>
  <si>
    <t>localization/options_button_joy3button.png</t>
  </si>
  <si>
    <t>localization/options_button_joy4button.png</t>
  </si>
  <si>
    <t>localization/options_button_key.png</t>
  </si>
  <si>
    <t>localization/options_button_comboleft1.png</t>
  </si>
  <si>
    <t>localization/options_button_comboright.png</t>
  </si>
  <si>
    <t>localization/options_button_comboup.png</t>
  </si>
  <si>
    <t>localization/options_button_combodown1.png</t>
  </si>
  <si>
    <t>localization/options_button_comboleft2.png</t>
  </si>
  <si>
    <t>localization/options_button_combodown2.png</t>
  </si>
  <si>
    <t>localization/options_buttonbig_bksp.png</t>
  </si>
  <si>
    <t>localization/options_buttonbig_tab.png</t>
  </si>
  <si>
    <t>localization/options_buttonbig_shift.png</t>
  </si>
  <si>
    <t>localization/options_buttonbig_ctrl.png</t>
  </si>
  <si>
    <t>localization/options_buttonbig_caps.png</t>
  </si>
  <si>
    <t>localization/options_buttonbig_esc.png</t>
  </si>
  <si>
    <t>localization/options_buttonbig_space.png</t>
  </si>
  <si>
    <t>localization/options_buttonbig_pgup.png</t>
  </si>
  <si>
    <t>localization/options_buttonbig_pgdn.png</t>
  </si>
  <si>
    <t>localization/options_buttonbig_end.png</t>
  </si>
  <si>
    <t>localization/options_buttonbig_home.png</t>
  </si>
  <si>
    <t>localization/options_buttonbig_left1.png</t>
  </si>
  <si>
    <t>localization/options_buttonbig_up1.png</t>
  </si>
  <si>
    <t>localization/options_buttonbig_right1.png</t>
  </si>
  <si>
    <t>localization/options_buttonbig_down1.png</t>
  </si>
  <si>
    <t>localization/options_buttonbig_ins.png</t>
  </si>
  <si>
    <t>localization/options_buttonbig_del.png</t>
  </si>
  <si>
    <t>localization/options_buttonbig_np0.png</t>
  </si>
  <si>
    <t>localization/options_buttonbig_np1.png</t>
  </si>
  <si>
    <t>localization/options_buttonbig_np2.png</t>
  </si>
  <si>
    <t>localization/options_buttonbig_np3.png</t>
  </si>
  <si>
    <t>localization/options_buttonbig_np4.png</t>
  </si>
  <si>
    <t>localization/options_buttonbig_np5.png</t>
  </si>
  <si>
    <t>localization/options_buttonbig_np6.png</t>
  </si>
  <si>
    <t>localization/options_buttonbig_np7.png</t>
  </si>
  <si>
    <t>localization/options_buttonbig_np8.png</t>
  </si>
  <si>
    <t>localization/options_buttonbig_np9.png</t>
  </si>
  <si>
    <t>localization/options_buttonbig_nptms.png</t>
  </si>
  <si>
    <t>localization/options_buttonbig_npplus.png</t>
  </si>
  <si>
    <t>localization/options_buttonbig_npslash.png</t>
  </si>
  <si>
    <t>localization/options_buttonbig_npminus.png</t>
  </si>
  <si>
    <t>localization/options_buttonbig_npperiod.png</t>
  </si>
  <si>
    <t>localization/options_buttonbig_npdiv.png</t>
  </si>
  <si>
    <t>localization/options_buttonbig_f1.png</t>
  </si>
  <si>
    <t>localization/options_buttonbig_f2.png</t>
  </si>
  <si>
    <t>localization/options_buttonbig_f3.png</t>
  </si>
  <si>
    <t>localization/options_buttonbig_f4.png</t>
  </si>
  <si>
    <t>localization/options_buttonbig_f5.png</t>
  </si>
  <si>
    <t>localization/options_buttonbig_f6.png</t>
  </si>
  <si>
    <t>localization/options_buttonbig_f7.png</t>
  </si>
  <si>
    <t>localization/options_buttonbig_f8.png</t>
  </si>
  <si>
    <t>localization/options_buttonbig_f9.png</t>
  </si>
  <si>
    <t>localization/options_buttonbig_f10.png</t>
  </si>
  <si>
    <t>localization/options_buttonbig_f11.png</t>
  </si>
  <si>
    <t>localization/options_buttonbig_f12.png</t>
  </si>
  <si>
    <t>localization/options_buttonbig_tilde.png</t>
  </si>
  <si>
    <t>localization/options_buttonbig_lbrace.png</t>
  </si>
  <si>
    <t>localization/options_buttonbig_bkslsh.png</t>
  </si>
  <si>
    <t>localization/options_buttonbig_rbrace.png</t>
  </si>
  <si>
    <t>localization/options_buttonbig_stick.png</t>
  </si>
  <si>
    <t>localization/options_buttonbig_rstick.png</t>
  </si>
  <si>
    <t>localization/options_buttonbig_dpad.png</t>
  </si>
  <si>
    <t>localization/options_buttonbig_down2.png</t>
  </si>
  <si>
    <t>localization/options_buttonbig_up2.png</t>
  </si>
  <si>
    <t>localization/options_buttonbig_left2.png</t>
  </si>
  <si>
    <t>localization/options_buttonbig_right2.png</t>
  </si>
  <si>
    <t>localization/options_buttonbig_stickdown.png</t>
  </si>
  <si>
    <t>localization/options_buttonbig_stickup.png</t>
  </si>
  <si>
    <t>localization/options_buttonbig_stickleft.png</t>
  </si>
  <si>
    <t>localization/options_buttonbig_stickright.png</t>
  </si>
  <si>
    <t>localization/options_buttonbig_rstickdown.png</t>
  </si>
  <si>
    <t>localization/options_buttonbig_rstickup.png</t>
  </si>
  <si>
    <t>localization/options_buttonbig_rstickleft.png</t>
  </si>
  <si>
    <t>localization/options_buttonbig_rstickright.png</t>
  </si>
  <si>
    <t>localization/options_buttonbig_dpaddown.png</t>
  </si>
  <si>
    <t>localization/options_buttonbig_dpadup.png</t>
  </si>
  <si>
    <t>localization/options_buttonbig_dpadleft.png</t>
  </si>
  <si>
    <t>localization/options_buttonbig_dpadright.png</t>
  </si>
  <si>
    <t>localization/options_buttonbig_abtn.png</t>
  </si>
  <si>
    <t>localization/options_buttonbig_ybtn.png</t>
  </si>
  <si>
    <t>localization/options_buttonbig_xbtn.png</t>
  </si>
  <si>
    <t>localization/options_buttonbig_bbtn.png</t>
  </si>
  <si>
    <t>localization/options_buttonbig_start1.png</t>
  </si>
  <si>
    <t>localization/options_buttonbig_back.png</t>
  </si>
  <si>
    <t>localization/options_buttonbig_lb.png</t>
  </si>
  <si>
    <t>localization/options_buttonbig_rb.png</t>
  </si>
  <si>
    <t>localization/options_buttonbig_lt.png</t>
  </si>
  <si>
    <t>localization/options_buttonbig_rt.png</t>
  </si>
  <si>
    <t>localization/options_buttonbig_l3.png</t>
  </si>
  <si>
    <t>localization/options_buttonbig_r3.png</t>
  </si>
  <si>
    <t>localization/options_buttonbig_x.png</t>
  </si>
  <si>
    <t>localization/options_buttonbig_triangle.png</t>
  </si>
  <si>
    <t>localization/options_buttonbig_square.png</t>
  </si>
  <si>
    <t>localization/options_buttonbig_circle.png</t>
  </si>
  <si>
    <t>localization/options_buttonbig_start.png</t>
  </si>
  <si>
    <t>localization/options_buttonbig_select.png</t>
  </si>
  <si>
    <t>localization/options_buttonbig_l1.png</t>
  </si>
  <si>
    <t>localization/options_buttonbig_r1.png</t>
  </si>
  <si>
    <t>localization/options_buttonbig_l2.png</t>
  </si>
  <si>
    <t>localization/options_buttonbig_r2.png</t>
  </si>
  <si>
    <t>localization/options_buttonbig_joy1button.png</t>
  </si>
  <si>
    <t>localization/options_buttonbig_joy2button.png</t>
  </si>
  <si>
    <t>localization/options_buttonbig_joy3button.png</t>
  </si>
  <si>
    <t>localization/options_buttonbig_joy4button.png</t>
  </si>
  <si>
    <t>localization/options_buttonbig_key.png</t>
  </si>
  <si>
    <t>localization/options_buttonbig_updown.png</t>
  </si>
  <si>
    <t>localization/selection/options_savedatausecloud.png</t>
  </si>
  <si>
    <t>localization/selection/options_savedatauselocal.png</t>
  </si>
  <si>
    <t>localization/selection/lobby_spenddiamonds.png</t>
  </si>
  <si>
    <t>localization/selection/game_quickrestart1.png</t>
  </si>
  <si>
    <t>localization/selection/character_cadence.png</t>
  </si>
  <si>
    <t>localization/selection/character_melody.png</t>
  </si>
  <si>
    <t>localization/selection/character_aria.png</t>
  </si>
  <si>
    <t>localization/selection/character_dorian.png</t>
  </si>
  <si>
    <t>localization/selection/character_eli.png</t>
  </si>
  <si>
    <t>localization/selection/character_ghost.png</t>
  </si>
  <si>
    <t>localization/selection/character_monk.png</t>
  </si>
  <si>
    <t>localization/selection/character_dove.png</t>
  </si>
  <si>
    <t>localization/selection/character_coda.png</t>
  </si>
  <si>
    <t>localization/selection/character_thief.png</t>
  </si>
  <si>
    <t>localization/selection/character_bolt.png</t>
  </si>
  <si>
    <t>localization/selection/character_bard.png</t>
  </si>
  <si>
    <t>localization/selection/character_mage.png</t>
  </si>
  <si>
    <t>localization/selection/game_quickrestart.png</t>
  </si>
  <si>
    <t>localization/selection/game_watchreplay.png</t>
  </si>
  <si>
    <t>localization/selection/game_scoreleaderboards.png</t>
  </si>
  <si>
    <t>localization/selection/game_speedleaderboards.png</t>
  </si>
  <si>
    <t>localization/selection/game_lobby.png</t>
  </si>
  <si>
    <t>localization/selection/game_returntoleveleditor.png</t>
  </si>
  <si>
    <t>localization/selection/lobby_yeshints.png</t>
  </si>
  <si>
    <t>localization/selection/lobby_nohints.png</t>
  </si>
  <si>
    <t>localization/selection/lobby_stayspenddiamonds.png</t>
  </si>
  <si>
    <t>localization/selection/lobby_leavelosediamonds.png</t>
  </si>
  <si>
    <t>localization/selection/options_done.png</t>
  </si>
  <si>
    <t>localization/selection/options_previous.png</t>
  </si>
  <si>
    <t>localization/selection/options_next.png</t>
  </si>
  <si>
    <t>localization/selection/options_yes.png</t>
  </si>
  <si>
    <t>localization/selection/options_no.png</t>
  </si>
  <si>
    <t>localization/selection/options_ok.png</t>
  </si>
  <si>
    <t>localization/selection/options_random.png</t>
  </si>
  <si>
    <t>localization/selection/options_cancel.png</t>
  </si>
  <si>
    <t>localization/selection/options_continue.png</t>
  </si>
  <si>
    <t>localization/selection/options_leaderboards.png</t>
  </si>
  <si>
    <t>localization/selection/options_replays.png</t>
  </si>
  <si>
    <t>localization/selection/options_options.png</t>
  </si>
  <si>
    <t>localization/selection/options_custommusic.png</t>
  </si>
  <si>
    <t>localization/selection/options_mods.png</t>
  </si>
  <si>
    <t>localization/selection/options_quickrestart.png</t>
  </si>
  <si>
    <t>localization/selection/options_quit_lobby.png</t>
  </si>
  <si>
    <t>localization/selection/options_quit_leveleditor.png</t>
  </si>
  <si>
    <t>localization/selection/options_exitgame.png</t>
  </si>
  <si>
    <t>localization/selection/options_soundvolume.png</t>
  </si>
  <si>
    <t>localization/selection/options_musicvolume.png</t>
  </si>
  <si>
    <t>localization/selection/options_prebosseffect.png</t>
  </si>
  <si>
    <t>localization/selection/options_moddefault.png</t>
  </si>
  <si>
    <t>localization/selection/options_modchoosepublish.png</t>
  </si>
  <si>
    <t>localization/selection/options_modchooseplay.png</t>
  </si>
  <si>
    <t>localization/selection/options_modplay.png</t>
  </si>
  <si>
    <t>localization/selection/options_modpublish.png</t>
  </si>
  <si>
    <t>localization/selection/options_moddeactivate.png</t>
  </si>
  <si>
    <t>localization/selection/options_assigningplayer.png</t>
  </si>
  <si>
    <t>localization/selection/options_defaultcontrols.png</t>
  </si>
  <si>
    <t>localization/selection/options_showdefaulthudtext.png</t>
  </si>
  <si>
    <t>localization/selection/options_ignoremultipress.png</t>
  </si>
  <si>
    <t>localization/selection/options_control_up.png</t>
  </si>
  <si>
    <t>localization/selection/options_control_right.png</t>
  </si>
  <si>
    <t>localization/selection/options_control_down.png</t>
  </si>
  <si>
    <t>localization/selection/options_control_left.png</t>
  </si>
  <si>
    <t>localization/selection/options_control_upalt.png</t>
  </si>
  <si>
    <t>localization/selection/options_control_rightalt.png</t>
  </si>
  <si>
    <t>localization/selection/options_control_downalt.png</t>
  </si>
  <si>
    <t>localization/selection/options_control_leftalt.png</t>
  </si>
  <si>
    <t>localization/selection/options_control_comboLR.png</t>
  </si>
  <si>
    <t>localization/selection/options_control_comboUD.png</t>
  </si>
  <si>
    <t>localization/selection/options_control_comboUL.png</t>
  </si>
  <si>
    <t>localization/selection/options_control_comboUR.png</t>
  </si>
  <si>
    <t>localization/selection/options_control_comboDL.png</t>
  </si>
  <si>
    <t>localization/selection/options_control_comboDR.png</t>
  </si>
  <si>
    <t>localization/selection/options_control_restart.png</t>
  </si>
  <si>
    <t>localization/selection/options_control_pause.png</t>
  </si>
  <si>
    <t>localization/selection/options_fullscreen.png</t>
  </si>
  <si>
    <t>localization/selection/options_vsync.png</t>
  </si>
  <si>
    <t>localization/selection/options_viewmultiplierdefault.png</t>
  </si>
  <si>
    <t>localization/selection/options_viewmultiplier.png</t>
  </si>
  <si>
    <t>localization/selection/options_hudheart.png</t>
  </si>
  <si>
    <t>localization/selection/options_hudbars.png</t>
  </si>
  <si>
    <t>localization/selection/options_screenshake.png</t>
  </si>
  <si>
    <t>localization/selection/options_timer.png</t>
  </si>
  <si>
    <t>localization/selection/options_discofloor.png</t>
  </si>
  <si>
    <t>localization/selection/options_deathreplay.png</t>
  </si>
  <si>
    <t>localization/selection/options_resolution.png</t>
  </si>
  <si>
    <t>localization/selection/options_gameplayoptions.png</t>
  </si>
  <si>
    <t>localization/selection/options_audiooptions.png</t>
  </si>
  <si>
    <t>localization/selection/options_graphicaloptions.png</t>
  </si>
  <si>
    <t>localization/selection/options_reassigncontrols.png</t>
  </si>
  <si>
    <t>localization/selection/options_latencycalibration.png</t>
  </si>
  <si>
    <t>localization/selection/options_changesoundtrack.png</t>
  </si>
  <si>
    <t>localization/selection/options_languageoptions.png</t>
  </si>
  <si>
    <t>localization/selection/options_replayszone1.png</t>
  </si>
  <si>
    <t>localization/selection/options_replayszone2.png</t>
  </si>
  <si>
    <t>localization/selection/options_replayszone3.png</t>
  </si>
  <si>
    <t>localization/selection/options_replayszone4.png</t>
  </si>
  <si>
    <t>localization/selection/options_replaysdancepad.png</t>
  </si>
  <si>
    <t>localization/selection/options_replaysallzones.png</t>
  </si>
  <si>
    <t>localization/selection/options_replaysseeded.png</t>
  </si>
  <si>
    <t>localization/selection/options_replaysdailytitle.png</t>
  </si>
  <si>
    <t>localization/selection/options_replay_jan.png</t>
  </si>
  <si>
    <t>localization/selection/options_replay_feb.png</t>
  </si>
  <si>
    <t>localization/selection/options_replay_mar.png</t>
  </si>
  <si>
    <t>localization/selection/options_replay_apr.png</t>
  </si>
  <si>
    <t>localization/selection/options_replay_may.png</t>
  </si>
  <si>
    <t>localization/selection/options_replay_jun.png</t>
  </si>
  <si>
    <t>localization/selection/options_replay_jul.png</t>
  </si>
  <si>
    <t>localization/selection/options_replay_aug.png</t>
  </si>
  <si>
    <t>localization/selection/options_replay_sep.png</t>
  </si>
  <si>
    <t>localization/selection/options_replay_oct.png</t>
  </si>
  <si>
    <t>localization/selection/options_replay_nov.png</t>
  </si>
  <si>
    <t>localization/selection/options_replay_dec.png</t>
  </si>
  <si>
    <t>localization/selection/options_replay_0.png</t>
  </si>
  <si>
    <t>localization/selection/options_replay_1.png</t>
  </si>
  <si>
    <t>localization/selection/options_replay_2.png</t>
  </si>
  <si>
    <t>localization/selection/options_replay_3.png</t>
  </si>
  <si>
    <t>localization/selection/options_replay_4.png</t>
  </si>
  <si>
    <t>localization/selection/options_replay_5.png</t>
  </si>
  <si>
    <t>localization/selection/options_replay_6.png</t>
  </si>
  <si>
    <t>localization/selection/options_replay_7.png</t>
  </si>
  <si>
    <t>localization/selection/options_replay_8.png</t>
  </si>
  <si>
    <t>localization/selection/options_replay_9.png</t>
  </si>
  <si>
    <t>localization/selection/options_replay_colon.png</t>
  </si>
  <si>
    <t>localization/selection/options_defaultplayer1.png</t>
  </si>
  <si>
    <t>localization/selection/options_defaultcharacter.png</t>
  </si>
  <si>
    <t>localization/selection/options_itemhints.png</t>
  </si>
  <si>
    <t>localization/selection/options_itemnames.png</t>
  </si>
  <si>
    <t>localization/selection/options_enemyhearts.png</t>
  </si>
  <si>
    <t>localization/selection/options_lobbymovement.png</t>
  </si>
  <si>
    <t>localization/selection/options_diamondreminder.png</t>
  </si>
  <si>
    <t>localization/selection/options_pauseminimized.png</t>
  </si>
  <si>
    <t>localization/selection/options_cutscenes.png</t>
  </si>
  <si>
    <t>localization/selection/options_bossintros.png</t>
  </si>
  <si>
    <t>localization/selection/options_deletesave.png</t>
  </si>
  <si>
    <t>localization/selection/options_subtitles.png</t>
  </si>
  <si>
    <t>localization/selection/options_language.png</t>
  </si>
  <si>
    <t>localization/selection/options_leaderboardsdaily.png</t>
  </si>
  <si>
    <t>localization/selection/options_leaderboardsscore.png</t>
  </si>
  <si>
    <t>localization/selection/options_leaderboardsspeed.png</t>
  </si>
  <si>
    <t>localization/selection/options_leaderboardsscoreseeded.png</t>
  </si>
  <si>
    <t>localization/selection/options_leaderboardsspeedseeded.png</t>
  </si>
  <si>
    <t>localization/selection/options_leaderboardsdeathless.png</t>
  </si>
  <si>
    <t>localization/selection/options_leaderboardsstory.png</t>
  </si>
  <si>
    <t>localization/selection/leaderboard_nextday.png</t>
  </si>
  <si>
    <t>localization/selection/leaderboard_previousday.png</t>
  </si>
  <si>
    <t>localization/selection/leaderboard_nextpage.png</t>
  </si>
  <si>
    <t>localization/selection/leaderboard_previouspage.png</t>
  </si>
  <si>
    <t>localization/selection/leaderboard_friendsonly.png</t>
  </si>
  <si>
    <t>localization/selection/leaderboard_no.png</t>
  </si>
  <si>
    <t>localization/selection/leaderboard_yes.png</t>
  </si>
  <si>
    <t>localization/selection/leaderboard_oldversion.png</t>
  </si>
  <si>
    <t>localization/selection/leaderboard_nopeeking.png</t>
  </si>
  <si>
    <t>localization/selection/leaderboard_watch.png</t>
  </si>
  <si>
    <t>localization/selection/leaderboard_donesmall.png</t>
  </si>
  <si>
    <t>localization/selection/custommusic_choose.png</t>
  </si>
  <si>
    <t>localization/selection/custommusic_restore.png</t>
  </si>
  <si>
    <t>localization/selection/custommusic_2xspeed.png</t>
  </si>
  <si>
    <t>localization/selection/custommusic_1-2xspeed.png</t>
  </si>
  <si>
    <t>localization/selection/custommusic_back.png</t>
  </si>
  <si>
    <t>localization/selection/custommusic_multiple.png</t>
  </si>
  <si>
    <t>localization/selection/custommusic_manualbeats.png</t>
  </si>
  <si>
    <t>localization/selection/custommusic_manualbeatslobby.png</t>
  </si>
  <si>
    <t>localization/selection/custommusic_disabled.png</t>
  </si>
  <si>
    <t>localization/selection/custommusic_enabled.png</t>
  </si>
  <si>
    <t>localization/selection/custommusic_level.png</t>
  </si>
  <si>
    <t>localization/selection/custommusic_kingconga.png</t>
  </si>
  <si>
    <t>localization/selection/custommusic_deepblues.png</t>
  </si>
  <si>
    <t>localization/selection/custommusic_deathmetal.png</t>
  </si>
  <si>
    <t>localization/selection/custommusic_coralriff.png</t>
  </si>
  <si>
    <t>localization/selection/custommusic_lobby.png</t>
  </si>
  <si>
    <t>localization/selection/custommusic_default.png</t>
  </si>
  <si>
    <t>localization/selection/custommusic_up.png</t>
  </si>
  <si>
    <t>localization/selection/custommusic_previous.png</t>
  </si>
  <si>
    <t>localization/selection/custommusic_next.png</t>
  </si>
  <si>
    <t>localization/selection/custommusic_add.png</t>
  </si>
  <si>
    <t>localization/selection/options_steamworkshop.png</t>
  </si>
  <si>
    <t>localization/selection/leveleditor_level.png</t>
  </si>
  <si>
    <t>localization/selection/leveleditor_name.png</t>
  </si>
  <si>
    <t>localization/selection/leveleditor_character.png</t>
  </si>
  <si>
    <t>localization/selection/leveleditor_any.png</t>
  </si>
  <si>
    <t>localization/selection/leveleditor_noitems.png</t>
  </si>
  <si>
    <t>localization/selection/leveleditor_currentlevel.png</t>
  </si>
  <si>
    <t>localization/selection/leveleditor_addlevel.png</t>
  </si>
  <si>
    <t>localization/selection/leveleditor_deletelevel.png</t>
  </si>
  <si>
    <t>localization/selection/leveleditor_levelgen.png</t>
  </si>
  <si>
    <t>localization/selection/leveleditor_generate.png</t>
  </si>
  <si>
    <t>localization/selection/leveleditor_music.png</t>
  </si>
  <si>
    <t>localization/selection/leveleditor_viewlevel.png</t>
  </si>
  <si>
    <t>localization/selection/leveleditor_testlevel.png</t>
  </si>
  <si>
    <t>localization/selection/leveleditor_playdungeon.png</t>
  </si>
  <si>
    <t>localization/selection/leveleditor_loaddungeon.png</t>
  </si>
  <si>
    <t>localization/selection/leveleditor_publishdungeon.png</t>
  </si>
  <si>
    <t>localization/selection/leveleditor_savedungeon.png</t>
  </si>
  <si>
    <t>localization/selection/leveleditor_saveandexit.png</t>
  </si>
  <si>
    <t>localization/selection/leveleditor_exit.png</t>
  </si>
  <si>
    <t>localization/selection/leveleditor_kingconga.png</t>
  </si>
  <si>
    <t>localization/selection/leveleditor_deathmetal.png</t>
  </si>
  <si>
    <t>localization/selection/leveleditor_deepblues.png</t>
  </si>
  <si>
    <t>localization/selection/leveleditor_coralriff.png</t>
  </si>
  <si>
    <t>localization/selection/leveleditor_placefloor.png</t>
  </si>
  <si>
    <t>localization/selection/leveleditor_placewall.png</t>
  </si>
  <si>
    <t>localization/selection/leveleditor_placeenemy.png</t>
  </si>
  <si>
    <t>localization/selection/leveleditor_placetrap.png</t>
  </si>
  <si>
    <t>localization/selection/leveleditor_placeshrine.png</t>
  </si>
  <si>
    <t>localization/selection/leveleditor_placeitem.png</t>
  </si>
  <si>
    <t>localization/selection/leveleditor_placechest.png</t>
  </si>
  <si>
    <t>localization/selection/leveleditor_placecontainer.png</t>
  </si>
  <si>
    <t>localization/selection/leveleditor_move.png</t>
  </si>
  <si>
    <t>localization/selection/leveleditor_erase.png</t>
  </si>
  <si>
    <t>localization/selection/leveleditor_tileset.png</t>
  </si>
  <si>
    <t>localization/selection/leveleditor_floor.png</t>
  </si>
  <si>
    <t>localization/selection/leveleditor_shopfloor.png</t>
  </si>
  <si>
    <t>localization/selection/leveleditor_water.png</t>
  </si>
  <si>
    <t>localization/selection/leveleditor_tar.png</t>
  </si>
  <si>
    <t>localization/selection/leveleditor_hotcoals.png</t>
  </si>
  <si>
    <t>localization/selection/leveleditor_ice.png</t>
  </si>
  <si>
    <t>localization/selection/leveleditor_ooze.png</t>
  </si>
  <si>
    <t>localization/selection/leveleditor_stairs.png</t>
  </si>
  <si>
    <t>localization/selection/leveleditor_dirtwall.png</t>
  </si>
  <si>
    <t>localization/selection/leveleditor_back.png</t>
  </si>
  <si>
    <t>localization/selection/leveleditor_stonewall.png</t>
  </si>
  <si>
    <t>localization/selection/leveleditor_catacombwall.png</t>
  </si>
  <si>
    <t>localization/selection/leveleditor_shopwall.png</t>
  </si>
  <si>
    <t>localization/selection/leveleditor_unbreakablewall.png</t>
  </si>
  <si>
    <t>localization/selection/leveleditor_door.png</t>
  </si>
  <si>
    <t>localization/selection/leveleditor_metaldoor.png</t>
  </si>
  <si>
    <t>localization/selection/leveleditor_lockeddoor.png</t>
  </si>
  <si>
    <t>localization/selection/leveleditor_zone1.png</t>
  </si>
  <si>
    <t>localization/selection/leveleditor_zone2.png</t>
  </si>
  <si>
    <t>localization/selection/leveleditor_zone3hot.png</t>
  </si>
  <si>
    <t>localization/selection/leveleditor_zone3cold.png</t>
  </si>
  <si>
    <t>localization/selection/leveleditor_zone4.png</t>
  </si>
  <si>
    <t>localization/selection/leveleditor_boss.png</t>
  </si>
  <si>
    <t>localization/selection/leveleditor_previous.png</t>
  </si>
  <si>
    <t>localization/selection/leveleditor_next.png</t>
  </si>
  <si>
    <t>localization/selection/leveleditor_bouncetrap.png</t>
  </si>
  <si>
    <t>localization/selection/leveleditor_spiketrap.png</t>
  </si>
  <si>
    <t>localization/selection/leveleditor_trapdoor.png</t>
  </si>
  <si>
    <t>localization/selection/leveleditor_confusetrap.png</t>
  </si>
  <si>
    <t>localization/selection/leveleditor_teleporttrap.png</t>
  </si>
  <si>
    <t>localization/selection/leveleditor_tempotrap.png</t>
  </si>
  <si>
    <t>localization/selection/leveleditor_bombtrap.png</t>
  </si>
  <si>
    <t>localization/selection/leveleditor_firetrap.png</t>
  </si>
  <si>
    <t>localization/selection/leveleditor_travelrune.png</t>
  </si>
  <si>
    <t>localization/selection/leveleditor_shrineblood.png</t>
  </si>
  <si>
    <t>localization/selection/leveleditor_shrinedarkness.png</t>
  </si>
  <si>
    <t>localization/selection/leveleditor_shrineglass.png</t>
  </si>
  <si>
    <t>localization/selection/leveleditor_shrinepeace.png</t>
  </si>
  <si>
    <t>localization/selection/leveleditor_shrinerhythm.png</t>
  </si>
  <si>
    <t>localization/selection/leveleditor_shrinerisk.png</t>
  </si>
  <si>
    <t>localization/selection/leveleditor_shrinesacrifice.png</t>
  </si>
  <si>
    <t>localization/selection/leveleditor_shrinespace.png</t>
  </si>
  <si>
    <t>localization/selection/leveleditor_shrinewar.png</t>
  </si>
  <si>
    <t>localization/selection/leveleditor_shrinenoreturn.png</t>
  </si>
  <si>
    <t>localization/selection/leveleditor_shrinephasing.png</t>
  </si>
  <si>
    <t>localization/selection/leveleditor_shrinepace.png</t>
  </si>
  <si>
    <t>localization/selection/leveleditor_shrinechance.png</t>
  </si>
  <si>
    <t>localization/selection/leveleditor_weapons.png</t>
  </si>
  <si>
    <t>localization/selection/leveleditor_armor.png</t>
  </si>
  <si>
    <t>localization/selection/leveleditor_footwear.png</t>
  </si>
  <si>
    <t>localization/selection/leveleditor_headgear.png</t>
  </si>
  <si>
    <t>localization/selection/leveleditor_rings.png</t>
  </si>
  <si>
    <t>localization/selection/leveleditor_scrolls.png</t>
  </si>
  <si>
    <t>localization/selection/leveleditor_otheritems.png</t>
  </si>
  <si>
    <t>localization/selection/options_button_default.png</t>
  </si>
  <si>
    <t>localization/selection/options_button_set.png</t>
  </si>
  <si>
    <t>localization/selection/options_button_none.png</t>
  </si>
  <si>
    <t>localization/selection/options_button_bksp.png</t>
  </si>
  <si>
    <t>localization/selection/options_button_tab.png</t>
  </si>
  <si>
    <t>localization/selection/options_button_shift.png</t>
  </si>
  <si>
    <t>localization/selection/options_button_ctrl.png</t>
  </si>
  <si>
    <t>localization/selection/options_button_caps.png</t>
  </si>
  <si>
    <t>localization/selection/options_button_esc.png</t>
  </si>
  <si>
    <t>localization/selection/options_button_space.png</t>
  </si>
  <si>
    <t>localization/selection/options_button_pgup.png</t>
  </si>
  <si>
    <t>localization/selection/options_button_pgdn.png</t>
  </si>
  <si>
    <t>localization/selection/options_button_end.png</t>
  </si>
  <si>
    <t>localization/selection/options_button_home.png</t>
  </si>
  <si>
    <t>localization/selection/options_button_left1.png</t>
  </si>
  <si>
    <t>localization/selection/options_button_up1.png</t>
  </si>
  <si>
    <t>localization/selection/options_button_right1.png</t>
  </si>
  <si>
    <t>localization/selection/options_button_down1.png</t>
  </si>
  <si>
    <t>localization/selection/options_button_ins.png</t>
  </si>
  <si>
    <t>localization/selection/options_button_del.png</t>
  </si>
  <si>
    <t>localization/selection/options_button_np0.png</t>
  </si>
  <si>
    <t>localization/selection/options_button_np1.png</t>
  </si>
  <si>
    <t>localization/selection/options_button_np2.png</t>
  </si>
  <si>
    <t>localization/selection/options_button_np3.png</t>
  </si>
  <si>
    <t>localization/selection/options_button_np4.png</t>
  </si>
  <si>
    <t>localization/selection/options_button_np5.png</t>
  </si>
  <si>
    <t>localization/selection/options_button_np6.png</t>
  </si>
  <si>
    <t>localization/selection/options_button_np7.png</t>
  </si>
  <si>
    <t>localization/selection/options_button_np8.png</t>
  </si>
  <si>
    <t>localization/selection/options_button_np9.png</t>
  </si>
  <si>
    <t>localization/selection/options_button_nptms.png</t>
  </si>
  <si>
    <t>localization/selection/options_button_npplus.png</t>
  </si>
  <si>
    <t>localization/selection/options_button_npslash.png</t>
  </si>
  <si>
    <t>localization/selection/options_button_npminus.png</t>
  </si>
  <si>
    <t>localization/selection/options_button_npperiod.png</t>
  </si>
  <si>
    <t>localization/selection/options_button_npdiv.png</t>
  </si>
  <si>
    <t>localization/selection/options_button_f1.png</t>
  </si>
  <si>
    <t>localization/selection/options_button_f2.png</t>
  </si>
  <si>
    <t>localization/selection/options_button_f3.png</t>
  </si>
  <si>
    <t>localization/selection/options_button_f4.png</t>
  </si>
  <si>
    <t>localization/selection/options_button_f5.png</t>
  </si>
  <si>
    <t>localization/selection/options_button_f6.png</t>
  </si>
  <si>
    <t>localization/selection/options_button_f7.png</t>
  </si>
  <si>
    <t>localization/selection/options_button_f8.png</t>
  </si>
  <si>
    <t>localization/selection/options_button_f9.png</t>
  </si>
  <si>
    <t>localization/selection/options_button_f10.png</t>
  </si>
  <si>
    <t>localization/selection/options_button_f11.png</t>
  </si>
  <si>
    <t>localization/selection/options_button_f12.png</t>
  </si>
  <si>
    <t>localization/selection/options_button_tilde.png</t>
  </si>
  <si>
    <t>localization/selection/options_button_lbrace.png</t>
  </si>
  <si>
    <t>localization/selection/options_button_bkslsh.png</t>
  </si>
  <si>
    <t>localization/selection/options_button_rbrace.png</t>
  </si>
  <si>
    <t>localization/selection/options_button_stick.png</t>
  </si>
  <si>
    <t>localization/selection/options_button_rstick.png</t>
  </si>
  <si>
    <t>localization/selection/options_button_dpad.png</t>
  </si>
  <si>
    <t>localization/selection/options_button_down2.png</t>
  </si>
  <si>
    <t>localization/selection/options_button_up2.png</t>
  </si>
  <si>
    <t>localization/selection/options_button_left2.png</t>
  </si>
  <si>
    <t>localization/selection/options_button_right2.png</t>
  </si>
  <si>
    <t>localization/selection/options_button_stickdown.png</t>
  </si>
  <si>
    <t>localization/selection/options_button_stickup.png</t>
  </si>
  <si>
    <t>localization/selection/options_button_stickleft.png</t>
  </si>
  <si>
    <t>localization/selection/options_button_stickright.png</t>
  </si>
  <si>
    <t>localization/selection/options_button_rstickdown.png</t>
  </si>
  <si>
    <t>localization/selection/options_button_rstickup.png</t>
  </si>
  <si>
    <t>localization/selection/options_button_rstickleft.png</t>
  </si>
  <si>
    <t>localization/selection/options_button_rstickright.png</t>
  </si>
  <si>
    <t>localization/selection/options_button_dpaddown.png</t>
  </si>
  <si>
    <t>localization/selection/options_button_dpadup.png</t>
  </si>
  <si>
    <t>localization/selection/options_button_dpadleft.png</t>
  </si>
  <si>
    <t>localization/selection/options_button_dpadright.png</t>
  </si>
  <si>
    <t>localization/selection/options_button_abtn.png</t>
  </si>
  <si>
    <t>localization/selection/options_button_ybtn.png</t>
  </si>
  <si>
    <t>localization/selection/options_button_xbtn.png</t>
  </si>
  <si>
    <t>localization/selection/options_button_bbtn.png</t>
  </si>
  <si>
    <t>localization/selection/options_button_start1.png</t>
  </si>
  <si>
    <t>localization/selection/options_button_back.png</t>
  </si>
  <si>
    <t>localization/selection/options_button_lb.png</t>
  </si>
  <si>
    <t>localization/selection/options_button_rb.png</t>
  </si>
  <si>
    <t>localization/selection/options_button_lt.png</t>
  </si>
  <si>
    <t>localization/selection/options_button_rt.png</t>
  </si>
  <si>
    <t>localization/selection/options_button_l3.png</t>
  </si>
  <si>
    <t>localization/selection/options_button_r3.png</t>
  </si>
  <si>
    <t>localization/selection/options_button_x.png</t>
  </si>
  <si>
    <t>localization/selection/options_button_triangle.png</t>
  </si>
  <si>
    <t>localization/selection/options_button_square.png</t>
  </si>
  <si>
    <t>localization/selection/options_button_circle.png</t>
  </si>
  <si>
    <t>localization/selection/options_button_start2.png</t>
  </si>
  <si>
    <t>localization/selection/options_button_select.png</t>
  </si>
  <si>
    <t>localization/selection/options_button_l1.png</t>
  </si>
  <si>
    <t>localization/selection/options_button_r1.png</t>
  </si>
  <si>
    <t>localization/selection/options_button_l2.png</t>
  </si>
  <si>
    <t>localization/selection/options_button_r2.png</t>
  </si>
  <si>
    <t>localization/selection/options_button_joy1button.png</t>
  </si>
  <si>
    <t>localization/selection/options_button_joy2button.png</t>
  </si>
  <si>
    <t>localization/selection/options_button_joy3button.png</t>
  </si>
  <si>
    <t>localization/selection/options_button_joy4button.png</t>
  </si>
  <si>
    <t>localization/selection/options_button_key.png</t>
  </si>
  <si>
    <t>localization/selection/options_button_comboupdown.png</t>
  </si>
  <si>
    <t>localization/selection/options_button_comboleft1.png</t>
  </si>
  <si>
    <t>localization/selection/options_button_comboright.png</t>
  </si>
  <si>
    <t>localization/selection/options_button_comboup.png</t>
  </si>
  <si>
    <t>localization/selection/options_button_combodown1.png</t>
  </si>
  <si>
    <t>localization/selection/options_button_comboleft2.png</t>
  </si>
  <si>
    <t>localization/selection/options_button_combodown2.png</t>
  </si>
  <si>
    <t>localization/selection/game_questionmark.png</t>
  </si>
  <si>
    <t>↑ + ↓</t>
  </si>
  <si>
    <t>localization/options_button_comboupdown.png</t>
    <phoneticPr fontId="1" type="noConversion"/>
  </si>
  <si>
    <t>区域1完成：解锁区域2</t>
  </si>
  <si>
    <t>区域2完成：解锁区域3</t>
  </si>
  <si>
    <t>区域3完成：解锁区域3</t>
  </si>
  <si>
    <t>区域4完成：解锁区域3</t>
  </si>
  <si>
    <t>区域3完成：解锁区域2</t>
  </si>
  <si>
    <t>区域2完成：解锁区域1</t>
  </si>
  <si>
    <t>缩小</t>
  </si>
  <si>
    <t>+2 挖掘等级，被攻击破碎</t>
  </si>
  <si>
    <t>可以看到所有敌人和物品，被攻击破碎</t>
  </si>
  <si>
    <t>攻击墙壁上的火把时释放火球术</t>
  </si>
  <si>
    <t>+4 伤害，被攻击破碎</t>
  </si>
  <si>
    <t>我回来摧毁这把鲁特琴。为了寻找答案我复活了NecroDancer，但他背叛了我。</t>
  </si>
  <si>
    <t>你抛下我们，一去不复返！</t>
  </si>
  <si>
    <t>我做了我认为正确的事，却没有成功。</t>
  </si>
  <si>
    <t>我一直怨恨着你，但现在我明白了。这个东西必须被毁掉。</t>
  </si>
  <si>
    <t>是的，并且只有我知道应该怎么做。</t>
  </si>
  <si>
    <t>NecroDancer背叛我之前告诉我了圣陵的位置。</t>
  </si>
  <si>
    <t>他只是为了给自己争取更多时间。让我来结束这一切吧。</t>
  </si>
  <si>
    <t>Octavian曾经是一名吟游诗人，他努力想获得别人关注。</t>
  </si>
  <si>
    <t>在他的旅途中，他偶然发现了能够解决他这个问题的办法</t>
  </si>
  <si>
    <t>几个世纪前，Octavian逃到了这个地下城并组建了一支不死大军。</t>
  </si>
  <si>
    <t>但我第一次找到这里时，这里一只怪物也没有。</t>
  </si>
  <si>
    <t>经历了数百年无休止的演奏，吟游诗人早已厌倦了这一切。</t>
  </si>
  <si>
    <t>他停止了弹琴，然后死掉了。鲁特琴也不知所踪。</t>
  </si>
  <si>
    <t>当我回来的时候，我唤醒了他。</t>
  </si>
  <si>
    <t>你说得对。我愿意牺牲自己摧毁它。</t>
  </si>
  <si>
    <t>这件事我不能相信任何人。</t>
  </si>
  <si>
    <t>我已经被诅咒了。让我…弥补我犯下的错误吧。</t>
  </si>
  <si>
    <t>我真是太愚蠢了。</t>
  </si>
  <si>
    <t>最后我终于得以赎罪了…</t>
  </si>
  <si>
    <t>一切都结束了，我的女儿。但对于你和你的家人而言，并不是现在。</t>
  </si>
  <si>
    <t>为什么"金鲁特琴"对你这么重要？</t>
  </si>
  <si>
    <t>这就是你一直以来需找的金鲁特琴…但为什么？</t>
  </si>
  <si>
    <t>你马上就会知道的。</t>
  </si>
  <si>
    <t>他们用金鲁特琴的力量救活了我。</t>
  </si>
  <si>
    <t>但我们很快就发现，鲁特琴的力量也不是万能的。</t>
  </si>
  <si>
    <t>为了活下来，我必须不停的弹奏它。</t>
  </si>
  <si>
    <t>但随着我们的弹奏，它会不断剥夺我们的人性。</t>
  </si>
  <si>
    <t>但我知道关于这个地下城的一些他们父女俩不知道的事。所以现在我需要前去寻找答案。</t>
  </si>
  <si>
    <t>当我还是个孩子的时候，同样的瘟疫曾席卷了整个村子。</t>
  </si>
  <si>
    <t>Dorian知道这些事情。</t>
  </si>
  <si>
    <t>只要找到了金鲁特琴，我就能拯救你！</t>
  </si>
  <si>
    <t>我能看出他绝望的眼神中隐藏着贪婪，就像以前一样…</t>
  </si>
  <si>
    <t>我的母亲带着琴离开了我们并让我们摆脱了这件事，就像她离开我们去找寻找鲁特琴一样。</t>
  </si>
  <si>
    <t>而现在我已经继承了她身上的担子，但如果我把这个担子交给我的女儿，我将会背负着深深的罪恶感。</t>
  </si>
  <si>
    <t>瘟疫在我小的时候就在村子里蔓延了。母亲能治愈那些因瘟疫将死之人。</t>
  </si>
  <si>
    <t>但他们转过头来对付她。他们想夺取琴的力量。</t>
  </si>
  <si>
    <t>这不是琴被诅咒了，而是我们。</t>
  </si>
  <si>
    <t>你就是Octavian对吗？在很久以前寻求着不朽的吟游诗人。</t>
  </si>
  <si>
    <t>是我，但你是谁…如果小偷不是你的名字</t>
  </si>
  <si>
    <t>我叫Melody，和曾经的你一样，一个吟游诗人。我在试图毁掉这把该死的琴。</t>
  </si>
  <si>
    <t>你想毁掉它？！琴是我的！</t>
  </si>
  <si>
    <t>但是现在琴在我手上，Octavian，如果我停下演奏，我俩都会死掉。</t>
  </si>
  <si>
    <t>告诉我你知道的一切！</t>
  </si>
  <si>
    <t>绝…不！</t>
  </si>
  <si>
    <t>不！离我远点！！</t>
  </si>
  <si>
    <t>怎么回事？！</t>
  </si>
  <si>
    <t>母亲…是你吗？！</t>
  </si>
  <si>
    <t>诅咒你！</t>
  </si>
  <si>
    <t>把琴给我！</t>
  </si>
  <si>
    <t>它是我的！</t>
  </si>
  <si>
    <t>再来！再来，我的宠物…我我觉得这非常有趣。</t>
  </si>
  <si>
    <t>再来！我觉得这非常有趣。</t>
  </si>
  <si>
    <t>他说每一个敌人的行为都有可预测的模式，熟知这种模式可以避免遭受攻击</t>
  </si>
  <si>
    <t>那个绿色的家伙根本不会动，蓝色的家伙只会上下跳动。如果我从侧面攻击，他们根本伤不到我。</t>
  </si>
  <si>
    <t>一把阔剑！虽然不如我以前用的锋利，但我打赌它仍然能一次带走3个敌人。</t>
  </si>
  <si>
    <t>看起来那些骷髅在移动前会把手举起来，如果被他们撞上我会受到伤害。</t>
  </si>
  <si>
    <t>这个陷阱基本上是无害的，但是Eli叔叔警告我终将会有更致命的陷阱。</t>
  </si>
  <si>
    <t>Octavian，我知道你是谁。我们得摧毁这把鲁特琴，它不是凡人所能驾驭的！</t>
  </si>
  <si>
    <t>如果我想在这里生存下来，我必须记住Eli叔叔教我的东西</t>
  </si>
  <si>
    <t>购买下次冒险中的初始装备</t>
  </si>
  <si>
    <t>+1 伤害，击杀时冲锋</t>
  </si>
  <si>
    <t>善用周围的墙壁</t>
  </si>
  <si>
    <t>去找金钥匙！</t>
  </si>
  <si>
    <t>+2防御，沉重</t>
  </si>
  <si>
    <t>移动时对前方造成伤害</t>
  </si>
  <si>
    <t>吸收周围的敌人回血</t>
  </si>
  <si>
    <t>一定时间内无视节拍</t>
  </si>
  <si>
    <t>+1 伤害，看不清敌人</t>
  </si>
  <si>
    <t>无限背包</t>
  </si>
  <si>
    <t>代金卷</t>
  </si>
  <si>
    <t>过量治疗转化为心之容器</t>
  </si>
  <si>
    <t>不会出现鬼魂</t>
  </si>
  <si>
    <t>全属性+1</t>
  </si>
  <si>
    <t>可以挖掘任何墙壁，挖掘时受到伤害</t>
  </si>
  <si>
    <t>懦弱</t>
  </si>
  <si>
    <t>地下城名称：</t>
  </si>
  <si>
    <t>角色：</t>
  </si>
  <si>
    <t>全部</t>
  </si>
  <si>
    <t xml:space="preserve"> - 无物品</t>
  </si>
  <si>
    <t>当前关卡：</t>
  </si>
  <si>
    <t>随机生成素材：</t>
  </si>
  <si>
    <t>音乐：</t>
  </si>
  <si>
    <t>当前玩家：</t>
  </si>
  <si>
    <t>恢复默认按键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</si>
</sst>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66F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4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6" borderId="0" xfId="0" quotePrefix="1" applyNumberFormat="1" applyFill="1">
      <alignment vertical="center"/>
    </xf>
    <xf numFmtId="0" fontId="0" fillId="7" borderId="0" xfId="0" applyNumberFormat="1" applyFill="1">
      <alignment vertical="center"/>
    </xf>
    <xf numFmtId="0" fontId="0" fillId="8" borderId="0" xfId="0" applyNumberFormat="1" applyFill="1">
      <alignment vertical="center"/>
    </xf>
    <xf numFmtId="49" fontId="0" fillId="9" borderId="0" xfId="0" applyNumberFormat="1" applyFill="1">
      <alignment vertical="center"/>
    </xf>
    <xf numFmtId="0" fontId="0" fillId="0" borderId="0" xfId="0" applyNumberFormat="1" applyFill="1">
      <alignment vertical="center"/>
    </xf>
    <xf numFmtId="0" fontId="0" fillId="9" borderId="0" xfId="0" applyFill="1">
      <alignment vertical="center"/>
    </xf>
    <xf numFmtId="0" fontId="2" fillId="0" borderId="0" xfId="0" applyFont="1">
      <alignment vertical="center"/>
    </xf>
    <xf numFmtId="49" fontId="0" fillId="0" borderId="0" xfId="0" quotePrefix="1" applyNumberFormat="1">
      <alignment vertical="center"/>
    </xf>
  </cellXfs>
  <cellStyles count="1">
    <cellStyle name="常规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0</xdr:rowOff>
        </xdr:from>
        <xdr:to>
          <xdr:col>6</xdr:col>
          <xdr:colOff>1323975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开始导出SVG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1371600</xdr:colOff>
          <xdr:row>0</xdr:row>
          <xdr:rowOff>0</xdr:rowOff>
        </xdr:from>
        <xdr:to>
          <xdr:col>6</xdr:col>
          <xdr:colOff>2495550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2552700</xdr:colOff>
          <xdr:row>0</xdr:row>
          <xdr:rowOff>0</xdr:rowOff>
        </xdr:from>
        <xdr:to>
          <xdr:col>6</xdr:col>
          <xdr:colOff>3448050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文件检查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文本翻译对照表" refreshOnLoad="1" fillFormulas="1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719" tableType="xml" totalsRowShown="0" connectionId="1">
  <autoFilter ref="A1:P1719"/>
  <tableColumns count="16">
    <tableColumn id="1" uniqueName="id" name="id">
      <xmlColumnPr mapId="1" xpath="/strings/string/@id" xmlDataType="integer"/>
    </tableColumn>
    <tableColumn id="2" uniqueName="xOff" name="xOff" dataDxfId="10">
      <calculatedColumnFormula>IF(表1[[#This Row],[不调整offset]]="x",IFERROR(VLOOKUP(表1[[#This Row],[8:image]],常量!J:N,4,FALSE),0),0)</calculatedColumnFormula>
      <xmlColumnPr mapId="1" xpath="/strings/string/@xOff" xmlDataType="integer"/>
    </tableColumn>
    <tableColumn id="3" uniqueName="yOff" name="yOff" dataDxfId="9">
      <calculatedColumnFormula>IF(表1[[#This Row],[不调整offset]]="x",IFERROR(VLOOKUP(表1[[#This Row],[8:image]],常量!J:N,5,FALSE),0),0)</calculatedColumnFormula>
      <xmlColumnPr mapId="1" xpath="/strings/string/@yOff" xmlDataType="integer"/>
    </tableColumn>
    <tableColumn id="4" uniqueName="overallYOff" name="overallYOff" dataDxfId="8">
      <xmlColumnPr mapId="1" xpath="/strings/string/@overallYOff" xmlDataType="integer"/>
    </tableColumn>
    <tableColumn id="5" uniqueName="scale" name="scale" dataDxfId="7"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6">
      <xmlColumnPr mapId="1" xpath="/strings/string/@english" xmlDataType="string"/>
    </tableColumn>
    <tableColumn id="8" uniqueName="image" name="8:image" dataDxfId="5">
      <calculatedColumnFormula>"localization/"&amp;表1[[#This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4">
      <xmlColumnPr mapId="1" xpath="/strings/string/@selectedImage" xmlDataType="string"/>
    </tableColumn>
    <tableColumn id="11" uniqueName="11" name="10:翻译结果" dataDxfId="3">
      <calculatedColumnFormula>IF(LEN(VLOOKUP(表1[[#This Row],[id]],数据引用!A:C,3,FALSE))&gt;0,VLOOKUP(表1[[#This Row],[id]],数据引用!A:C,3,FALSE),"")</calculatedColumnFormula>
    </tableColumn>
    <tableColumn id="13" uniqueName="13" name="数据类型"/>
    <tableColumn id="12" uniqueName="12" name="原始排序"/>
    <tableColumn id="14" uniqueName="14" name="13:带公式SVG代码" dataDxfId="2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1"/>
    <tableColumn id="16" uniqueName="16" name="不调整offset"/>
    <tableColumn id="17" uniqueName="17" name="16:按钮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19"/>
  <sheetViews>
    <sheetView tabSelected="1" workbookViewId="0">
      <pane ySplit="1" topLeftCell="A966" activePane="bottomLeft" state="frozen"/>
      <selection pane="bottomLeft" activeCell="E985" sqref="E985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style="10" customWidth="1"/>
    <col min="8" max="8" width="19.125" customWidth="1"/>
    <col min="9" max="9" width="16" customWidth="1"/>
    <col min="10" max="10" width="58.625" customWidth="1"/>
    <col min="11" max="11" width="30.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1218</v>
      </c>
      <c r="I1" t="s">
        <v>1285</v>
      </c>
      <c r="J1" s="3" t="s">
        <v>1217</v>
      </c>
      <c r="K1" s="3" t="s">
        <v>8</v>
      </c>
      <c r="L1" s="6" t="s">
        <v>1216</v>
      </c>
      <c r="M1" s="4" t="s">
        <v>1283</v>
      </c>
      <c r="N1" s="4" t="s">
        <v>1222</v>
      </c>
      <c r="O1" s="4" t="s">
        <v>1223</v>
      </c>
      <c r="P1" s="4" t="s">
        <v>1284</v>
      </c>
    </row>
    <row r="2" spans="1:16" ht="14.25" customHeight="1">
      <c r="A2">
        <v>1</v>
      </c>
      <c r="B2">
        <v>0</v>
      </c>
      <c r="C2">
        <v>0</v>
      </c>
      <c r="E2" t="s">
        <v>2570</v>
      </c>
      <c r="F2">
        <v>6</v>
      </c>
      <c r="G2" s="8" t="s">
        <v>9</v>
      </c>
      <c r="H2" s="15" t="s">
        <v>2634</v>
      </c>
      <c r="I2" s="18"/>
      <c r="J2" t="str">
        <f>IF(LEN(VLOOKUP(表1[[#This Row],[id]],数据引用!A:C,3,FALSE))&gt;0,VLOOKUP(表1[[#This Row],[id]],数据引用!A:C,3,FALSE),"")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" t="s">
        <v>1400</v>
      </c>
      <c r="P2" s="5"/>
    </row>
    <row r="3" spans="1:16" ht="14.25" customHeight="1">
      <c r="A3">
        <v>2</v>
      </c>
      <c r="B3">
        <v>0</v>
      </c>
      <c r="C3">
        <v>0</v>
      </c>
      <c r="E3" t="s">
        <v>2570</v>
      </c>
      <c r="F3">
        <v>6</v>
      </c>
      <c r="G3" s="1" t="s">
        <v>10</v>
      </c>
      <c r="H3" s="16" t="s">
        <v>2635</v>
      </c>
      <c r="I3" s="18"/>
      <c r="J3" t="str">
        <f>IF(LEN(VLOOKUP(表1[[#This Row],[id]],数据引用!A:C,3,FALSE))&gt;0,VLOOKUP(表1[[#This Row],[id]],数据引用!A:C,3,FALSE),"")</f>
        <v>金币倍率重置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font-size:12;"&gt;金币倍率重置&lt;/text&gt;&lt;text transform="matrix(1 0 0 1 0 10.3205)" style="fill:#FFFFFF; font-family:'FZXS12--GB1-0'; font-size:12;"&gt;金币倍率重置&lt;/text&gt;&lt;/svg&gt;</v>
      </c>
      <c r="P3" s="5"/>
    </row>
    <row r="4" spans="1:16" ht="14.25" customHeight="1">
      <c r="A4">
        <v>3</v>
      </c>
      <c r="B4">
        <v>0</v>
      </c>
      <c r="C4">
        <v>-3</v>
      </c>
      <c r="E4" t="s">
        <v>2570</v>
      </c>
      <c r="F4">
        <v>6</v>
      </c>
      <c r="G4" s="1" t="s">
        <v>11</v>
      </c>
      <c r="H4" s="16" t="s">
        <v>2636</v>
      </c>
      <c r="I4" s="18"/>
      <c r="J4" t="str">
        <f>IF(LEN(VLOOKUP(表1[[#This Row],[id]],数据引用!A:C,3,FALSE))&gt;0,VLOOKUP(表1[[#This Row],[id]],数据引用!A:C,3,FALSE),"")</f>
        <v>载入中…</v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4" s="5"/>
    </row>
    <row r="5" spans="1:16" ht="14.25" customHeight="1">
      <c r="A5">
        <v>4</v>
      </c>
      <c r="B5">
        <v>0</v>
      </c>
      <c r="C5">
        <v>0</v>
      </c>
      <c r="E5">
        <v>1</v>
      </c>
      <c r="F5">
        <v>12</v>
      </c>
      <c r="G5" s="1" t="s">
        <v>12</v>
      </c>
      <c r="H5" s="16" t="s">
        <v>2637</v>
      </c>
      <c r="I5" s="18"/>
      <c r="J5" t="str">
        <f>IF(LEN(VLOOKUP(表1[[#This Row],[id]],数据引用!A:C,3,FALSE))&gt;0,VLOOKUP(表1[[#This Row],[id]],数据引用!A:C,3,FALSE),"")</f>
        <v>本地存档与STEAM CLOUD存档不一致</v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font-size:12;"&gt;本地存档与STEAM CLOUD存档不一致&lt;/text&gt;&lt;text transform="matrix(1 0 0 1 0 10.3205)" style="fill:#FFFFFF; font-family:'FZXS12--GB1-0'; font-size:12;"&gt;本地存档与STEAM CLOUD存档不一致&lt;/text&gt;&lt;/svg&gt;</v>
      </c>
      <c r="P5" s="5"/>
    </row>
    <row r="6" spans="1:16" ht="14.25" customHeight="1">
      <c r="A6">
        <v>5</v>
      </c>
      <c r="B6">
        <v>0</v>
      </c>
      <c r="C6">
        <v>0</v>
      </c>
      <c r="E6">
        <v>1</v>
      </c>
      <c r="F6">
        <v>12</v>
      </c>
      <c r="G6" s="13" t="s">
        <v>13</v>
      </c>
      <c r="H6" s="15" t="s">
        <v>2638</v>
      </c>
      <c r="I6" s="18"/>
      <c r="J6" t="str">
        <f>IF(LEN(VLOOKUP(表1[[#This Row],[id]],数据引用!A:C,3,FALSE))&gt;0,VLOOKUP(表1[[#This Row],[id]],数据引用!A:C,3,FALSE),"")</f>
        <v>NULL</v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" s="5"/>
    </row>
    <row r="7" spans="1:16" ht="14.25" customHeight="1">
      <c r="A7">
        <v>6</v>
      </c>
      <c r="B7">
        <v>0</v>
      </c>
      <c r="C7">
        <v>0</v>
      </c>
      <c r="E7">
        <v>1</v>
      </c>
      <c r="F7">
        <v>12</v>
      </c>
      <c r="G7" s="1" t="s">
        <v>14</v>
      </c>
      <c r="H7" s="16" t="s">
        <v>2639</v>
      </c>
      <c r="I7" s="18"/>
      <c r="J7" t="str">
        <f>IF(LEN(VLOOKUP(表1[[#This Row],[id]],数据引用!A:C,3,FALSE))&gt;0,VLOOKUP(表1[[#This Row],[id]],数据引用!A:C,3,FALSE),"")</f>
        <v>你想要保留哪个存档？</v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font-size:12;"&gt;你想要保留哪个存档？&lt;/text&gt;&lt;text transform="matrix(1 0 0 1 0 10.3205)" style="fill:#FFFFFF; font-family:'FZXS12--GB1-0'; font-size:12;"&gt;你想要保留哪个存档？&lt;/text&gt;&lt;/svg&gt;</v>
      </c>
      <c r="P7" s="5"/>
    </row>
    <row r="8" spans="1:16" ht="14.25" customHeight="1">
      <c r="A8">
        <v>7</v>
      </c>
      <c r="B8">
        <v>0</v>
      </c>
      <c r="C8">
        <v>0</v>
      </c>
      <c r="E8">
        <v>1</v>
      </c>
      <c r="F8">
        <v>12</v>
      </c>
      <c r="G8" s="1" t="s">
        <v>15</v>
      </c>
      <c r="H8" s="16" t="s">
        <v>2640</v>
      </c>
      <c r="I8" s="16" t="s">
        <v>4268</v>
      </c>
      <c r="J8" t="str">
        <f>IF(LEN(VLOOKUP(表1[[#This Row],[id]],数据引用!A:C,3,FALSE))&gt;0,VLOOKUP(表1[[#This Row],[id]],数据引用!A:C,3,FALSE),"")</f>
        <v>使用云端存档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font-size:12;"&gt;使用云端存档&lt;/text&gt;&lt;text transform="matrix(1 0 0 1 0 10.3205)" style="fill:#FFFFFF; font-family:'FZXS12--GB1-0'; font-size:12;"&gt;使用云端存档&lt;/text&gt;&lt;/svg&gt;</v>
      </c>
      <c r="P8" s="5" t="s">
        <v>1282</v>
      </c>
    </row>
    <row r="9" spans="1:16" ht="14.25" customHeight="1">
      <c r="A9">
        <v>8</v>
      </c>
      <c r="B9">
        <v>0</v>
      </c>
      <c r="C9">
        <v>0</v>
      </c>
      <c r="E9">
        <v>1</v>
      </c>
      <c r="F9">
        <v>12</v>
      </c>
      <c r="G9" s="1" t="s">
        <v>16</v>
      </c>
      <c r="H9" s="16" t="s">
        <v>2641</v>
      </c>
      <c r="I9" s="16" t="s">
        <v>4269</v>
      </c>
      <c r="J9" t="str">
        <f>IF(LEN(VLOOKUP(表1[[#This Row],[id]],数据引用!A:C,3,FALSE))&gt;0,VLOOKUP(表1[[#This Row],[id]],数据引用!A:C,3,FALSE),"")</f>
        <v>使用本地存档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font-size:12;"&gt;使用本地存档&lt;/text&gt;&lt;text transform="matrix(1 0 0 1 0 10.3205)" style="fill:#FFFFFF; font-family:'FZXS12--GB1-0'; font-size:12;"&gt;使用本地存档&lt;/text&gt;&lt;/svg&gt;</v>
      </c>
      <c r="P9" s="5" t="s">
        <v>1282</v>
      </c>
    </row>
    <row r="10" spans="1:16" ht="14.25" customHeight="1">
      <c r="A10">
        <v>9</v>
      </c>
      <c r="B10">
        <v>0</v>
      </c>
      <c r="C10">
        <v>0</v>
      </c>
      <c r="E10" t="s">
        <v>2570</v>
      </c>
      <c r="F10">
        <v>6</v>
      </c>
      <c r="G10" s="1" t="s">
        <v>17</v>
      </c>
      <c r="H10" s="15" t="s">
        <v>2642</v>
      </c>
      <c r="I10" s="18"/>
      <c r="J10" t="str">
        <f>IF(LEN(VLOOKUP(表1[[#This Row],[id]],数据引用!A:C,3,FALSE))&gt;0,VLOOKUP(表1[[#This Row],[id]],数据引用!A:C,3,FALSE),"")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" t="s">
        <v>1400</v>
      </c>
      <c r="P10" s="5"/>
    </row>
    <row r="11" spans="1:16" ht="14.25" customHeight="1">
      <c r="A11">
        <v>10</v>
      </c>
      <c r="B11">
        <v>0</v>
      </c>
      <c r="C11">
        <v>0</v>
      </c>
      <c r="E11">
        <v>1</v>
      </c>
      <c r="F11">
        <v>12</v>
      </c>
      <c r="G11" s="1" t="s">
        <v>18</v>
      </c>
      <c r="H11" s="16" t="s">
        <v>2643</v>
      </c>
      <c r="I11" s="18"/>
      <c r="J11" t="str">
        <f>IF(LEN(VLOOKUP(表1[[#This Row],[id]],数据引用!A:C,3,FALSE))&gt;0,VLOOKUP(表1[[#This Row],[id]],数据引用!A:C,3,FALSE),"")</f>
        <v>你想要在大厅中开启</v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font-size:12;"&gt;你想要在大厅中开启&lt;/text&gt;&lt;text transform="matrix(1 0 0 1 0 10.3205)" style="fill:#FFFFFF; font-family:'FZXS12--GB1-0'; font-size:12;"&gt;你想要在大厅中开启&lt;/text&gt;&lt;/svg&gt;</v>
      </c>
      <c r="P11" s="5"/>
    </row>
    <row r="12" spans="1:16" ht="14.25" customHeight="1">
      <c r="A12">
        <v>11</v>
      </c>
      <c r="B12">
        <v>0</v>
      </c>
      <c r="C12">
        <v>0</v>
      </c>
      <c r="E12">
        <v>1</v>
      </c>
      <c r="F12">
        <v>12</v>
      </c>
      <c r="G12" s="1" t="s">
        <v>19</v>
      </c>
      <c r="H12" s="16" t="s">
        <v>2644</v>
      </c>
      <c r="I12" s="18"/>
      <c r="J12" t="str">
        <f>IF(LEN(VLOOKUP(表1[[#This Row],[id]],数据引用!A:C,3,FALSE))&gt;0,VLOOKUP(表1[[#This Row],[id]],数据引用!A:C,3,FALSE),"")</f>
        <v>快速移动吗？</v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font-size:12;"&gt;快速移动吗？&lt;/text&gt;&lt;text transform="matrix(1 0 0 1 0 10.3205)" style="fill:#FFFFFF; font-family:'FZXS12--GB1-0'; font-size:12;"&gt;快速移动吗？&lt;/text&gt;&lt;/svg&gt;</v>
      </c>
      <c r="P12" s="5"/>
    </row>
    <row r="13" spans="1:16" ht="14.25" customHeight="1">
      <c r="A13">
        <v>12</v>
      </c>
      <c r="B13">
        <v>0</v>
      </c>
      <c r="C13">
        <v>0</v>
      </c>
      <c r="E13">
        <v>1</v>
      </c>
      <c r="F13">
        <v>12</v>
      </c>
      <c r="G13" s="1" t="s">
        <v>20</v>
      </c>
      <c r="H13" s="16" t="s">
        <v>2645</v>
      </c>
      <c r="I13" s="18"/>
      <c r="J13" t="str">
        <f>IF(LEN(VLOOKUP(表1[[#This Row],[id]],数据引用!A:C,3,FALSE))&gt;0,VLOOKUP(表1[[#This Row],[id]],数据引用!A:C,3,FALSE),"")</f>
        <v>你死了！按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font-size:12;"&gt;你死了！按&lt;/text&gt;&lt;text transform="matrix(1 0 0 1 0 10.3205)" style="fill:#FFFFFF; font-family:'FZXS12--GB1-0'; font-size:12;"&gt;你死了！按&lt;/text&gt;&lt;/svg&gt;</v>
      </c>
      <c r="P13" s="5"/>
    </row>
    <row r="14" spans="1:16" ht="14.25" customHeight="1">
      <c r="A14">
        <v>13</v>
      </c>
      <c r="B14">
        <v>0</v>
      </c>
      <c r="C14">
        <v>0</v>
      </c>
      <c r="E14">
        <v>1</v>
      </c>
      <c r="F14">
        <v>12</v>
      </c>
      <c r="G14" s="1" t="s">
        <v>21</v>
      </c>
      <c r="H14" s="16" t="s">
        <v>2646</v>
      </c>
      <c r="I14" s="18"/>
      <c r="J14" t="str">
        <f>IF(LEN(VLOOKUP(表1[[#This Row],[id]],数据引用!A:C,3,FALSE))&gt;0,VLOOKUP(表1[[#This Row],[id]],数据引用!A:C,3,FALSE),"")</f>
        <v>继续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font-size:12;"&gt;继续&lt;/text&gt;&lt;text transform="matrix(1 0 0 1 0 10.3205)" style="fill:#FFFFFF; font-family:'FZXS12--GB1-0'; font-size:12;"&gt;继续&lt;/text&gt;&lt;/svg&gt;</v>
      </c>
      <c r="P14" s="5"/>
    </row>
    <row r="15" spans="1:16" ht="14.25" customHeight="1">
      <c r="A15">
        <v>14</v>
      </c>
      <c r="B15">
        <v>0</v>
      </c>
      <c r="C15">
        <v>0</v>
      </c>
      <c r="E15">
        <v>1</v>
      </c>
      <c r="F15">
        <v>12</v>
      </c>
      <c r="G15" s="1" t="s">
        <v>22</v>
      </c>
      <c r="H15" s="16" t="s">
        <v>2647</v>
      </c>
      <c r="I15" s="18"/>
      <c r="J15" t="str">
        <f>IF(LEN(VLOOKUP(表1[[#This Row],[id]],数据引用!A:C,3,FALSE))&gt;0,VLOOKUP(表1[[#This Row],[id]],数据引用!A:C,3,FALSE),"")</f>
        <v>音乐结束！</v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font-size:12;"&gt;音乐结束！&lt;/text&gt;&lt;text transform="matrix(1 0 0 1 0 10.3205)" style="fill:#FFFFFF; font-family:'FZXS12--GB1-0'; font-size:12;"&gt;音乐结束！&lt;/text&gt;&lt;/svg&gt;</v>
      </c>
      <c r="P15" s="5"/>
    </row>
    <row r="16" spans="1:16" ht="14.25" customHeight="1">
      <c r="A16">
        <v>15</v>
      </c>
      <c r="B16">
        <v>0</v>
      </c>
      <c r="C16">
        <v>0</v>
      </c>
      <c r="E16">
        <v>1</v>
      </c>
      <c r="F16">
        <v>12</v>
      </c>
      <c r="G16" s="1" t="s">
        <v>23</v>
      </c>
      <c r="H16" s="16" t="s">
        <v>2648</v>
      </c>
      <c r="I16" s="18"/>
      <c r="J16" t="str">
        <f>IF(LEN(VLOOKUP(表1[[#This Row],[id]],数据引用!A:C,3,FALSE))&gt;0,VLOOKUP(表1[[#This Row],[id]],数据引用!A:C,3,FALSE),"")</f>
        <v>下一关</v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font-size:12;"&gt;下一关&lt;/text&gt;&lt;text transform="matrix(1 0 0 1 0 10.3205)" style="fill:#FFFFFF; font-family:'FZXS12--GB1-0'; font-size:12;"&gt;下一关&lt;/text&gt;&lt;/svg&gt;</v>
      </c>
      <c r="P16" s="5"/>
    </row>
    <row r="17" spans="1:16" ht="14.25" customHeight="1">
      <c r="A17">
        <v>16</v>
      </c>
      <c r="B17">
        <v>0</v>
      </c>
      <c r="C17">
        <v>0</v>
      </c>
      <c r="E17">
        <v>1</v>
      </c>
      <c r="F17">
        <v>12</v>
      </c>
      <c r="G17" s="1" t="s">
        <v>24</v>
      </c>
      <c r="H17" s="16" t="s">
        <v>2649</v>
      </c>
      <c r="I17" s="18"/>
      <c r="J17" t="str">
        <f>IF(LEN(VLOOKUP(表1[[#This Row],[id]],数据引用!A:C,3,FALSE))&gt;0,VLOOKUP(表1[[#This Row],[id]],数据引用!A:C,3,FALSE),"")</f>
        <v>上传得分中，请稍候…</v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font-size:12;"&gt;上传得分中，请稍候…&lt;/text&gt;&lt;text transform="matrix(1 0 0 1 0 10.3205)" style="fill:#FFFFFF; font-family:'FZXS12--GB1-0'; font-size:12;"&gt;上传得分中，请稍候…&lt;/text&gt;&lt;/svg&gt;</v>
      </c>
      <c r="P17" s="5"/>
    </row>
    <row r="18" spans="1:16" ht="14.25" customHeight="1">
      <c r="A18">
        <v>17</v>
      </c>
      <c r="B18">
        <v>0</v>
      </c>
      <c r="C18">
        <v>0</v>
      </c>
      <c r="E18">
        <v>1</v>
      </c>
      <c r="F18">
        <v>12</v>
      </c>
      <c r="G18" s="1" t="s">
        <v>25</v>
      </c>
      <c r="H18" s="16" t="s">
        <v>2650</v>
      </c>
      <c r="I18" s="18"/>
      <c r="J18" t="str">
        <f>IF(LEN(VLOOKUP(表1[[#This Row],[id]],数据引用!A:C,3,FALSE))&gt;0,VLOOKUP(表1[[#This Row],[id]],数据引用!A:C,3,FALSE),"")</f>
        <v>跳过</v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font-size:12;"&gt;跳过&lt;/text&gt;&lt;text transform="matrix(1 0 0 1 0 10.3205)" style="fill:#FFFFFF; font-family:'FZXS12--GB1-0'; font-size:12;"&gt;跳过&lt;/text&gt;&lt;/svg&gt;</v>
      </c>
      <c r="P18" s="5"/>
    </row>
    <row r="19" spans="1:16" ht="14.25" customHeight="1">
      <c r="A19">
        <v>18</v>
      </c>
      <c r="B19">
        <v>0</v>
      </c>
      <c r="C19">
        <v>0</v>
      </c>
      <c r="E19" t="s">
        <v>2570</v>
      </c>
      <c r="F19">
        <v>6</v>
      </c>
      <c r="G19" s="1" t="s">
        <v>26</v>
      </c>
      <c r="H19" s="16" t="s">
        <v>2651</v>
      </c>
      <c r="I19" s="18"/>
      <c r="J19" t="str">
        <f>IF(LEN(VLOOKUP(表1[[#This Row],[id]],数据引用!A:C,3,FALSE))&gt;0,VLOOKUP(表1[[#This Row],[id]],数据引用!A:C,3,FALSE),"")</f>
        <v>正在播放重放！使用 左右 键控制播放速度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font-size:12;"&gt;正在播放重放！使用 左右 键控制播放速度&lt;/text&gt;&lt;text transform="matrix(1 0 0 1 0 10.3205)" style="fill:#FFFFFF; font-family:'FZXS12--GB1-0'; font-size:12;"&gt;正在播放重放！使用 左右 键控制播放速度&lt;/text&gt;&lt;/svg&gt;</v>
      </c>
      <c r="P19" s="5"/>
    </row>
    <row r="20" spans="1:16" ht="14.25" customHeight="1">
      <c r="A20">
        <v>19</v>
      </c>
      <c r="B20">
        <v>0</v>
      </c>
      <c r="C20">
        <v>0</v>
      </c>
      <c r="E20">
        <v>1</v>
      </c>
      <c r="F20">
        <v>12</v>
      </c>
      <c r="G20" s="8" t="s">
        <v>27</v>
      </c>
      <c r="H20" s="15" t="s">
        <v>2652</v>
      </c>
      <c r="I20" s="18"/>
      <c r="J20" t="str">
        <f>IF(LEN(VLOOKUP(表1[[#This Row],[id]],数据引用!A:C,3,FALSE))&gt;0,VLOOKUP(表1[[#This Row],[id]],数据引用!A:C,3,FALSE),"")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0" s="5"/>
    </row>
    <row r="21" spans="1:16" ht="14.25" customHeight="1">
      <c r="A21">
        <v>20</v>
      </c>
      <c r="B21">
        <v>0</v>
      </c>
      <c r="C21">
        <v>0</v>
      </c>
      <c r="E21">
        <v>1</v>
      </c>
      <c r="F21">
        <v>12</v>
      </c>
      <c r="G21" s="8" t="s">
        <v>28</v>
      </c>
      <c r="H21" s="15" t="s">
        <v>2653</v>
      </c>
      <c r="I21" s="18"/>
      <c r="J21" t="str">
        <f>IF(LEN(VLOOKUP(表1[[#This Row],[id]],数据引用!A:C,3,FALSE))&gt;0,VLOOKUP(表1[[#This Row],[id]],数据引用!A:C,3,FALSE),"")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1" s="5"/>
    </row>
    <row r="22" spans="1:16" ht="14.25" customHeight="1">
      <c r="A22">
        <v>21</v>
      </c>
      <c r="B22">
        <v>0</v>
      </c>
      <c r="C22">
        <v>0</v>
      </c>
      <c r="E22">
        <v>1</v>
      </c>
      <c r="F22">
        <v>12</v>
      </c>
      <c r="G22" s="8" t="s">
        <v>29</v>
      </c>
      <c r="H22" s="15" t="s">
        <v>2654</v>
      </c>
      <c r="I22" s="18"/>
      <c r="J22" t="str">
        <f>IF(LEN(VLOOKUP(表1[[#This Row],[id]],数据引用!A:C,3,FALSE))&gt;0,VLOOKUP(表1[[#This Row],[id]],数据引用!A:C,3,FALSE),"")</f>
        <v/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2" s="5"/>
    </row>
    <row r="23" spans="1:16" ht="14.25" customHeight="1">
      <c r="A23">
        <v>22</v>
      </c>
      <c r="B23">
        <v>0</v>
      </c>
      <c r="C23">
        <v>0</v>
      </c>
      <c r="E23" t="s">
        <v>2570</v>
      </c>
      <c r="F23">
        <v>6</v>
      </c>
      <c r="G23" s="8" t="s">
        <v>30</v>
      </c>
      <c r="H23" s="15" t="s">
        <v>2655</v>
      </c>
      <c r="I23" s="18"/>
      <c r="J23" t="str">
        <f>IF(LEN(VLOOKUP(表1[[#This Row],[id]],数据引用!A:C,3,FALSE))&gt;0,VLOOKUP(表1[[#This Row],[id]],数据引用!A:C,3,FALSE),"")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" t="s">
        <v>1400</v>
      </c>
      <c r="P23" s="5"/>
    </row>
    <row r="24" spans="1:16" ht="14.25" customHeight="1">
      <c r="A24">
        <v>23</v>
      </c>
      <c r="B24">
        <v>0</v>
      </c>
      <c r="C24">
        <v>0</v>
      </c>
      <c r="E24" t="s">
        <v>2570</v>
      </c>
      <c r="F24">
        <v>6</v>
      </c>
      <c r="G24" s="8" t="s">
        <v>31</v>
      </c>
      <c r="H24" s="15" t="s">
        <v>2656</v>
      </c>
      <c r="I24" s="18"/>
      <c r="J24" t="str">
        <f>IF(LEN(VLOOKUP(表1[[#This Row],[id]],数据引用!A:C,3,FALSE))&gt;0,VLOOKUP(表1[[#This Row],[id]],数据引用!A:C,3,FALSE),"")</f>
        <v/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" t="s">
        <v>1400</v>
      </c>
      <c r="P24" s="5"/>
    </row>
    <row r="25" spans="1:16" ht="14.25" customHeight="1">
      <c r="A25">
        <v>24</v>
      </c>
      <c r="B25">
        <v>0</v>
      </c>
      <c r="C25">
        <v>0</v>
      </c>
      <c r="E25" t="s">
        <v>2570</v>
      </c>
      <c r="F25">
        <v>6</v>
      </c>
      <c r="G25" s="8" t="s">
        <v>32</v>
      </c>
      <c r="H25" s="15" t="s">
        <v>2657</v>
      </c>
      <c r="I25" s="18"/>
      <c r="J25" t="str">
        <f>IF(LEN(VLOOKUP(表1[[#This Row],[id]],数据引用!A:C,3,FALSE))&gt;0,VLOOKUP(表1[[#This Row],[id]],数据引用!A:C,3,FALSE),"")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" t="s">
        <v>1400</v>
      </c>
      <c r="P25" s="5"/>
    </row>
    <row r="26" spans="1:16" ht="14.25" customHeight="1">
      <c r="A26">
        <v>25</v>
      </c>
      <c r="B26">
        <v>0</v>
      </c>
      <c r="C26">
        <v>0</v>
      </c>
      <c r="E26" t="s">
        <v>2570</v>
      </c>
      <c r="F26">
        <v>6</v>
      </c>
      <c r="G26" s="8" t="s">
        <v>33</v>
      </c>
      <c r="H26" s="15" t="s">
        <v>2658</v>
      </c>
      <c r="I26" s="18"/>
      <c r="J26" t="str">
        <f>IF(LEN(VLOOKUP(表1[[#This Row],[id]],数据引用!A:C,3,FALSE))&gt;0,VLOOKUP(表1[[#This Row],[id]],数据引用!A:C,3,FALSE),"")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" t="s">
        <v>1400</v>
      </c>
      <c r="P26" s="5"/>
    </row>
    <row r="27" spans="1:16" ht="14.25" customHeight="1">
      <c r="A27">
        <v>26</v>
      </c>
      <c r="B27">
        <v>0</v>
      </c>
      <c r="C27">
        <v>0</v>
      </c>
      <c r="E27">
        <v>1</v>
      </c>
      <c r="F27">
        <v>12</v>
      </c>
      <c r="G27" s="1" t="s">
        <v>34</v>
      </c>
      <c r="H27" s="16" t="s">
        <v>2659</v>
      </c>
      <c r="I27" s="18"/>
      <c r="J27" t="str">
        <f>IF(LEN(VLOOKUP(表1[[#This Row],[id]],数据引用!A:C,3,FALSE))&gt;0,VLOOKUP(表1[[#This Row],[id]],数据引用!A:C,3,FALSE),"")</f>
        <v>恢复掉落库</v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font-size:12;"&gt;恢复掉落库&lt;/text&gt;&lt;text transform="matrix(1 0 0 1 0 10.3205)" style="fill:#FFFFFF; font-family:'FZXS12--GB1-0'; font-size:12;"&gt;恢复掉落库&lt;/text&gt;&lt;/svg&gt;</v>
      </c>
      <c r="P27" s="5"/>
    </row>
    <row r="28" spans="1:16" ht="14.25" customHeight="1">
      <c r="A28">
        <v>27</v>
      </c>
      <c r="B28">
        <v>0</v>
      </c>
      <c r="C28">
        <v>0</v>
      </c>
      <c r="E28">
        <v>1</v>
      </c>
      <c r="F28">
        <v>12</v>
      </c>
      <c r="G28" s="1" t="s">
        <v>35</v>
      </c>
      <c r="H28" s="16" t="s">
        <v>2660</v>
      </c>
      <c r="I28" s="18"/>
      <c r="J28" t="str">
        <f>IF(LEN(VLOOKUP(表1[[#This Row],[id]],数据引用!A:C,3,FALSE))&gt;0,VLOOKUP(表1[[#This Row],[id]],数据引用!A:C,3,FALSE),"")</f>
        <v>将所有物品重新加入掉落库</v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font-size:12;"&gt;将所有物品重新加入掉落库&lt;/text&gt;&lt;text transform="matrix(1 0 0 1 0 10.3205)" style="fill:#FFFFFF; font-family:'FZXS12--GB1-0'; font-size:12;"&gt;将所有物品重新加入掉落库&lt;/text&gt;&lt;/svg&gt;</v>
      </c>
      <c r="P28" s="5"/>
    </row>
    <row r="29" spans="1:16" ht="14.25" customHeight="1">
      <c r="A29">
        <v>28</v>
      </c>
      <c r="B29">
        <v>0</v>
      </c>
      <c r="C29">
        <v>0</v>
      </c>
      <c r="E29">
        <v>1</v>
      </c>
      <c r="F29">
        <v>12</v>
      </c>
      <c r="G29" s="1" t="s">
        <v>36</v>
      </c>
      <c r="H29" s="16" t="s">
        <v>2661</v>
      </c>
      <c r="I29" s="18"/>
      <c r="J29" t="str">
        <f>IF(LEN(VLOOKUP(表1[[#This Row],[id]],数据引用!A:C,3,FALSE))&gt;0,VLOOKUP(表1[[#This Row],[id]],数据引用!A:C,3,FALSE),"")</f>
        <v>如果现在重新开始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29" s="5"/>
    </row>
    <row r="30" spans="1:16" ht="14.25" customHeight="1">
      <c r="A30">
        <v>29</v>
      </c>
      <c r="B30">
        <v>0</v>
      </c>
      <c r="C30">
        <v>0</v>
      </c>
      <c r="E30">
        <v>1</v>
      </c>
      <c r="F30">
        <v>12</v>
      </c>
      <c r="G30" s="1" t="s">
        <v>37</v>
      </c>
      <c r="H30" s="16" t="s">
        <v>2662</v>
      </c>
      <c r="I30" s="18"/>
      <c r="J30" t="str">
        <f>IF(LEN(VLOOKUP(表1[[#This Row],[id]],数据引用!A:C,3,FALSE))&gt;0,VLOOKUP(表1[[#This Row],[id]],数据引用!A:C,3,FALSE),"")</f>
        <v>所有未花费的钻石会被清空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30" s="5"/>
    </row>
    <row r="31" spans="1:16" ht="14.25" customHeight="1">
      <c r="A31">
        <v>30</v>
      </c>
      <c r="B31">
        <v>0</v>
      </c>
      <c r="C31">
        <v>0</v>
      </c>
      <c r="E31">
        <v>1</v>
      </c>
      <c r="F31">
        <v>12</v>
      </c>
      <c r="G31" s="1" t="s">
        <v>38</v>
      </c>
      <c r="H31" s="16" t="s">
        <v>2663</v>
      </c>
      <c r="I31" s="18"/>
      <c r="J31" t="str">
        <f>IF(LEN(VLOOKUP(表1[[#This Row],[id]],数据引用!A:C,3,FALSE))&gt;0,VLOOKUP(表1[[#This Row],[id]],数据引用!A:C,3,FALSE),"")</f>
        <v>要去大厅把它们花完吗？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font-size:12;"&gt;要去大厅把它们花完吗？&lt;/text&gt;&lt;text transform="matrix(1 0 0 1 0 10.3205)" style="fill:#FFFFFF; font-family:'FZXS12--GB1-0'; font-size:12;"&gt;要去大厅把它们花完吗？&lt;/text&gt;&lt;/svg&gt;</v>
      </c>
      <c r="P31" s="5"/>
    </row>
    <row r="32" spans="1:16" ht="14.25" customHeight="1">
      <c r="A32">
        <v>31</v>
      </c>
      <c r="B32">
        <v>0</v>
      </c>
      <c r="C32">
        <v>0</v>
      </c>
      <c r="E32">
        <v>1</v>
      </c>
      <c r="F32">
        <v>12</v>
      </c>
      <c r="G32" s="1" t="s">
        <v>39</v>
      </c>
      <c r="H32" s="16" t="s">
        <v>2664</v>
      </c>
      <c r="I32" s="16" t="s">
        <v>4270</v>
      </c>
      <c r="J32" t="str">
        <f>IF(LEN(VLOOKUP(表1[[#This Row],[id]],数据引用!A:C,3,FALSE))&gt;0,VLOOKUP(表1[[#This Row],[id]],数据引用!A:C,3,FALSE),"")</f>
        <v>返回大厅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32" s="5" t="s">
        <v>1282</v>
      </c>
    </row>
    <row r="33" spans="1:16" ht="14.25" customHeight="1">
      <c r="A33">
        <v>32</v>
      </c>
      <c r="B33">
        <v>0</v>
      </c>
      <c r="C33">
        <v>0</v>
      </c>
      <c r="E33">
        <v>1</v>
      </c>
      <c r="F33">
        <v>12</v>
      </c>
      <c r="G33" s="1" t="s">
        <v>40</v>
      </c>
      <c r="H33" s="16" t="s">
        <v>2665</v>
      </c>
      <c r="I33" s="16" t="s">
        <v>4271</v>
      </c>
      <c r="J33" t="str">
        <f>IF(LEN(VLOOKUP(表1[[#This Row],[id]],数据引用!A:C,3,FALSE))&gt;0,VLOOKUP(表1[[#This Row],[id]],数据引用!A:C,3,FALSE),"")</f>
        <v>重新开始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33" s="5" t="s">
        <v>1282</v>
      </c>
    </row>
    <row r="34" spans="1:16" ht="14.25" customHeight="1">
      <c r="A34">
        <v>33</v>
      </c>
      <c r="B34">
        <v>0</v>
      </c>
      <c r="C34">
        <v>0</v>
      </c>
      <c r="E34">
        <v>1</v>
      </c>
      <c r="F34">
        <v>12</v>
      </c>
      <c r="G34" s="1" t="s">
        <v>41</v>
      </c>
      <c r="H34" s="16" t="s">
        <v>2666</v>
      </c>
      <c r="I34" s="18"/>
      <c r="J34" t="str">
        <f>IF(LEN(VLOOKUP(表1[[#This Row],[id]],数据引用!A:C,3,FALSE))&gt;0,VLOOKUP(表1[[#This Row],[id]],数据引用!A:C,3,FALSE),"")</f>
        <v>如果现在重新开始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34" s="5"/>
    </row>
    <row r="35" spans="1:16" ht="14.25" customHeight="1">
      <c r="A35">
        <v>34</v>
      </c>
      <c r="B35">
        <v>0</v>
      </c>
      <c r="C35">
        <v>0</v>
      </c>
      <c r="E35">
        <v>1</v>
      </c>
      <c r="F35">
        <v>12</v>
      </c>
      <c r="G35" s="1" t="s">
        <v>42</v>
      </c>
      <c r="H35" s="16" t="s">
        <v>2667</v>
      </c>
      <c r="I35" s="18"/>
      <c r="J35" t="str">
        <f>IF(LEN(VLOOKUP(表1[[#This Row],[id]],数据引用!A:C,3,FALSE))&gt;0,VLOOKUP(表1[[#This Row],[id]],数据引用!A:C,3,FALSE),"")</f>
        <v>你的进度将会丢失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font-size:12;"&gt;你的进度将会丢失&lt;/text&gt;&lt;text transform="matrix(1 0 0 1 0 10.3205)" style="fill:#FFFFFF; font-family:'FZXS12--GB1-0'; font-size:12;"&gt;你的进度将会丢失&lt;/text&gt;&lt;/svg&gt;</v>
      </c>
      <c r="P35" s="5"/>
    </row>
    <row r="36" spans="1:16" ht="14.25" customHeight="1">
      <c r="A36">
        <v>35</v>
      </c>
      <c r="B36">
        <v>0</v>
      </c>
      <c r="C36">
        <v>0</v>
      </c>
      <c r="E36">
        <v>1</v>
      </c>
      <c r="F36">
        <v>12</v>
      </c>
      <c r="G36" s="1" t="s">
        <v>43</v>
      </c>
      <c r="H36" s="16" t="s">
        <v>2668</v>
      </c>
      <c r="I36" s="18"/>
      <c r="J36" t="str">
        <f>IF(LEN(VLOOKUP(表1[[#This Row],[id]],数据引用!A:C,3,FALSE))&gt;0,VLOOKUP(表1[[#This Row],[id]],数据引用!A:C,3,FALSE),"")</f>
        <v>上传这次挑战的得分？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font-size:12;"&gt;上传这次挑战的得分？&lt;/text&gt;&lt;text transform="matrix(1 0 0 1 0 10.3205)" style="fill:#FFFFFF; font-family:'FZXS12--GB1-0'; font-size:12;"&gt;上传这次挑战的得分？&lt;/text&gt;&lt;/svg&gt;</v>
      </c>
      <c r="P36" s="5"/>
    </row>
    <row r="37" spans="1:16" ht="14.25" customHeight="1">
      <c r="A37">
        <v>36</v>
      </c>
      <c r="B37">
        <v>0</v>
      </c>
      <c r="C37">
        <v>0</v>
      </c>
      <c r="E37">
        <v>1</v>
      </c>
      <c r="F37">
        <v>12</v>
      </c>
      <c r="G37" s="1" t="s">
        <v>44</v>
      </c>
      <c r="H37" s="16" t="s">
        <v>2669</v>
      </c>
      <c r="I37" s="18"/>
      <c r="J37" t="str">
        <f>IF(LEN(VLOOKUP(表1[[#This Row],[id]],数据引用!A:C,3,FALSE))&gt;0,VLOOKUP(表1[[#This Row],[id]],数据引用!A:C,3,FALSE),"")</f>
        <v>可用</v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font-size:12;"&gt;可用&lt;/text&gt;&lt;text transform="matrix(1 0 0 1 0 10.3205)" style="fill:#FFFFFF; font-family:'FZXS12--GB1-0'; font-size:12;"&gt;可用&lt;/text&gt;&lt;/svg&gt;</v>
      </c>
      <c r="P37" s="5"/>
    </row>
    <row r="38" spans="1:16" ht="14.25" customHeight="1">
      <c r="A38">
        <v>37</v>
      </c>
      <c r="B38">
        <v>0</v>
      </c>
      <c r="C38">
        <v>0</v>
      </c>
      <c r="E38">
        <v>1</v>
      </c>
      <c r="F38">
        <v>12</v>
      </c>
      <c r="G38" s="1" t="s">
        <v>45</v>
      </c>
      <c r="H38" s="16" t="s">
        <v>2670</v>
      </c>
      <c r="I38" s="18"/>
      <c r="J38" t="str">
        <f>IF(LEN(VLOOKUP(表1[[#This Row],[id]],数据引用!A:C,3,FALSE))&gt;0,VLOOKUP(表1[[#This Row],[id]],数据引用!A:C,3,FALSE),"")</f>
        <v>去大厅找怪物领主练练手吧</v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font-size:12;"&gt;去大厅找怪物领主练练手吧&lt;/text&gt;&lt;text transform="matrix(1 0 0 1 0 10.3205)" style="fill:#FFFFFF; font-family:'FZXS12--GB1-0'; font-size:12;"&gt;去大厅找怪物领主练练手吧&lt;/text&gt;&lt;/svg&gt;</v>
      </c>
      <c r="P38" s="5"/>
    </row>
    <row r="39" spans="1:16" ht="14.25" customHeight="1">
      <c r="A39">
        <v>38</v>
      </c>
      <c r="B39">
        <v>0</v>
      </c>
      <c r="C39">
        <v>0</v>
      </c>
      <c r="E39">
        <v>1</v>
      </c>
      <c r="F39">
        <v>12</v>
      </c>
      <c r="G39" s="13" t="s">
        <v>46</v>
      </c>
      <c r="H39" s="15" t="s">
        <v>2671</v>
      </c>
      <c r="I39" s="18"/>
      <c r="J39" t="str">
        <f>IF(LEN(VLOOKUP(表1[[#This Row],[id]],数据引用!A:C,3,FALSE))&gt;0,VLOOKUP(表1[[#This Row],[id]],数据引用!A:C,3,FALSE),"")</f>
        <v>NULL</v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39" s="5"/>
    </row>
    <row r="40" spans="1:16" ht="14.25" customHeight="1">
      <c r="A40">
        <v>39</v>
      </c>
      <c r="B40">
        <v>0</v>
      </c>
      <c r="C40">
        <v>0</v>
      </c>
      <c r="E40">
        <v>1</v>
      </c>
      <c r="F40">
        <v>12</v>
      </c>
      <c r="G40" s="1" t="s">
        <v>47</v>
      </c>
      <c r="H40" s="16" t="s">
        <v>2672</v>
      </c>
      <c r="I40" s="18"/>
      <c r="J40" t="str">
        <f>IF(LEN(VLOOKUP(表1[[#This Row],[id]],数据引用!A:C,3,FALSE))&gt;0,VLOOKUP(表1[[#This Row],[id]],数据引用!A:C,3,FALSE),"")</f>
        <v>你解锁了Melody，Cadence的母亲！</v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font-size:12;"&gt;你解锁了Melody，Cadence的母亲！&lt;/text&gt;&lt;text transform="matrix(1 0 0 1 0 10.3205)" style="fill:#FFFFFF; font-family:'FZXS12--GB1-0'; font-size:12;"&gt;你解锁了Melody，Cadence的母亲！&lt;/text&gt;&lt;/svg&gt;</v>
      </c>
      <c r="P40" s="5"/>
    </row>
    <row r="41" spans="1:16" ht="14.25" customHeight="1">
      <c r="A41">
        <v>40</v>
      </c>
      <c r="B41">
        <v>0</v>
      </c>
      <c r="C41">
        <v>0</v>
      </c>
      <c r="E41">
        <v>1</v>
      </c>
      <c r="F41">
        <v>12</v>
      </c>
      <c r="G41" s="13" t="s">
        <v>48</v>
      </c>
      <c r="H41" s="15" t="s">
        <v>2673</v>
      </c>
      <c r="I41" s="18"/>
      <c r="J41" t="str">
        <f>IF(LEN(VLOOKUP(表1[[#This Row],[id]],数据引用!A:C,3,FALSE))&gt;0,VLOOKUP(表1[[#This Row],[id]],数据引用!A:C,3,FALSE),"")</f>
        <v>NULL</v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1" s="5"/>
    </row>
    <row r="42" spans="1:16" ht="14.25" customHeight="1">
      <c r="A42">
        <v>41</v>
      </c>
      <c r="B42">
        <v>0</v>
      </c>
      <c r="C42">
        <v>0</v>
      </c>
      <c r="E42">
        <v>1</v>
      </c>
      <c r="F42">
        <v>12</v>
      </c>
      <c r="G42" s="12" t="s">
        <v>49</v>
      </c>
      <c r="H42" s="16" t="s">
        <v>2674</v>
      </c>
      <c r="I42" s="18"/>
      <c r="J42" t="str">
        <f>IF(LEN(VLOOKUP(表1[[#This Row],[id]],数据引用!A:C,3,FALSE))&gt;0,VLOOKUP(表1[[#This Row],[id]],数据引用!A:C,3,FALSE),"")</f>
        <v>续写故事，解开所有的谜题！</v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font-size:12;"&gt;续写故事，解开所有的谜题！&lt;/text&gt;&lt;text transform="matrix(1 0 0 1 0 10.3205)" style="fill:#FFFFFF; font-family:'FZXS12--GB1-0'; font-size:12;"&gt;续写故事，解开所有的谜题！&lt;/text&gt;&lt;/svg&gt;</v>
      </c>
      <c r="P42" s="5"/>
    </row>
    <row r="43" spans="1:16" ht="14.25" customHeight="1">
      <c r="A43">
        <v>42</v>
      </c>
      <c r="B43">
        <v>0</v>
      </c>
      <c r="C43">
        <v>0</v>
      </c>
      <c r="E43">
        <v>1</v>
      </c>
      <c r="F43">
        <v>12</v>
      </c>
      <c r="G43" s="13" t="s">
        <v>50</v>
      </c>
      <c r="H43" s="15" t="s">
        <v>2675</v>
      </c>
      <c r="I43" s="18"/>
      <c r="J43" t="str">
        <f>IF(LEN(VLOOKUP(表1[[#This Row],[id]],数据引用!A:C,3,FALSE))&gt;0,VLOOKUP(表1[[#This Row],[id]],数据引用!A:C,3,FALSE),"")</f>
        <v>NULL</v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3" s="5"/>
    </row>
    <row r="44" spans="1:16" ht="14.25" customHeight="1">
      <c r="A44">
        <v>43</v>
      </c>
      <c r="B44">
        <v>0</v>
      </c>
      <c r="C44">
        <v>0</v>
      </c>
      <c r="E44">
        <v>1</v>
      </c>
      <c r="F44">
        <v>12</v>
      </c>
      <c r="G44" s="1" t="s">
        <v>51</v>
      </c>
      <c r="H44" s="16" t="s">
        <v>2676</v>
      </c>
      <c r="I44" s="18"/>
      <c r="J44" t="str">
        <f>IF(LEN(VLOOKUP(表1[[#This Row],[id]],数据引用!A:C,3,FALSE))&gt;0,VLOOKUP(表1[[#This Row],[id]],数据引用!A:C,3,FALSE),"")</f>
        <v>你解锁了</v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font-size:12;"&gt;你解锁了&lt;/text&gt;&lt;text transform="matrix(1 0 0 1 0 10.3205)" style="fill:#FFFFFF; font-family:'FZXS12--GB1-0'; font-size:12;"&gt;你解锁了&lt;/text&gt;&lt;/svg&gt;</v>
      </c>
      <c r="P44" s="5"/>
    </row>
    <row r="45" spans="1:16" ht="14.25" customHeight="1">
      <c r="A45">
        <v>44</v>
      </c>
      <c r="B45">
        <v>0</v>
      </c>
      <c r="C45">
        <v>0</v>
      </c>
      <c r="E45">
        <v>1</v>
      </c>
      <c r="F45">
        <v>12</v>
      </c>
      <c r="G45" s="13" t="s">
        <v>52</v>
      </c>
      <c r="H45" s="15" t="s">
        <v>2677</v>
      </c>
      <c r="I45" s="18"/>
      <c r="J45" t="str">
        <f>IF(LEN(VLOOKUP(表1[[#This Row],[id]],数据引用!A:C,3,FALSE))&gt;0,VLOOKUP(表1[[#This Row],[id]],数据引用!A:C,3,FALSE),"")</f>
        <v>NULL</v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5" s="5"/>
    </row>
    <row r="46" spans="1:16" ht="14.25" customHeight="1">
      <c r="A46">
        <v>45</v>
      </c>
      <c r="B46">
        <v>0</v>
      </c>
      <c r="C46">
        <v>0</v>
      </c>
      <c r="E46">
        <v>1</v>
      </c>
      <c r="F46">
        <v>12</v>
      </c>
      <c r="G46" s="12" t="s">
        <v>53</v>
      </c>
      <c r="H46" s="16" t="s">
        <v>2678</v>
      </c>
      <c r="I46" s="18"/>
      <c r="J46" t="str">
        <f>IF(LEN(VLOOKUP(表1[[#This Row],[id]],数据引用!A:C,3,FALSE))&gt;0,VLOOKUP(表1[[#This Row],[id]],数据引用!A:C,3,FALSE),"")</f>
        <v>用 角色选择 楼梯可以更换角色</v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 角色选择 楼梯可以更换角色&lt;/text&gt;&lt;text transform="matrix(1 0 0 1 0 10.3205)" style="fill:#FFFFFF; font-family:'FZXS12--GB1-0'; font-size:12;"&gt;用 角色选择 楼梯可以更换角色&lt;/text&gt;&lt;/svg&gt;</v>
      </c>
      <c r="P46" s="5"/>
    </row>
    <row r="47" spans="1:16" ht="14.25" customHeight="1">
      <c r="A47">
        <v>46</v>
      </c>
      <c r="B47">
        <v>0</v>
      </c>
      <c r="C47">
        <v>0</v>
      </c>
      <c r="E47">
        <v>1</v>
      </c>
      <c r="F47">
        <v>12</v>
      </c>
      <c r="G47" s="13" t="s">
        <v>54</v>
      </c>
      <c r="H47" s="15" t="s">
        <v>2679</v>
      </c>
      <c r="I47" s="18"/>
      <c r="J47" t="str">
        <f>IF(LEN(VLOOKUP(表1[[#This Row],[id]],数据引用!A:C,3,FALSE))&gt;0,VLOOKUP(表1[[#This Row],[id]],数据引用!A:C,3,FALSE),"")</f>
        <v>NULL</v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7" s="5"/>
    </row>
    <row r="48" spans="1:16" ht="14.25" customHeight="1">
      <c r="A48">
        <v>47</v>
      </c>
      <c r="B48">
        <v>0</v>
      </c>
      <c r="C48">
        <v>0</v>
      </c>
      <c r="E48" t="s">
        <v>2570</v>
      </c>
      <c r="F48">
        <v>6</v>
      </c>
      <c r="G48" s="8" t="s">
        <v>55</v>
      </c>
      <c r="H48" s="15" t="s">
        <v>2680</v>
      </c>
      <c r="I48" s="18"/>
      <c r="J48" t="str">
        <f>IF(LEN(VLOOKUP(表1[[#This Row],[id]],数据引用!A:C,3,FALSE))&gt;0,VLOOKUP(表1[[#This Row],[id]],数据引用!A:C,3,FALSE),"")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8" t="s">
        <v>1400</v>
      </c>
      <c r="P48" s="5"/>
    </row>
    <row r="49" spans="1:16" ht="14.25" customHeight="1">
      <c r="A49">
        <v>48</v>
      </c>
      <c r="B49">
        <v>0</v>
      </c>
      <c r="C49">
        <v>0</v>
      </c>
      <c r="E49" t="s">
        <v>2570</v>
      </c>
      <c r="F49">
        <v>6</v>
      </c>
      <c r="G49" s="8" t="s">
        <v>56</v>
      </c>
      <c r="H49" s="15" t="s">
        <v>2681</v>
      </c>
      <c r="I49" s="18"/>
      <c r="J49" t="str">
        <f>IF(LEN(VLOOKUP(表1[[#This Row],[id]],数据引用!A:C,3,FALSE))&gt;0,VLOOKUP(表1[[#This Row],[id]],数据引用!A:C,3,FALSE),"")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9" t="s">
        <v>1400</v>
      </c>
      <c r="P49" s="5"/>
    </row>
    <row r="50" spans="1:16" ht="14.25" customHeight="1">
      <c r="A50">
        <v>49</v>
      </c>
      <c r="B50">
        <v>0</v>
      </c>
      <c r="C50">
        <v>0</v>
      </c>
      <c r="E50" t="s">
        <v>2570</v>
      </c>
      <c r="F50">
        <v>6</v>
      </c>
      <c r="G50" s="1" t="s">
        <v>57</v>
      </c>
      <c r="H50" s="16" t="s">
        <v>2682</v>
      </c>
      <c r="I50" s="18"/>
      <c r="J50" t="str">
        <f>IF(LEN(VLOOKUP(表1[[#This Row],[id]],数据引用!A:C,3,FALSE))&gt;0,VLOOKUP(表1[[#This Row],[id]],数据引用!A:C,3,FALSE),"")</f>
        <v>善用周围的墙壁</v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font-size:12;"&gt;善用周围的墙壁&lt;/text&gt;&lt;text transform="matrix(1 0 0 1 0 10.3205)" style="fill:#FFFFFF; font-family:'FZXS12--GB1-0'; font-size:12;"&gt;善用周围的墙壁&lt;/text&gt;&lt;/svg&gt;</v>
      </c>
      <c r="P50" s="5"/>
    </row>
    <row r="51" spans="1:16" ht="14.25" customHeight="1">
      <c r="A51">
        <v>50</v>
      </c>
      <c r="B51">
        <v>0</v>
      </c>
      <c r="C51">
        <v>0</v>
      </c>
      <c r="E51" t="s">
        <v>2570</v>
      </c>
      <c r="F51">
        <v>6</v>
      </c>
      <c r="G51" s="1" t="s">
        <v>58</v>
      </c>
      <c r="H51" s="16" t="s">
        <v>2683</v>
      </c>
      <c r="I51" s="18"/>
      <c r="J51" t="str">
        <f>IF(LEN(VLOOKUP(表1[[#This Row],[id]],数据引用!A:C,3,FALSE))&gt;0,VLOOKUP(表1[[#This Row],[id]],数据引用!A:C,3,FALSE),"")</f>
        <v>教程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font-size:12;"&gt;教程&lt;/text&gt;&lt;text transform="matrix(1 0 0 1 0 10.3205)" style="fill:#FFFFFF; font-family:'FZXS12--GB1-0'; font-size:12;"&gt;教程&lt;/text&gt;&lt;/svg&gt;</v>
      </c>
      <c r="P51" s="5"/>
    </row>
    <row r="52" spans="1:16" ht="14.25" customHeight="1">
      <c r="A52">
        <v>51</v>
      </c>
      <c r="B52">
        <v>0</v>
      </c>
      <c r="C52">
        <v>0</v>
      </c>
      <c r="E52" t="s">
        <v>2570</v>
      </c>
      <c r="F52">
        <v>6</v>
      </c>
      <c r="G52" s="1" t="s">
        <v>59</v>
      </c>
      <c r="H52" s="16" t="s">
        <v>2684</v>
      </c>
      <c r="I52" s="18"/>
      <c r="J52" t="str">
        <f>IF(LEN(VLOOKUP(表1[[#This Row],[id]],数据引用!A:C,3,FALSE))&gt;0,VLOOKUP(表1[[#This Row],[id]],数据引用!A:C,3,FALSE),"")</f>
        <v>区域1</v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52" s="5"/>
    </row>
    <row r="53" spans="1:16" ht="14.25" customHeight="1">
      <c r="A53">
        <v>52</v>
      </c>
      <c r="B53">
        <v>0</v>
      </c>
      <c r="C53">
        <v>0</v>
      </c>
      <c r="E53" t="s">
        <v>2570</v>
      </c>
      <c r="F53">
        <v>6</v>
      </c>
      <c r="G53" s="1" t="s">
        <v>60</v>
      </c>
      <c r="H53" s="16" t="s">
        <v>2685</v>
      </c>
      <c r="I53" s="18"/>
      <c r="J53" t="str">
        <f>IF(LEN(VLOOKUP(表1[[#This Row],[id]],数据引用!A:C,3,FALSE))&gt;0,VLOOKUP(表1[[#This Row],[id]],数据引用!A:C,3,FALSE),"")</f>
        <v>区域2</v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53" s="5"/>
    </row>
    <row r="54" spans="1:16" ht="14.25" customHeight="1">
      <c r="A54">
        <v>53</v>
      </c>
      <c r="B54">
        <v>0</v>
      </c>
      <c r="C54">
        <v>0</v>
      </c>
      <c r="E54" t="s">
        <v>2570</v>
      </c>
      <c r="F54">
        <v>6</v>
      </c>
      <c r="G54" s="1" t="s">
        <v>61</v>
      </c>
      <c r="H54" s="16" t="s">
        <v>2686</v>
      </c>
      <c r="I54" s="18"/>
      <c r="J54" t="str">
        <f>IF(LEN(VLOOKUP(表1[[#This Row],[id]],数据引用!A:C,3,FALSE))&gt;0,VLOOKUP(表1[[#This Row],[id]],数据引用!A:C,3,FALSE),"")</f>
        <v>区域3</v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P54" s="5"/>
    </row>
    <row r="55" spans="1:16" ht="14.25" customHeight="1">
      <c r="A55">
        <v>54</v>
      </c>
      <c r="B55">
        <v>0</v>
      </c>
      <c r="C55">
        <v>0</v>
      </c>
      <c r="E55" t="s">
        <v>2570</v>
      </c>
      <c r="F55">
        <v>6</v>
      </c>
      <c r="G55" s="1" t="s">
        <v>62</v>
      </c>
      <c r="H55" s="16" t="s">
        <v>2687</v>
      </c>
      <c r="I55" s="18"/>
      <c r="J55" t="str">
        <f>IF(LEN(VLOOKUP(表1[[#This Row],[id]],数据引用!A:C,3,FALSE))&gt;0,VLOOKUP(表1[[#This Row],[id]],数据引用!A:C,3,FALSE),"")</f>
        <v>区域4</v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55" s="5"/>
    </row>
    <row r="56" spans="1:16" ht="14.25" customHeight="1">
      <c r="A56">
        <v>55</v>
      </c>
      <c r="B56">
        <v>0</v>
      </c>
      <c r="C56">
        <v>0</v>
      </c>
      <c r="E56" t="s">
        <v>2570</v>
      </c>
      <c r="F56">
        <v>6</v>
      </c>
      <c r="G56" s="1" t="s">
        <v>63</v>
      </c>
      <c r="H56" s="16" t="s">
        <v>2688</v>
      </c>
      <c r="I56" s="18"/>
      <c r="J56" t="str">
        <f>IF(LEN(VLOOKUP(表1[[#This Row],[id]],数据引用!A:C,3,FALSE))&gt;0,VLOOKUP(表1[[#This Row],[id]],数据引用!A:C,3,FALSE),"")</f>
        <v>选择</v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P56" s="5"/>
    </row>
    <row r="57" spans="1:16" ht="14.25" customHeight="1">
      <c r="A57">
        <v>56</v>
      </c>
      <c r="B57">
        <v>0</v>
      </c>
      <c r="C57">
        <v>0</v>
      </c>
      <c r="E57" t="s">
        <v>2570</v>
      </c>
      <c r="F57">
        <v>6</v>
      </c>
      <c r="G57" s="1" t="s">
        <v>64</v>
      </c>
      <c r="H57" s="16" t="s">
        <v>2689</v>
      </c>
      <c r="I57" s="18"/>
      <c r="J57" t="str">
        <f>IF(LEN(VLOOKUP(表1[[#This Row],[id]],数据引用!A:C,3,FALSE))&gt;0,VLOOKUP(表1[[#This Row],[id]],数据引用!A:C,3,FALSE),"")</f>
        <v>角色</v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font-size:12;"&gt;角色&lt;/text&gt;&lt;text transform="matrix(1 0 0 1 0 10.3205)" style="fill:#FFFFFF; font-family:'FZXS12--GB1-0'; font-size:12;"&gt;角色&lt;/text&gt;&lt;/svg&gt;</v>
      </c>
      <c r="P57" s="5"/>
    </row>
    <row r="58" spans="1:16" ht="14.25" customHeight="1">
      <c r="A58">
        <v>57</v>
      </c>
      <c r="B58">
        <v>0</v>
      </c>
      <c r="C58">
        <v>0</v>
      </c>
      <c r="E58" t="s">
        <v>2570</v>
      </c>
      <c r="F58">
        <v>6</v>
      </c>
      <c r="G58" s="1" t="s">
        <v>65</v>
      </c>
      <c r="H58" s="16" t="s">
        <v>2690</v>
      </c>
      <c r="I58" s="18"/>
      <c r="J58" t="str">
        <f>IF(LEN(VLOOKUP(表1[[#This Row],[id]],数据引用!A:C,3,FALSE))&gt;0,VLOOKUP(表1[[#This Row],[id]],数据引用!A:C,3,FALSE),"")</f>
        <v>全区域</v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P58" s="5"/>
    </row>
    <row r="59" spans="1:16" ht="14.25" customHeight="1">
      <c r="A59">
        <v>58</v>
      </c>
      <c r="B59">
        <v>0</v>
      </c>
      <c r="C59">
        <v>0</v>
      </c>
      <c r="E59" t="s">
        <v>2570</v>
      </c>
      <c r="F59">
        <v>6</v>
      </c>
      <c r="G59" s="1" t="s">
        <v>66</v>
      </c>
      <c r="H59" s="16" t="s">
        <v>2691</v>
      </c>
      <c r="I59" s="18"/>
      <c r="J59" t="str">
        <f>IF(LEN(VLOOKUP(表1[[#This Row],[id]],数据引用!A:C,3,FALSE))&gt;0,VLOOKUP(表1[[#This Row],[id]],数据引用!A:C,3,FALSE),"")</f>
        <v>模式</v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font-size:12;"&gt;模式&lt;/text&gt;&lt;text transform="matrix(1 0 0 1 0 10.3205)" style="fill:#FFFFFF; font-family:'FZXS12--GB1-0'; font-size:12;"&gt;模式&lt;/text&gt;&lt;/svg&gt;</v>
      </c>
      <c r="P59" s="5"/>
    </row>
    <row r="60" spans="1:16" ht="14.25" customHeight="1">
      <c r="A60">
        <v>59</v>
      </c>
      <c r="B60">
        <v>0</v>
      </c>
      <c r="C60">
        <v>0</v>
      </c>
      <c r="E60" t="s">
        <v>2570</v>
      </c>
      <c r="F60">
        <v>6</v>
      </c>
      <c r="G60" s="1" t="s">
        <v>67</v>
      </c>
      <c r="H60" s="16" t="s">
        <v>2692</v>
      </c>
      <c r="I60" s="18"/>
      <c r="J60" t="str">
        <f>IF(LEN(VLOOKUP(表1[[#This Row],[id]],数据引用!A:C,3,FALSE))&gt;0,VLOOKUP(表1[[#This Row],[id]],数据引用!A:C,3,FALSE),"")</f>
        <v>跳舞毯模式</v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font-size:12;"&gt;跳舞毯模式&lt;/text&gt;&lt;text transform="matrix(1 0 0 1 0 10.3205)" style="fill:#FFFFFF; font-family:'FZXS12--GB1-0'; font-size:12;"&gt;跳舞毯模式&lt;/text&gt;&lt;/svg&gt;</v>
      </c>
      <c r="P60" s="5"/>
    </row>
    <row r="61" spans="1:16" ht="14.25" customHeight="1">
      <c r="A61">
        <v>60</v>
      </c>
      <c r="B61">
        <v>0</v>
      </c>
      <c r="C61">
        <v>0</v>
      </c>
      <c r="E61" t="s">
        <v>2570</v>
      </c>
      <c r="F61">
        <v>6</v>
      </c>
      <c r="G61" s="1" t="s">
        <v>68</v>
      </c>
      <c r="H61" s="16" t="s">
        <v>2693</v>
      </c>
      <c r="I61" s="18"/>
      <c r="J61" t="str">
        <f>IF(LEN(VLOOKUP(表1[[#This Row],[id]],数据引用!A:C,3,FALSE))&gt;0,VLOOKUP(表1[[#This Row],[id]],数据引用!A:C,3,FALSE),"")</f>
        <v>（简单模式）</v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font-size:12;"&gt;（简单模式）&lt;/text&gt;&lt;text transform="matrix(1 0 0 1 0 10.3205)" style="fill:#FFFFFF; font-family:'FZXS12--GB1-0'; font-size:12;"&gt;（简单模式）&lt;/text&gt;&lt;/svg&gt;</v>
      </c>
      <c r="P61" s="5"/>
    </row>
    <row r="62" spans="1:16" ht="14.25" customHeight="1">
      <c r="A62">
        <v>61</v>
      </c>
      <c r="B62">
        <v>0</v>
      </c>
      <c r="C62">
        <v>0</v>
      </c>
      <c r="E62" t="s">
        <v>2570</v>
      </c>
      <c r="F62">
        <v>6</v>
      </c>
      <c r="G62" s="1" t="s">
        <v>69</v>
      </c>
      <c r="H62" s="16" t="s">
        <v>2694</v>
      </c>
      <c r="I62" s="18"/>
      <c r="J62" t="str">
        <f>IF(LEN(VLOOKUP(表1[[#This Row],[id]],数据引用!A:C,3,FALSE))&gt;0,VLOOKUP(表1[[#This Row],[id]],数据引用!A:C,3,FALSE),"")</f>
        <v>全区域模式</v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font-size:12;"&gt;全区域模式&lt;/text&gt;&lt;text transform="matrix(1 0 0 1 0 10.3205)" style="fill:#FFFFFF; font-family:'FZXS12--GB1-0'; font-size:12;"&gt;全区域模式&lt;/text&gt;&lt;/svg&gt;</v>
      </c>
      <c r="P62" s="5"/>
    </row>
    <row r="63" spans="1:16" ht="14.25" customHeight="1">
      <c r="A63">
        <v>62</v>
      </c>
      <c r="B63">
        <v>0</v>
      </c>
      <c r="C63">
        <v>0</v>
      </c>
      <c r="E63" t="s">
        <v>2570</v>
      </c>
      <c r="F63">
        <v>6</v>
      </c>
      <c r="G63" s="1" t="s">
        <v>70</v>
      </c>
      <c r="H63" s="16" t="s">
        <v>2695</v>
      </c>
      <c r="I63" s="18"/>
      <c r="J63" t="str">
        <f>IF(LEN(VLOOKUP(表1[[#This Row],[id]],数据引用!A:C,3,FALSE))&gt;0,VLOOKUP(表1[[#This Row],[id]],数据引用!A:C,3,FALSE),"")</f>
        <v>（使用种子）</v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font-size:12;"&gt;（使用种子）&lt;/text&gt;&lt;text transform="matrix(1 0 0 1 0 10.3205)" style="fill:#FFFFFF; font-family:'FZXS12--GB1-0'; font-size:12;"&gt;（使用种子）&lt;/text&gt;&lt;/svg&gt;</v>
      </c>
      <c r="P63" s="5"/>
    </row>
    <row r="64" spans="1:16" ht="14.25" customHeight="1">
      <c r="A64">
        <v>63</v>
      </c>
      <c r="B64">
        <v>0</v>
      </c>
      <c r="C64">
        <v>0</v>
      </c>
      <c r="E64" t="s">
        <v>2570</v>
      </c>
      <c r="F64">
        <v>6</v>
      </c>
      <c r="G64" s="1" t="s">
        <v>71</v>
      </c>
      <c r="H64" s="16" t="s">
        <v>2696</v>
      </c>
      <c r="I64" s="18"/>
      <c r="J64" t="str">
        <f>IF(LEN(VLOOKUP(表1[[#This Row],[id]],数据引用!A:C,3,FALSE))&gt;0,VLOOKUP(表1[[#This Row],[id]],数据引用!A:C,3,FALSE),"")</f>
        <v>关卡编辑器</v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font-size:12;"&gt;关卡编辑器&lt;/text&gt;&lt;text transform="matrix(1 0 0 1 0 10.3205)" style="fill:#FFFFFF; font-family:'FZXS12--GB1-0'; font-size:12;"&gt;关卡编辑器&lt;/text&gt;&lt;/svg&gt;</v>
      </c>
      <c r="P64" s="5"/>
    </row>
    <row r="65" spans="1:16" ht="14.25" customHeight="1">
      <c r="A65">
        <v>64</v>
      </c>
      <c r="B65">
        <v>0</v>
      </c>
      <c r="C65">
        <v>0</v>
      </c>
      <c r="E65" t="s">
        <v>2570</v>
      </c>
      <c r="F65">
        <v>6</v>
      </c>
      <c r="G65" s="1" t="s">
        <v>72</v>
      </c>
      <c r="H65" s="16" t="s">
        <v>2697</v>
      </c>
      <c r="I65" s="18"/>
      <c r="J65" t="str">
        <f>IF(LEN(VLOOKUP(表1[[#This Row],[id]],数据引用!A:C,3,FALSE))&gt;0,VLOOKUP(表1[[#This Row],[id]],数据引用!A:C,3,FALSE),"")</f>
        <v>每日挑战</v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65" s="5"/>
    </row>
    <row r="66" spans="1:16" ht="14.25" customHeight="1">
      <c r="A66">
        <v>65</v>
      </c>
      <c r="B66">
        <v>0</v>
      </c>
      <c r="C66">
        <v>0</v>
      </c>
      <c r="E66" t="s">
        <v>2570</v>
      </c>
      <c r="F66">
        <v>6</v>
      </c>
      <c r="G66" s="1" t="s">
        <v>73</v>
      </c>
      <c r="H66" s="16" t="s">
        <v>2698</v>
      </c>
      <c r="I66" s="18"/>
      <c r="J66" t="str">
        <f>IF(LEN(VLOOKUP(表1[[#This Row],[id]],数据引用!A:C,3,FALSE))&gt;0,VLOOKUP(表1[[#This Row],[id]],数据引用!A:C,3,FALSE),"")</f>
        <v>本地合作</v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font-size:12;"&gt;本地合作&lt;/text&gt;&lt;text transform="matrix(1 0 0 1 0 10.3205)" style="fill:#FFFFFF; font-family:'FZXS12--GB1-0'; font-size:12;"&gt;本地合作&lt;/text&gt;&lt;/svg&gt;</v>
      </c>
      <c r="P66" s="5"/>
    </row>
    <row r="67" spans="1:16" ht="14.25" customHeight="1">
      <c r="A67">
        <v>66</v>
      </c>
      <c r="B67">
        <v>0</v>
      </c>
      <c r="C67">
        <v>0</v>
      </c>
      <c r="E67" t="s">
        <v>2570</v>
      </c>
      <c r="F67">
        <v>6</v>
      </c>
      <c r="G67" s="1" t="s">
        <v>74</v>
      </c>
      <c r="H67" s="16" t="s">
        <v>2699</v>
      </c>
      <c r="I67" s="18"/>
      <c r="J67" t="str">
        <f>IF(LEN(VLOOKUP(表1[[#This Row],[id]],数据引用!A:C,3,FALSE))&gt;0,VLOOKUP(表1[[#This Row],[id]],数据引用!A:C,3,FALSE),"")</f>
        <v>单人模式</v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font-size:12;"&gt;单人模式&lt;/text&gt;&lt;text transform="matrix(1 0 0 1 0 10.3205)" style="fill:#FFFFFF; font-family:'FZXS12--GB1-0'; font-size:12;"&gt;单人模式&lt;/text&gt;&lt;/svg&gt;</v>
      </c>
      <c r="P67" s="5"/>
    </row>
    <row r="68" spans="1:16" ht="14.25" customHeight="1">
      <c r="A68">
        <v>67</v>
      </c>
      <c r="B68">
        <v>0</v>
      </c>
      <c r="C68">
        <v>0</v>
      </c>
      <c r="E68" t="s">
        <v>2570</v>
      </c>
      <c r="F68">
        <v>6</v>
      </c>
      <c r="G68" s="1" t="s">
        <v>75</v>
      </c>
      <c r="H68" s="16" t="s">
        <v>2700</v>
      </c>
      <c r="I68" s="18"/>
      <c r="J68" t="str">
        <f>IF(LEN(VLOOKUP(表1[[#This Row],[id]],数据引用!A:C,3,FALSE))&gt;0,VLOOKUP(表1[[#This Row],[id]],数据引用!A:C,3,FALSE),"")</f>
        <v>区域1完成：解锁区域2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font-size:12;"&gt;区域1完成：解锁区域2&lt;/text&gt;&lt;text transform="matrix(1 0 0 1 0 10.3205)" style="fill:#FFFFFF; font-family:'FZXS12--GB1-0'; font-size:12;"&gt;区域1完成：解锁区域2&lt;/text&gt;&lt;/svg&gt;</v>
      </c>
      <c r="P68" s="5"/>
    </row>
    <row r="69" spans="1:16" ht="14.25" customHeight="1">
      <c r="A69">
        <v>68</v>
      </c>
      <c r="B69">
        <v>0</v>
      </c>
      <c r="C69">
        <v>0</v>
      </c>
      <c r="E69" t="s">
        <v>2570</v>
      </c>
      <c r="F69">
        <v>6</v>
      </c>
      <c r="G69" s="1" t="s">
        <v>76</v>
      </c>
      <c r="H69" s="16" t="s">
        <v>2701</v>
      </c>
      <c r="I69" s="18"/>
      <c r="J69" t="str">
        <f>IF(LEN(VLOOKUP(表1[[#This Row],[id]],数据引用!A:C,3,FALSE))&gt;0,VLOOKUP(表1[[#This Row],[id]],数据引用!A:C,3,FALSE),"")</f>
        <v>区域2完成：解锁区域3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font-size:12;"&gt;区域2完成：解锁区域3&lt;/text&gt;&lt;text transform="matrix(1 0 0 1 0 10.3205)" style="fill:#FFFFFF; font-family:'FZXS12--GB1-0'; font-size:12;"&gt;区域2完成：解锁区域3&lt;/text&gt;&lt;/svg&gt;</v>
      </c>
      <c r="P69" s="5"/>
    </row>
    <row r="70" spans="1:16" ht="14.25" customHeight="1">
      <c r="A70">
        <v>69</v>
      </c>
      <c r="B70">
        <v>0</v>
      </c>
      <c r="C70">
        <v>0</v>
      </c>
      <c r="E70" t="s">
        <v>2570</v>
      </c>
      <c r="F70">
        <v>6</v>
      </c>
      <c r="G70" s="1" t="s">
        <v>77</v>
      </c>
      <c r="H70" s="16" t="s">
        <v>2702</v>
      </c>
      <c r="I70" s="18"/>
      <c r="J70" t="str">
        <f>IF(LEN(VLOOKUP(表1[[#This Row],[id]],数据引用!A:C,3,FALSE))&gt;0,VLOOKUP(表1[[#This Row],[id]],数据引用!A:C,3,FALSE),"")</f>
        <v>区域3完成：解锁区域3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font-size:12;"&gt;区域3完成：解锁区域3&lt;/text&gt;&lt;text transform="matrix(1 0 0 1 0 10.3205)" style="fill:#FFFFFF; font-family:'FZXS12--GB1-0'; font-size:12;"&gt;区域3完成：解锁区域3&lt;/text&gt;&lt;/svg&gt;</v>
      </c>
      <c r="P70" s="5"/>
    </row>
    <row r="71" spans="1:16" ht="14.25" customHeight="1">
      <c r="A71">
        <v>70</v>
      </c>
      <c r="B71">
        <v>0</v>
      </c>
      <c r="C71">
        <v>0</v>
      </c>
      <c r="E71" t="s">
        <v>2570</v>
      </c>
      <c r="F71">
        <v>6</v>
      </c>
      <c r="G71" s="1" t="s">
        <v>78</v>
      </c>
      <c r="H71" s="16" t="s">
        <v>2703</v>
      </c>
      <c r="I71" s="18"/>
      <c r="J71" t="str">
        <f>IF(LEN(VLOOKUP(表1[[#This Row],[id]],数据引用!A:C,3,FALSE))&gt;0,VLOOKUP(表1[[#This Row],[id]],数据引用!A:C,3,FALSE),"")</f>
        <v>区域4完成：解锁区域3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font-size:12;"&gt;区域4完成：解锁区域3&lt;/text&gt;&lt;text transform="matrix(1 0 0 1 0 10.3205)" style="fill:#FFFFFF; font-family:'FZXS12--GB1-0'; font-size:12;"&gt;区域4完成：解锁区域3&lt;/text&gt;&lt;/svg&gt;</v>
      </c>
      <c r="P71" s="5"/>
    </row>
    <row r="72" spans="1:16" ht="14.25" customHeight="1">
      <c r="A72">
        <v>71</v>
      </c>
      <c r="B72">
        <v>0</v>
      </c>
      <c r="C72">
        <v>0</v>
      </c>
      <c r="E72" t="s">
        <v>2570</v>
      </c>
      <c r="F72">
        <v>6</v>
      </c>
      <c r="G72" s="1" t="s">
        <v>79</v>
      </c>
      <c r="H72" s="16" t="s">
        <v>2704</v>
      </c>
      <c r="I72" s="18"/>
      <c r="J72" t="str">
        <f>IF(LEN(VLOOKUP(表1[[#This Row],[id]],数据引用!A:C,3,FALSE))&gt;0,VLOOKUP(表1[[#This Row],[id]],数据引用!A:C,3,FALSE),"")</f>
        <v>区域3完成：解锁区域2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font-size:12;"&gt;区域3完成：解锁区域2&lt;/text&gt;&lt;text transform="matrix(1 0 0 1 0 10.3205)" style="fill:#FFFFFF; font-family:'FZXS12--GB1-0'; font-size:12;"&gt;区域3完成：解锁区域2&lt;/text&gt;&lt;/svg&gt;</v>
      </c>
      <c r="P72" s="5"/>
    </row>
    <row r="73" spans="1:16" ht="14.25" customHeight="1">
      <c r="A73">
        <v>72</v>
      </c>
      <c r="B73">
        <v>0</v>
      </c>
      <c r="C73">
        <v>0</v>
      </c>
      <c r="E73" t="s">
        <v>2570</v>
      </c>
      <c r="F73">
        <v>6</v>
      </c>
      <c r="G73" s="1" t="s">
        <v>80</v>
      </c>
      <c r="H73" s="16" t="s">
        <v>2705</v>
      </c>
      <c r="I73" s="18"/>
      <c r="J73" t="str">
        <f>IF(LEN(VLOOKUP(表1[[#This Row],[id]],数据引用!A:C,3,FALSE))&gt;0,VLOOKUP(表1[[#This Row],[id]],数据引用!A:C,3,FALSE),"")</f>
        <v>区域2完成：解锁区域1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font-size:12;"&gt;区域2完成：解锁区域1&lt;/text&gt;&lt;text transform="matrix(1 0 0 1 0 10.3205)" style="fill:#FFFFFF; font-family:'FZXS12--GB1-0'; font-size:12;"&gt;区域2完成：解锁区域1&lt;/text&gt;&lt;/svg&gt;</v>
      </c>
      <c r="P73" s="5"/>
    </row>
    <row r="74" spans="1:16" ht="14.25" customHeight="1">
      <c r="A74">
        <v>73</v>
      </c>
      <c r="B74">
        <v>0</v>
      </c>
      <c r="C74">
        <v>0</v>
      </c>
      <c r="E74" t="s">
        <v>2570</v>
      </c>
      <c r="F74">
        <v>6</v>
      </c>
      <c r="G74" s="1" t="s">
        <v>81</v>
      </c>
      <c r="H74" s="16" t="s">
        <v>2706</v>
      </c>
      <c r="I74" s="18"/>
      <c r="J74" t="str">
        <f>IF(LEN(VLOOKUP(表1[[#This Row],[id]],数据引用!A:C,3,FALSE))&gt;0,VLOOKUP(表1[[#This Row],[id]],数据引用!A:C,3,FALSE),"")</f>
        <v>地下城大师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font-size:12;"&gt;地下城大师&lt;/text&gt;&lt;text transform="matrix(1 0 0 1 0 10.3205)" style="fill:#FFFFFF; font-family:'FZXS12--GB1-0'; font-size:12;"&gt;地下城大师&lt;/text&gt;&lt;/svg&gt;</v>
      </c>
      <c r="P74" s="5"/>
    </row>
    <row r="75" spans="1:16" ht="14.25" customHeight="1">
      <c r="A75">
        <v>74</v>
      </c>
      <c r="B75">
        <v>0</v>
      </c>
      <c r="C75">
        <v>0</v>
      </c>
      <c r="E75" t="s">
        <v>2570</v>
      </c>
      <c r="F75">
        <v>6</v>
      </c>
      <c r="G75" s="1" t="s">
        <v>82</v>
      </c>
      <c r="H75" s="16" t="s">
        <v>2707</v>
      </c>
      <c r="I75" s="18"/>
      <c r="J75" t="str">
        <f>IF(LEN(VLOOKUP(表1[[#This Row],[id]],数据引用!A:C,3,FALSE))&gt;0,VLOOKUP(表1[[#This Row],[id]],数据引用!A:C,3,FALSE),"")</f>
        <v>解锁条件：在区域1找到我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font-size:12;"&gt;解锁条件：在区域1找到我&lt;/text&gt;&lt;text transform="matrix(1 0 0 1 0 10.3205)" style="fill:#FFFFFF; font-family:'FZXS12--GB1-0'; font-size:12;"&gt;解锁条件：在区域1找到我&lt;/text&gt;&lt;/svg&gt;</v>
      </c>
      <c r="P75" s="5"/>
    </row>
    <row r="76" spans="1:16" ht="14.25" customHeight="1">
      <c r="A76">
        <v>75</v>
      </c>
      <c r="B76">
        <v>0</v>
      </c>
      <c r="C76">
        <v>0</v>
      </c>
      <c r="E76" t="s">
        <v>2570</v>
      </c>
      <c r="F76">
        <v>6</v>
      </c>
      <c r="G76" s="1" t="s">
        <v>83</v>
      </c>
      <c r="H76" s="16" t="s">
        <v>2708</v>
      </c>
      <c r="I76" s="18"/>
      <c r="J76" t="str">
        <f>IF(LEN(VLOOKUP(表1[[#This Row],[id]],数据引用!A:C,3,FALSE))&gt;0,VLOOKUP(表1[[#This Row],[id]],数据引用!A:C,3,FALSE),"")</f>
        <v>这些物品将会加入你的掉落库</v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font-size:12;"&gt;这些物品将会加入你的掉落库&lt;/text&gt;&lt;text transform="matrix(1 0 0 1 0 10.3205)" style="fill:#FFFFFF; font-family:'FZXS12--GB1-0'; font-size:12;"&gt;这些物品将会加入你的掉落库&lt;/text&gt;&lt;/svg&gt;</v>
      </c>
      <c r="P76" s="5"/>
    </row>
    <row r="77" spans="1:16" ht="14.25" customHeight="1">
      <c r="A77">
        <v>76</v>
      </c>
      <c r="B77">
        <v>0</v>
      </c>
      <c r="C77">
        <v>0</v>
      </c>
      <c r="E77" t="s">
        <v>2570</v>
      </c>
      <c r="F77">
        <v>6</v>
      </c>
      <c r="G77" s="1" t="s">
        <v>1380</v>
      </c>
      <c r="H77" s="16" t="s">
        <v>2709</v>
      </c>
      <c r="I77" s="18"/>
      <c r="J77" t="str">
        <f>IF(LEN(VLOOKUP(表1[[#This Row],[id]],数据引用!A:C,3,FALSE))&gt;0,VLOOKUP(表1[[#This Row],[id]],数据引用!A:C,3,FALSE),"")</f>
        <v>驯兽师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font-size:12;"&gt;驯兽师&lt;/text&gt;&lt;text transform="matrix(1 0 0 1 0 10.3205)" style="fill:#FFFFFF; font-family:'FZXS12--GB1-0'; font-size:12;"&gt;驯兽师&lt;/text&gt;&lt;/svg&gt;</v>
      </c>
      <c r="P77" s="5"/>
    </row>
    <row r="78" spans="1:16" ht="14.25" customHeight="1">
      <c r="A78">
        <v>77</v>
      </c>
      <c r="B78">
        <v>0</v>
      </c>
      <c r="C78">
        <v>0</v>
      </c>
      <c r="E78" t="s">
        <v>2570</v>
      </c>
      <c r="F78">
        <v>6</v>
      </c>
      <c r="G78" s="1" t="s">
        <v>84</v>
      </c>
      <c r="H78" s="16" t="s">
        <v>2710</v>
      </c>
      <c r="I78" s="18"/>
      <c r="J78" t="str">
        <f>IF(LEN(VLOOKUP(表1[[#This Row],[id]],数据引用!A:C,3,FALSE))&gt;0,VLOOKUP(表1[[#This Row],[id]],数据引用!A:C,3,FALSE),"")</f>
        <v>怪物领主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font-size:12;"&gt;怪物领主&lt;/text&gt;&lt;text transform="matrix(1 0 0 1 0 10.3205)" style="fill:#FFFFFF; font-family:'FZXS12--GB1-0'; font-size:12;"&gt;怪物领主&lt;/text&gt;&lt;/svg&gt;</v>
      </c>
      <c r="P78" s="5"/>
    </row>
    <row r="79" spans="1:16" ht="14.25" customHeight="1">
      <c r="A79">
        <v>78</v>
      </c>
      <c r="B79">
        <v>0</v>
      </c>
      <c r="C79">
        <v>0</v>
      </c>
      <c r="E79" t="s">
        <v>2570</v>
      </c>
      <c r="F79">
        <v>6</v>
      </c>
      <c r="G79" s="1" t="s">
        <v>85</v>
      </c>
      <c r="H79" s="16" t="s">
        <v>2711</v>
      </c>
      <c r="I79" s="18"/>
      <c r="J79" t="str">
        <f>IF(LEN(VLOOKUP(表1[[#This Row],[id]],数据引用!A:C,3,FALSE))&gt;0,VLOOKUP(表1[[#This Row],[id]],数据引用!A:C,3,FALSE),"")</f>
        <v>挑个boss来做你的陪练吧</v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font-size:12;"&gt;挑个boss来做你的陪练吧&lt;/text&gt;&lt;text transform="matrix(1 0 0 1 0 10.3205)" style="fill:#FFFFFF; font-family:'FZXS12--GB1-0'; font-size:12;"&gt;挑个boss来做你的陪练吧&lt;/text&gt;&lt;/svg&gt;</v>
      </c>
      <c r="P79" s="5"/>
    </row>
    <row r="80" spans="1:16" ht="14.25" customHeight="1">
      <c r="A80">
        <v>79</v>
      </c>
      <c r="B80">
        <v>0</v>
      </c>
      <c r="C80">
        <v>0</v>
      </c>
      <c r="E80" t="s">
        <v>2570</v>
      </c>
      <c r="F80">
        <v>6</v>
      </c>
      <c r="G80" s="8" t="s">
        <v>86</v>
      </c>
      <c r="H80" s="15" t="s">
        <v>2712</v>
      </c>
      <c r="I80" s="18"/>
      <c r="J80" t="str">
        <f>IF(LEN(VLOOKUP(表1[[#This Row],[id]],数据引用!A:C,3,FALSE))&gt;0,VLOOKUP(表1[[#This Row],[id]],数据引用!A:C,3,FALSE),"")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0" t="s">
        <v>1400</v>
      </c>
      <c r="P80" s="5"/>
    </row>
    <row r="81" spans="1:16" ht="14.25" customHeight="1">
      <c r="A81">
        <v>80</v>
      </c>
      <c r="B81">
        <v>0</v>
      </c>
      <c r="C81">
        <v>0</v>
      </c>
      <c r="E81" t="s">
        <v>2570</v>
      </c>
      <c r="F81">
        <v>6</v>
      </c>
      <c r="G81" s="8" t="s">
        <v>87</v>
      </c>
      <c r="H81" s="15" t="s">
        <v>2713</v>
      </c>
      <c r="I81" s="18"/>
      <c r="J81" t="str">
        <f>IF(LEN(VLOOKUP(表1[[#This Row],[id]],数据引用!A:C,3,FALSE))&gt;0,VLOOKUP(表1[[#This Row],[id]],数据引用!A:C,3,FALSE),"")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1" t="s">
        <v>1400</v>
      </c>
      <c r="P81" s="5"/>
    </row>
    <row r="82" spans="1:16" ht="14.25" customHeight="1">
      <c r="A82">
        <v>81</v>
      </c>
      <c r="B82">
        <v>0</v>
      </c>
      <c r="C82">
        <v>0</v>
      </c>
      <c r="E82" t="s">
        <v>2570</v>
      </c>
      <c r="F82">
        <v>6</v>
      </c>
      <c r="G82" s="1" t="s">
        <v>88</v>
      </c>
      <c r="H82" s="16" t="s">
        <v>2714</v>
      </c>
      <c r="I82" s="18"/>
      <c r="J82" t="str">
        <f>IF(LEN(VLOOKUP(表1[[#This Row],[id]],数据引用!A:C,3,FALSE))&gt;0,VLOOKUP(表1[[#This Row],[id]],数据引用!A:C,3,FALSE),"")</f>
        <v>武器大师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font-size:12;"&gt;武器大师&lt;/text&gt;&lt;text transform="matrix(1 0 0 1 0 10.3205)" style="fill:#FFFFFF; font-family:'FZXS12--GB1-0'; font-size:12;"&gt;武器大师&lt;/text&gt;&lt;/svg&gt;</v>
      </c>
      <c r="P82" s="5"/>
    </row>
    <row r="83" spans="1:16" ht="14.25" customHeight="1">
      <c r="A83">
        <v>82</v>
      </c>
      <c r="B83">
        <v>0</v>
      </c>
      <c r="C83">
        <v>0</v>
      </c>
      <c r="E83" t="s">
        <v>2570</v>
      </c>
      <c r="F83">
        <v>6</v>
      </c>
      <c r="G83" s="1" t="s">
        <v>89</v>
      </c>
      <c r="H83" s="16" t="s">
        <v>2715</v>
      </c>
      <c r="I83" s="18"/>
      <c r="J83" t="str">
        <f>IF(LEN(VLOOKUP(表1[[#This Row],[id]],数据引用!A:C,3,FALSE))&gt;0,VLOOKUP(表1[[#This Row],[id]],数据引用!A:C,3,FALSE),"")</f>
        <v>解锁条件：搜索区域2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font-size:12;"&gt;解锁条件：搜索区域2&lt;/text&gt;&lt;text transform="matrix(1 0 0 1 0 10.3205)" style="fill:#FFFFFF; font-family:'FZXS12--GB1-0'; font-size:12;"&gt;解锁条件：搜索区域2&lt;/text&gt;&lt;/svg&gt;</v>
      </c>
      <c r="P83" s="5"/>
    </row>
    <row r="84" spans="1:16" ht="14.25" customHeight="1">
      <c r="A84">
        <v>83</v>
      </c>
      <c r="B84">
        <v>0</v>
      </c>
      <c r="C84">
        <v>0</v>
      </c>
      <c r="E84" t="s">
        <v>2570</v>
      </c>
      <c r="F84">
        <v>6</v>
      </c>
      <c r="G84" s="1" t="s">
        <v>90</v>
      </c>
      <c r="H84" s="15" t="s">
        <v>2716</v>
      </c>
      <c r="I84" s="18"/>
      <c r="J84" t="str">
        <f>IF(LEN(VLOOKUP(表1[[#This Row],[id]],数据引用!A:C,3,FALSE))&gt;0,VLOOKUP(表1[[#This Row],[id]],数据引用!A:C,3,FALSE),"")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" t="s">
        <v>1400</v>
      </c>
      <c r="P84" s="5"/>
    </row>
    <row r="85" spans="1:16" ht="14.25" customHeight="1">
      <c r="A85">
        <v>84</v>
      </c>
      <c r="B85">
        <v>0</v>
      </c>
      <c r="C85">
        <v>0</v>
      </c>
      <c r="E85" t="s">
        <v>2570</v>
      </c>
      <c r="F85">
        <v>6</v>
      </c>
      <c r="G85" s="1" t="s">
        <v>91</v>
      </c>
      <c r="H85" s="16" t="s">
        <v>2717</v>
      </c>
      <c r="I85" s="18"/>
      <c r="J85" t="str">
        <f>IF(LEN(VLOOKUP(表1[[#This Row],[id]],数据引用!A:C,3,FALSE))&gt;0,VLOOKUP(表1[[#This Row],[id]],数据引用!A:C,3,FALSE),"")</f>
        <v>基本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font-size:12;"&gt;基本&lt;/text&gt;&lt;text transform="matrix(1 0 0 1 0 10.3205)" style="fill:#FFFFFF; font-family:'FZXS12--GB1-0'; font-size:12;"&gt;基本&lt;/text&gt;&lt;/svg&gt;</v>
      </c>
      <c r="P85" s="5"/>
    </row>
    <row r="86" spans="1:16" ht="14.25" customHeight="1">
      <c r="A86">
        <v>85</v>
      </c>
      <c r="B86">
        <v>0</v>
      </c>
      <c r="C86">
        <v>0</v>
      </c>
      <c r="E86" t="s">
        <v>2570</v>
      </c>
      <c r="F86">
        <v>6</v>
      </c>
      <c r="G86" s="1" t="s">
        <v>92</v>
      </c>
      <c r="H86" s="16" t="s">
        <v>2718</v>
      </c>
      <c r="I86" s="18"/>
      <c r="J86" t="str">
        <f>IF(LEN(VLOOKUP(表1[[#This Row],[id]],数据引用!A:C,3,FALSE))&gt;0,VLOOKUP(表1[[#This Row],[id]],数据引用!A:C,3,FALSE),"")</f>
        <v>黄金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P86" s="5"/>
    </row>
    <row r="87" spans="1:16" ht="14.25" customHeight="1">
      <c r="A87">
        <v>86</v>
      </c>
      <c r="B87">
        <v>0</v>
      </c>
      <c r="C87">
        <v>0</v>
      </c>
      <c r="E87" t="s">
        <v>2570</v>
      </c>
      <c r="F87">
        <v>6</v>
      </c>
      <c r="G87" s="1" t="s">
        <v>93</v>
      </c>
      <c r="H87" s="16" t="s">
        <v>2719</v>
      </c>
      <c r="I87" s="18"/>
      <c r="J87" t="str">
        <f>IF(LEN(VLOOKUP(表1[[#This Row],[id]],数据引用!A:C,3,FALSE))&gt;0,VLOOKUP(表1[[#This Row],[id]],数据引用!A:C,3,FALSE),"")</f>
        <v>玻璃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font-size:12;"&gt;玻璃&lt;/text&gt;&lt;text transform="matrix(1 0 0 1 0 10.3205)" style="fill:#FFFFFF; font-family:'FZXS12--GB1-0'; font-size:12;"&gt;玻璃&lt;/text&gt;&lt;/svg&gt;</v>
      </c>
      <c r="P87" s="5"/>
    </row>
    <row r="88" spans="1:16" ht="14.25" customHeight="1">
      <c r="A88">
        <v>87</v>
      </c>
      <c r="B88">
        <v>0</v>
      </c>
      <c r="C88">
        <v>0</v>
      </c>
      <c r="E88" t="s">
        <v>2570</v>
      </c>
      <c r="F88">
        <v>6</v>
      </c>
      <c r="G88" s="1" t="s">
        <v>94</v>
      </c>
      <c r="H88" s="16" t="s">
        <v>2720</v>
      </c>
      <c r="I88" s="18"/>
      <c r="J88" t="str">
        <f>IF(LEN(VLOOKUP(表1[[#This Row],[id]],数据引用!A:C,3,FALSE))&gt;0,VLOOKUP(表1[[#This Row],[id]],数据引用!A:C,3,FALSE),"")</f>
        <v>鲜血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font-size:12;"&gt;鲜血&lt;/text&gt;&lt;text transform="matrix(1 0 0 1 0 10.3205)" style="fill:#FFFFFF; font-family:'FZXS12--GB1-0'; font-size:12;"&gt;鲜血&lt;/text&gt;&lt;/svg&gt;</v>
      </c>
      <c r="P88" s="5"/>
    </row>
    <row r="89" spans="1:16" ht="14.25" customHeight="1">
      <c r="A89">
        <v>88</v>
      </c>
      <c r="B89">
        <v>0</v>
      </c>
      <c r="C89">
        <v>0</v>
      </c>
      <c r="E89" t="s">
        <v>2570</v>
      </c>
      <c r="F89">
        <v>6</v>
      </c>
      <c r="G89" s="1" t="s">
        <v>95</v>
      </c>
      <c r="H89" s="16" t="s">
        <v>2721</v>
      </c>
      <c r="I89" s="18"/>
      <c r="J89" t="str">
        <f>IF(LEN(VLOOKUP(表1[[#This Row],[id]],数据引用!A:C,3,FALSE))&gt;0,VLOOKUP(表1[[#This Row],[id]],数据引用!A:C,3,FALSE),"")</f>
        <v>黑曜石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font-size:12;"&gt;黑曜石&lt;/text&gt;&lt;text transform="matrix(1 0 0 1 0 10.3205)" style="fill:#FFFFFF; font-family:'FZXS12--GB1-0'; font-size:12;"&gt;黑曜石&lt;/text&gt;&lt;/svg&gt;</v>
      </c>
      <c r="P89" s="5"/>
    </row>
    <row r="90" spans="1:16" ht="14.25" customHeight="1">
      <c r="A90">
        <v>89</v>
      </c>
      <c r="B90">
        <v>0</v>
      </c>
      <c r="C90">
        <v>0</v>
      </c>
      <c r="E90" t="s">
        <v>2570</v>
      </c>
      <c r="F90">
        <v>6</v>
      </c>
      <c r="G90" s="1" t="s">
        <v>96</v>
      </c>
      <c r="H90" s="16" t="s">
        <v>2722</v>
      </c>
      <c r="I90" s="18"/>
      <c r="J90" t="str">
        <f>IF(LEN(VLOOKUP(表1[[#This Row],[id]],数据引用!A:C,3,FALSE))&gt;0,VLOOKUP(表1[[#This Row],[id]],数据引用!A:C,3,FALSE),"")</f>
        <v>钛金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font-size:12;"&gt;钛金&lt;/text&gt;&lt;text transform="matrix(1 0 0 1 0 10.3205)" style="fill:#FFFFFF; font-family:'FZXS12--GB1-0'; font-size:12;"&gt;钛金&lt;/text&gt;&lt;/svg&gt;</v>
      </c>
      <c r="P90" s="5"/>
    </row>
    <row r="91" spans="1:16" ht="14.25" customHeight="1">
      <c r="A91">
        <v>90</v>
      </c>
      <c r="B91">
        <v>0</v>
      </c>
      <c r="C91">
        <v>0</v>
      </c>
      <c r="E91" t="s">
        <v>2570</v>
      </c>
      <c r="F91">
        <v>6</v>
      </c>
      <c r="G91" s="1" t="s">
        <v>97</v>
      </c>
      <c r="H91" s="16" t="s">
        <v>2723</v>
      </c>
      <c r="I91" s="18"/>
      <c r="J91" t="str">
        <f>IF(LEN(VLOOKUP(表1[[#This Row],[id]],数据引用!A:C,3,FALSE))&gt;0,VLOOKUP(表1[[#This Row],[id]],数据引用!A:C,3,FALSE),"")</f>
        <v>法典</v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font-size:12;"&gt;法典&lt;/text&gt;&lt;text transform="matrix(1 0 0 1 0 10.3205)" style="fill:#FFFFFF; font-family:'FZXS12--GB1-0'; font-size:12;"&gt;法典&lt;/text&gt;&lt;/svg&gt;</v>
      </c>
      <c r="P91" s="5"/>
    </row>
    <row r="92" spans="1:16" ht="14.25" customHeight="1">
      <c r="A92">
        <v>91</v>
      </c>
      <c r="B92">
        <v>0</v>
      </c>
      <c r="C92">
        <v>0</v>
      </c>
      <c r="E92" t="s">
        <v>2570</v>
      </c>
      <c r="F92">
        <v>6</v>
      </c>
      <c r="G92" s="1" t="s">
        <v>98</v>
      </c>
      <c r="H92" s="16" t="s">
        <v>2724</v>
      </c>
      <c r="I92" s="18"/>
      <c r="J92" t="str">
        <f>IF(LEN(VLOOKUP(表1[[#This Row],[id]],数据引用!A:C,3,FALSE))&gt;0,VLOOKUP(表1[[#This Row],[id]],数据引用!A:C,3,FALSE),"")</f>
        <v>学习更高级的技巧</v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font-size:12;"&gt;学习更高级的技巧&lt;/text&gt;&lt;text transform="matrix(1 0 0 1 0 10.3205)" style="fill:#FFFFFF; font-family:'FZXS12--GB1-0'; font-size:12;"&gt;学习更高级的技巧&lt;/text&gt;&lt;/svg&gt;</v>
      </c>
      <c r="P92" s="5"/>
    </row>
    <row r="93" spans="1:16" ht="14.25" customHeight="1">
      <c r="A93">
        <v>92</v>
      </c>
      <c r="B93">
        <v>0</v>
      </c>
      <c r="C93">
        <v>0</v>
      </c>
      <c r="E93" t="s">
        <v>2570</v>
      </c>
      <c r="F93">
        <v>6</v>
      </c>
      <c r="G93" s="1" t="s">
        <v>99</v>
      </c>
      <c r="H93" s="16" t="s">
        <v>2725</v>
      </c>
      <c r="I93" s="18"/>
      <c r="J93" t="str">
        <f>IF(LEN(VLOOKUP(表1[[#This Row],[id]],数据引用!A:C,3,FALSE))&gt;0,VLOOKUP(表1[[#This Row],[id]],数据引用!A:C,3,FALSE),"")</f>
        <v>龙的传说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font-size:12;"&gt;龙的传说&lt;/text&gt;&lt;text transform="matrix(1 0 0 1 0 10.3205)" style="fill:#FFFFFF; font-family:'FZXS12--GB1-0'; font-size:12;"&gt;龙的传说&lt;/text&gt;&lt;/svg&gt;</v>
      </c>
      <c r="P93" s="5"/>
    </row>
    <row r="94" spans="1:16" ht="14.25" customHeight="1">
      <c r="A94">
        <v>93</v>
      </c>
      <c r="B94">
        <v>0</v>
      </c>
      <c r="C94">
        <v>0</v>
      </c>
      <c r="E94" t="s">
        <v>2570</v>
      </c>
      <c r="F94">
        <v>6</v>
      </c>
      <c r="G94" s="1" t="s">
        <v>1384</v>
      </c>
      <c r="H94" s="16" t="s">
        <v>2726</v>
      </c>
      <c r="I94" s="18"/>
      <c r="J94" t="str">
        <f>IF(LEN(VLOOKUP(表1[[#This Row],[id]],数据引用!A:C,3,FALSE))&gt;0,VLOOKUP(表1[[#This Row],[id]],数据引用!A:C,3,FALSE),"")</f>
        <v>陷阱大师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font-size:12;"&gt;陷阱大师&lt;/text&gt;&lt;text transform="matrix(1 0 0 1 0 10.3205)" style="fill:#FFFFFF; font-family:'FZXS12--GB1-0'; font-size:12;"&gt;陷阱大师&lt;/text&gt;&lt;/svg&gt;</v>
      </c>
      <c r="P94" s="5"/>
    </row>
    <row r="95" spans="1:16" ht="14.25" customHeight="1">
      <c r="A95">
        <v>94</v>
      </c>
      <c r="B95">
        <v>0</v>
      </c>
      <c r="C95">
        <v>0</v>
      </c>
      <c r="E95" t="s">
        <v>2570</v>
      </c>
      <c r="F95">
        <v>6</v>
      </c>
      <c r="G95" s="1" t="s">
        <v>100</v>
      </c>
      <c r="H95" s="16" t="s">
        <v>2727</v>
      </c>
      <c r="I95" s="18"/>
      <c r="J95" t="str">
        <f>IF(LEN(VLOOKUP(表1[[#This Row],[id]],数据引用!A:C,3,FALSE))&gt;0,VLOOKUP(表1[[#This Row],[id]],数据引用!A:C,3,FALSE),"")</f>
        <v>爆炸大师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font-size:12;"&gt;爆炸大师&lt;/text&gt;&lt;text transform="matrix(1 0 0 1 0 10.3205)" style="fill:#FFFFFF; font-family:'FZXS12--GB1-0'; font-size:12;"&gt;爆炸大师&lt;/text&gt;&lt;/svg&gt;</v>
      </c>
      <c r="P95" s="5"/>
    </row>
    <row r="96" spans="1:16" ht="14.25" customHeight="1">
      <c r="A96">
        <v>95</v>
      </c>
      <c r="B96">
        <v>0</v>
      </c>
      <c r="C96">
        <v>0</v>
      </c>
      <c r="E96" t="s">
        <v>2570</v>
      </c>
      <c r="F96">
        <v>6</v>
      </c>
      <c r="G96" s="1" t="s">
        <v>101</v>
      </c>
      <c r="H96" s="16" t="s">
        <v>2728</v>
      </c>
      <c r="I96" s="18"/>
      <c r="J96" t="str">
        <f>IF(LEN(VLOOKUP(表1[[#This Row],[id]],数据引用!A:C,3,FALSE))&gt;0,VLOOKUP(表1[[#This Row],[id]],数据引用!A:C,3,FALSE),"")</f>
        <v>如何不在地下城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font-size:12;"&gt;如何不在地下城&lt;/text&gt;&lt;text transform="matrix(1 0 0 1 0 10.3205)" style="fill:#FFFFFF; font-family:'FZXS12--GB1-0'; font-size:12;"&gt;如何不在地下城&lt;/text&gt;&lt;/svg&gt;</v>
      </c>
      <c r="P96" s="5"/>
    </row>
    <row r="97" spans="1:16" ht="14.25" customHeight="1">
      <c r="A97">
        <v>96</v>
      </c>
      <c r="B97">
        <v>0</v>
      </c>
      <c r="C97">
        <v>0</v>
      </c>
      <c r="E97" t="s">
        <v>2570</v>
      </c>
      <c r="F97">
        <v>6</v>
      </c>
      <c r="G97" s="1" t="s">
        <v>102</v>
      </c>
      <c r="H97" s="16" t="s">
        <v>2729</v>
      </c>
      <c r="I97" s="18"/>
      <c r="J97" t="str">
        <f>IF(LEN(VLOOKUP(表1[[#This Row],[id]],数据引用!A:C,3,FALSE))&gt;0,VLOOKUP(表1[[#This Row],[id]],数据引用!A:C,3,FALSE),"")</f>
        <v>被干掉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font-size:12;"&gt;被干掉&lt;/text&gt;&lt;text transform="matrix(1 0 0 1 0 10.3205)" style="fill:#FFFFFF; font-family:'FZXS12--GB1-0'; font-size:12;"&gt;被干掉&lt;/text&gt;&lt;/svg&gt;</v>
      </c>
      <c r="P97" s="5"/>
    </row>
    <row r="98" spans="1:16" ht="14.25" customHeight="1">
      <c r="A98">
        <v>97</v>
      </c>
      <c r="B98">
        <v>0</v>
      </c>
      <c r="C98">
        <v>0</v>
      </c>
      <c r="E98" t="s">
        <v>2570</v>
      </c>
      <c r="F98">
        <v>6</v>
      </c>
      <c r="G98" s="1" t="s">
        <v>103</v>
      </c>
      <c r="H98" s="16" t="s">
        <v>2730</v>
      </c>
      <c r="I98" s="18"/>
      <c r="J98" t="str">
        <f>IF(LEN(VLOOKUP(表1[[#This Row],[id]],数据引用!A:C,3,FALSE))&gt;0,VLOOKUP(表1[[#This Row],[id]],数据引用!A:C,3,FALSE),"")</f>
        <v>看门人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font-size:12;"&gt;看门人&lt;/text&gt;&lt;text transform="matrix(1 0 0 1 0 10.3205)" style="fill:#FFFFFF; font-family:'FZXS12--GB1-0'; font-size:12;"&gt;看门人&lt;/text&gt;&lt;/svg&gt;</v>
      </c>
      <c r="P98" s="5"/>
    </row>
    <row r="99" spans="1:16" ht="14.25" customHeight="1">
      <c r="A99">
        <v>98</v>
      </c>
      <c r="B99">
        <v>0</v>
      </c>
      <c r="C99">
        <v>0</v>
      </c>
      <c r="E99" t="s">
        <v>2570</v>
      </c>
      <c r="F99">
        <v>6</v>
      </c>
      <c r="G99" s="1" t="s">
        <v>104</v>
      </c>
      <c r="H99" s="16" t="s">
        <v>2731</v>
      </c>
      <c r="I99" s="18"/>
      <c r="J99" t="str">
        <f>IF(LEN(VLOOKUP(表1[[#This Row],[id]],数据引用!A:C,3,FALSE))&gt;0,VLOOKUP(表1[[#This Row],[id]],数据引用!A:C,3,FALSE),"")</f>
        <v>将物品从下一次挑战中移除？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font-size:12;"&gt;将物品从下一次挑战中移除？&lt;/text&gt;&lt;text transform="matrix(1 0 0 1 0 10.3205)" style="fill:#FFFFFF; font-family:'FZXS12--GB1-0'; font-size:12;"&gt;将物品从下一次挑战中移除？&lt;/text&gt;&lt;/svg&gt;</v>
      </c>
      <c r="P99" s="5"/>
    </row>
    <row r="100" spans="1:16" ht="14.25" customHeight="1">
      <c r="A100">
        <v>99</v>
      </c>
      <c r="B100">
        <v>0</v>
      </c>
      <c r="C100">
        <v>0</v>
      </c>
      <c r="E100" t="s">
        <v>2570</v>
      </c>
      <c r="F100">
        <v>6</v>
      </c>
      <c r="G100" s="1" t="s">
        <v>105</v>
      </c>
      <c r="H100" s="16" t="s">
        <v>2732</v>
      </c>
      <c r="I100" s="18"/>
      <c r="J100" t="str">
        <f>IF(LEN(VLOOKUP(表1[[#This Row],[id]],数据引用!A:C,3,FALSE))&gt;0,VLOOKUP(表1[[#This Row],[id]],数据引用!A:C,3,FALSE),"")</f>
        <v>（不包括全区域挑战）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P100" s="5"/>
    </row>
    <row r="101" spans="1:16" ht="14.25" customHeight="1">
      <c r="A101">
        <v>100</v>
      </c>
      <c r="B101">
        <v>0</v>
      </c>
      <c r="C101">
        <v>0</v>
      </c>
      <c r="E101" t="s">
        <v>2570</v>
      </c>
      <c r="F101">
        <v>6</v>
      </c>
      <c r="G101" s="1" t="s">
        <v>106</v>
      </c>
      <c r="H101" s="16" t="s">
        <v>2733</v>
      </c>
      <c r="I101" s="18"/>
      <c r="J101" t="str">
        <f>IF(LEN(VLOOKUP(表1[[#This Row],[id]],数据引用!A:C,3,FALSE))&gt;0,VLOOKUP(表1[[#This Row],[id]],数据引用!A:C,3,FALSE),"")</f>
        <v>钻石商人</v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font-size:12;"&gt;钻石商人&lt;/text&gt;&lt;text transform="matrix(1 0 0 1 0 10.3205)" style="fill:#FFFFFF; font-family:'FZXS12--GB1-0'; font-size:12;"&gt;钻石商人&lt;/text&gt;&lt;/svg&gt;</v>
      </c>
      <c r="P101" s="5"/>
    </row>
    <row r="102" spans="1:16" ht="14.25" customHeight="1">
      <c r="A102">
        <v>101</v>
      </c>
      <c r="B102">
        <v>0</v>
      </c>
      <c r="C102">
        <v>0</v>
      </c>
      <c r="E102" t="s">
        <v>2570</v>
      </c>
      <c r="F102">
        <v>6</v>
      </c>
      <c r="G102" s="1" t="s">
        <v>107</v>
      </c>
      <c r="H102" s="16" t="s">
        <v>2734</v>
      </c>
      <c r="I102" s="18"/>
      <c r="J102" t="str">
        <f>IF(LEN(VLOOKUP(表1[[#This Row],[id]],数据引用!A:C,3,FALSE))&gt;0,VLOOKUP(表1[[#This Row],[id]],数据引用!A:C,3,FALSE),"")</f>
        <v>解锁条件：在区域2找到我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font-size:12;"&gt;解锁条件：在区域2找到我&lt;/text&gt;&lt;text transform="matrix(1 0 0 1 0 10.3205)" style="fill:#FFFFFF; font-family:'FZXS12--GB1-0'; font-size:12;"&gt;解锁条件：在区域2找到我&lt;/text&gt;&lt;/svg&gt;</v>
      </c>
      <c r="P102" s="5"/>
    </row>
    <row r="103" spans="1:16" ht="14.25" customHeight="1">
      <c r="A103">
        <v>102</v>
      </c>
      <c r="B103">
        <v>0</v>
      </c>
      <c r="C103">
        <v>0</v>
      </c>
      <c r="E103" t="s">
        <v>2570</v>
      </c>
      <c r="F103">
        <v>6</v>
      </c>
      <c r="G103" s="1" t="s">
        <v>108</v>
      </c>
      <c r="H103" s="16" t="s">
        <v>2735</v>
      </c>
      <c r="I103" s="18"/>
      <c r="J103" t="str">
        <f>IF(LEN(VLOOKUP(表1[[#This Row],[id]],数据引用!A:C,3,FALSE))&gt;0,VLOOKUP(表1[[#This Row],[id]],数据引用!A:C,3,FALSE),"")</f>
        <v>购买下次冒险中的初始装备</v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font-size:12;"&gt;购买下次冒险中的初始装备&lt;/text&gt;&lt;text transform="matrix(1 0 0 1 0 10.3205)" style="fill:#FFFFFF; font-family:'FZXS12--GB1-0'; font-size:12;"&gt;购买下次冒险中的初始装备&lt;/text&gt;&lt;/svg&gt;</v>
      </c>
      <c r="P103" s="5"/>
    </row>
    <row r="104" spans="1:16" ht="14.25" customHeight="1">
      <c r="A104">
        <v>103</v>
      </c>
      <c r="B104">
        <v>0</v>
      </c>
      <c r="C104">
        <v>0</v>
      </c>
      <c r="E104" t="s">
        <v>2570</v>
      </c>
      <c r="F104">
        <v>6</v>
      </c>
      <c r="G104" s="1" t="s">
        <v>109</v>
      </c>
      <c r="H104" s="16" t="s">
        <v>2736</v>
      </c>
      <c r="I104" s="18"/>
      <c r="J104" t="str">
        <f>IF(LEN(VLOOKUP(表1[[#This Row],[id]],数据引用!A:C,3,FALSE))&gt;0,VLOOKUP(表1[[#This Row],[id]],数据引用!A:C,3,FALSE),"")</f>
        <v>（不包括全区域挑战）</v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P104" s="5"/>
    </row>
    <row r="105" spans="1:16" ht="14.25" customHeight="1">
      <c r="A105">
        <v>104</v>
      </c>
      <c r="B105">
        <v>0</v>
      </c>
      <c r="C105">
        <v>0</v>
      </c>
      <c r="E105" t="s">
        <v>2570</v>
      </c>
      <c r="F105">
        <v>6</v>
      </c>
      <c r="G105" s="1" t="s">
        <v>110</v>
      </c>
      <c r="H105" s="16" t="s">
        <v>2737</v>
      </c>
      <c r="I105" s="18"/>
      <c r="J105" t="str">
        <f>IF(LEN(VLOOKUP(表1[[#This Row],[id]],数据引用!A:C,3,FALSE))&gt;0,VLOOKUP(表1[[#This Row],[id]],数据引用!A:C,3,FALSE),"")</f>
        <v>随机人物模式</v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font-size:12;"&gt;随机人物模式&lt;/text&gt;&lt;text transform="matrix(1 0 0 1 0 10.3205)" style="fill:#FFFFFF; font-family:'FZXS12--GB1-0'; font-size:12;"&gt;随机人物模式&lt;/text&gt;&lt;/svg&gt;</v>
      </c>
      <c r="P105" s="5"/>
    </row>
    <row r="106" spans="1:16" ht="14.25" customHeight="1">
      <c r="A106">
        <v>105</v>
      </c>
      <c r="B106">
        <v>0</v>
      </c>
      <c r="C106">
        <v>0</v>
      </c>
      <c r="E106" t="s">
        <v>2570</v>
      </c>
      <c r="F106">
        <v>6</v>
      </c>
      <c r="G106" s="13" t="s">
        <v>64</v>
      </c>
      <c r="H106" s="15" t="s">
        <v>2738</v>
      </c>
      <c r="I106" s="18"/>
      <c r="J106" t="str">
        <f>IF(LEN(VLOOKUP(表1[[#This Row],[id]],数据引用!A:C,3,FALSE))&gt;0,VLOOKUP(表1[[#This Row],[id]],数据引用!A:C,3,FALSE),"")</f>
        <v>NULL</v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6" s="5"/>
    </row>
    <row r="107" spans="1:16" ht="14.25" customHeight="1">
      <c r="A107">
        <v>106</v>
      </c>
      <c r="B107">
        <v>0</v>
      </c>
      <c r="C107">
        <v>0</v>
      </c>
      <c r="E107" t="s">
        <v>2570</v>
      </c>
      <c r="F107">
        <v>6</v>
      </c>
      <c r="G107" s="1" t="s">
        <v>111</v>
      </c>
      <c r="H107" s="16" t="s">
        <v>2739</v>
      </c>
      <c r="I107" s="18"/>
      <c r="J107" t="str">
        <f>IF(LEN(VLOOKUP(表1[[#This Row],[id]],数据引用!A:C,3,FALSE))&gt;0,VLOOKUP(表1[[#This Row],[id]],数据引用!A:C,3,FALSE),"")</f>
        <v>全角色模式</v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P107" s="5"/>
    </row>
    <row r="108" spans="1:16" ht="14.25" customHeight="1">
      <c r="A108">
        <v>107</v>
      </c>
      <c r="B108">
        <v>0</v>
      </c>
      <c r="C108">
        <v>0</v>
      </c>
      <c r="E108" t="s">
        <v>2570</v>
      </c>
      <c r="F108">
        <v>6</v>
      </c>
      <c r="G108" s="1" t="s">
        <v>112</v>
      </c>
      <c r="H108" s="16" t="s">
        <v>2740</v>
      </c>
      <c r="I108" s="18"/>
      <c r="J108" t="str">
        <f>IF(LEN(VLOOKUP(表1[[#This Row],[id]],数据引用!A:C,3,FALSE))&gt;0,VLOOKUP(表1[[#This Row],[id]],数据引用!A:C,3,FALSE),"")</f>
        <v>(CODA除外)</v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font-size:12;"&gt;(CODA除外)&lt;/text&gt;&lt;text transform="matrix(1 0 0 1 0 10.3205)" style="fill:#FFFFFF; font-family:'FZXS12--GB1-0'; font-size:12;"&gt;(CODA除外)&lt;/text&gt;&lt;/svg&gt;</v>
      </c>
      <c r="P108" s="5"/>
    </row>
    <row r="109" spans="1:16" ht="14.25" customHeight="1">
      <c r="A109">
        <v>108</v>
      </c>
      <c r="B109">
        <v>0</v>
      </c>
      <c r="C109">
        <v>0</v>
      </c>
      <c r="E109" t="s">
        <v>2570</v>
      </c>
      <c r="F109">
        <v>6</v>
      </c>
      <c r="G109" s="1" t="s">
        <v>113</v>
      </c>
      <c r="H109" s="16" t="s">
        <v>2741</v>
      </c>
      <c r="I109" s="18"/>
      <c r="J109" t="str">
        <f>IF(LEN(VLOOKUP(表1[[#This Row],[id]],数据引用!A:C,3,FALSE))&gt;0,VLOOKUP(表1[[#This Row],[id]],数据引用!A:C,3,FALSE),"")</f>
        <v>不朽模式</v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P109" s="5"/>
    </row>
    <row r="110" spans="1:16" ht="14.25" customHeight="1">
      <c r="A110">
        <v>109</v>
      </c>
      <c r="B110">
        <v>0</v>
      </c>
      <c r="C110">
        <v>0</v>
      </c>
      <c r="E110" t="s">
        <v>2570</v>
      </c>
      <c r="F110">
        <v>6</v>
      </c>
      <c r="G110" s="13" t="s">
        <v>66</v>
      </c>
      <c r="H110" s="15" t="s">
        <v>2742</v>
      </c>
      <c r="I110" s="18"/>
      <c r="J110" t="str">
        <f>IF(LEN(VLOOKUP(表1[[#This Row],[id]],数据引用!A:C,3,FALSE))&gt;0,VLOOKUP(表1[[#This Row],[id]],数据引用!A:C,3,FALSE),"")</f>
        <v>NULL</v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0" s="5"/>
    </row>
    <row r="111" spans="1:16" ht="14.25" customHeight="1">
      <c r="A111">
        <v>110</v>
      </c>
      <c r="B111">
        <v>0</v>
      </c>
      <c r="C111">
        <v>0</v>
      </c>
      <c r="E111" t="s">
        <v>2570</v>
      </c>
      <c r="F111">
        <v>6</v>
      </c>
      <c r="G111" s="1" t="s">
        <v>114</v>
      </c>
      <c r="H111" s="16" t="s">
        <v>2743</v>
      </c>
      <c r="I111" s="18"/>
      <c r="J111" t="str">
        <f>IF(LEN(VLOOKUP(表1[[#This Row],[id]],数据引用!A:C,3,FALSE))&gt;0,VLOOKUP(表1[[#This Row],[id]],数据引用!A:C,3,FALSE),"")</f>
        <v>故事模式</v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11" s="5"/>
    </row>
    <row r="112" spans="1:16" ht="14.25" customHeight="1">
      <c r="A112">
        <v>111</v>
      </c>
      <c r="B112">
        <v>0</v>
      </c>
      <c r="C112">
        <v>0</v>
      </c>
      <c r="E112" t="s">
        <v>2570</v>
      </c>
      <c r="F112">
        <v>6</v>
      </c>
      <c r="G112" s="13" t="s">
        <v>66</v>
      </c>
      <c r="H112" s="15" t="s">
        <v>2744</v>
      </c>
      <c r="I112" s="18"/>
      <c r="J112" t="str">
        <f>IF(LEN(VLOOKUP(表1[[#This Row],[id]],数据引用!A:C,3,FALSE))&gt;0,VLOOKUP(表1[[#This Row],[id]],数据引用!A:C,3,FALSE),"")</f>
        <v>NULL</v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2" s="5"/>
    </row>
    <row r="113" spans="1:16" ht="14.25" customHeight="1">
      <c r="A113">
        <v>112</v>
      </c>
      <c r="B113">
        <v>0</v>
      </c>
      <c r="C113">
        <v>0</v>
      </c>
      <c r="E113" t="s">
        <v>2570</v>
      </c>
      <c r="F113">
        <v>6</v>
      </c>
      <c r="G113" s="1" t="s">
        <v>115</v>
      </c>
      <c r="H113" s="16" t="s">
        <v>2745</v>
      </c>
      <c r="I113" s="18"/>
      <c r="J113" t="str">
        <f>IF(LEN(VLOOKUP(表1[[#This Row],[id]],数据引用!A:C,3,FALSE))&gt;0,VLOOKUP(表1[[#This Row],[id]],数据引用!A:C,3,FALSE),"")</f>
        <v>CADENCE和BARD默认已解锁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font-size:12;"&gt;CADENCE和BARD默认已解锁&lt;/text&gt;&lt;text transform="matrix(1 0 0 1 0 10.3205)" style="fill:#FFFFFF; font-family:'FZXS12--GB1-0'; font-size:12;"&gt;CADENCE和BARD默认已解锁&lt;/text&gt;&lt;/svg&gt;</v>
      </c>
      <c r="P113" s="5"/>
    </row>
    <row r="114" spans="1:16" ht="14.25" customHeight="1">
      <c r="A114">
        <v>113</v>
      </c>
      <c r="B114">
        <v>0</v>
      </c>
      <c r="C114">
        <v>0</v>
      </c>
      <c r="E114" t="s">
        <v>2570</v>
      </c>
      <c r="F114">
        <v>6</v>
      </c>
      <c r="G114" s="1" t="s">
        <v>1381</v>
      </c>
      <c r="H114" s="16" t="s">
        <v>2746</v>
      </c>
      <c r="I114" s="18"/>
      <c r="J114" t="str">
        <f>IF(LEN(VLOOKUP(表1[[#This Row],[id]],数据引用!A:C,3,FALSE))&gt;0,VLOOKUP(表1[[#This Row],[id]],数据引用!A:C,3,FALSE),"")</f>
        <v>移动到被锁定的楼梯查看如何解锁其它角色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font-size:12;"&gt;移动到被锁定的楼梯查看如何解锁其它角色&lt;/text&gt;&lt;text transform="matrix(1 0 0 1 0 10.3205)" style="fill:#FFFFFF; font-family:'FZXS12--GB1-0'; font-size:12;"&gt;移动到被锁定的楼梯查看如何解锁其它角色&lt;/text&gt;&lt;/svg&gt;</v>
      </c>
      <c r="P114" s="5"/>
    </row>
    <row r="115" spans="1:16" ht="14.25" customHeight="1">
      <c r="A115">
        <v>114</v>
      </c>
      <c r="B115">
        <v>0</v>
      </c>
      <c r="C115">
        <v>0</v>
      </c>
      <c r="E115" t="s">
        <v>2570</v>
      </c>
      <c r="F115">
        <v>6</v>
      </c>
      <c r="G115" s="1" t="s">
        <v>116</v>
      </c>
      <c r="H115" s="16" t="s">
        <v>2747</v>
      </c>
      <c r="I115" s="18"/>
      <c r="J115" t="str">
        <f>IF(LEN(VLOOKUP(表1[[#This Row],[id]],数据引用!A:C,3,FALSE))&gt;0,VLOOKUP(表1[[#This Row],[id]],数据引用!A:C,3,FALSE),"")</f>
        <v>选择你的下一个角色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font-size:12;"&gt;选择你的下一个角色&lt;/text&gt;&lt;text transform="matrix(1 0 0 1 0 10.3205)" style="fill:#FFFFFF; font-family:'FZXS12--GB1-0'; font-size:12;"&gt;选择你的下一个角色&lt;/text&gt;&lt;/svg&gt;</v>
      </c>
      <c r="P115" s="5"/>
    </row>
    <row r="116" spans="1:16" ht="14.25" customHeight="1">
      <c r="A116">
        <v>115</v>
      </c>
      <c r="B116">
        <v>0</v>
      </c>
      <c r="C116">
        <v>0</v>
      </c>
      <c r="E116" t="s">
        <v>2570</v>
      </c>
      <c r="F116">
        <v>6</v>
      </c>
      <c r="G116" s="1" t="s">
        <v>117</v>
      </c>
      <c r="H116" s="16" t="s">
        <v>2748</v>
      </c>
      <c r="I116" s="18"/>
      <c r="J116" t="str">
        <f>IF(LEN(VLOOKUP(表1[[#This Row],[id]],数据引用!A:C,3,FALSE))&gt;0,VLOOKUP(表1[[#This Row],[id]],数据引用!A:C,3,FALSE),"")</f>
        <v>选择你的敌人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font-size:12;"&gt;选择你的敌人&lt;/text&gt;&lt;text transform="matrix(1 0 0 1 0 10.3205)" style="fill:#FFFFFF; font-family:'FZXS12--GB1-0'; font-size:12;"&gt;选择你的敌人&lt;/text&gt;&lt;/svg&gt;</v>
      </c>
      <c r="P116" s="5"/>
    </row>
    <row r="117" spans="1:16" ht="14.25" customHeight="1">
      <c r="A117">
        <v>116</v>
      </c>
      <c r="B117">
        <v>0</v>
      </c>
      <c r="C117">
        <v>0</v>
      </c>
      <c r="E117" t="s">
        <v>2570</v>
      </c>
      <c r="F117">
        <v>6</v>
      </c>
      <c r="G117" s="1" t="s">
        <v>1382</v>
      </c>
      <c r="H117" s="16" t="s">
        <v>2749</v>
      </c>
      <c r="I117" s="18"/>
      <c r="J117" t="str">
        <f>IF(LEN(VLOOKUP(表1[[#This Row],[id]],数据引用!A:C,3,FALSE))&gt;0,VLOOKUP(表1[[#This Row],[id]],数据引用!A:C,3,FALSE),"")</f>
        <v>在地下城击败怪物以解锁他们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font-size:12;"&gt;在地下城击败怪物以解锁他们&lt;/text&gt;&lt;text transform="matrix(1 0 0 1 0 10.3205)" style="fill:#FFFFFF; font-family:'FZXS12--GB1-0'; font-size:12;"&gt;在地下城击败怪物以解锁他们&lt;/text&gt;&lt;/svg&gt;</v>
      </c>
      <c r="P117" s="5"/>
    </row>
    <row r="118" spans="1:16" ht="14.25" customHeight="1">
      <c r="A118">
        <v>117</v>
      </c>
      <c r="B118">
        <v>0</v>
      </c>
      <c r="C118">
        <v>0</v>
      </c>
      <c r="E118" t="s">
        <v>2570</v>
      </c>
      <c r="F118">
        <v>6</v>
      </c>
      <c r="G118" s="1" t="s">
        <v>118</v>
      </c>
      <c r="H118" s="16" t="s">
        <v>2750</v>
      </c>
      <c r="I118" s="18"/>
      <c r="J118" t="str">
        <f>IF(LEN(VLOOKUP(表1[[#This Row],[id]],数据引用!A:C,3,FALSE))&gt;0,VLOOKUP(表1[[#This Row],[id]],数据引用!A:C,3,FALSE),"")</f>
        <v>返回大厅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118" s="5"/>
    </row>
    <row r="119" spans="1:16" ht="14.25" customHeight="1">
      <c r="A119">
        <v>118</v>
      </c>
      <c r="B119">
        <v>0</v>
      </c>
      <c r="C119">
        <v>0</v>
      </c>
      <c r="E119" t="s">
        <v>2570</v>
      </c>
      <c r="F119">
        <v>6</v>
      </c>
      <c r="G119" s="1" t="s">
        <v>119</v>
      </c>
      <c r="H119" s="16" t="s">
        <v>2751</v>
      </c>
      <c r="I119" s="18"/>
      <c r="J119" t="str">
        <f>IF(LEN(VLOOKUP(表1[[#This Row],[id]],数据引用!A:C,3,FALSE))&gt;0,VLOOKUP(表1[[#This Row],[id]],数据引用!A:C,3,FALSE),"")</f>
        <v>选择一个miniboss作为敌人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font-size:12;"&gt;选择一个miniboss作为敌人&lt;/text&gt;&lt;text transform="matrix(1 0 0 1 0 10.3205)" style="fill:#FFFFFF; font-family:'FZXS12--GB1-0'; font-size:12;"&gt;选择一个miniboss作为敌人&lt;/text&gt;&lt;/svg&gt;</v>
      </c>
      <c r="P119" s="5"/>
    </row>
    <row r="120" spans="1:16" ht="14.25" customHeight="1">
      <c r="A120">
        <v>119</v>
      </c>
      <c r="B120">
        <v>0</v>
      </c>
      <c r="C120">
        <v>0</v>
      </c>
      <c r="E120" t="s">
        <v>2570</v>
      </c>
      <c r="F120">
        <v>6</v>
      </c>
      <c r="G120" s="1" t="s">
        <v>120</v>
      </c>
      <c r="H120" s="16" t="s">
        <v>2752</v>
      </c>
      <c r="I120" s="18"/>
      <c r="J120" t="str">
        <f>IF(LEN(VLOOKUP(表1[[#This Row],[id]],数据引用!A:C,3,FALSE))&gt;0,VLOOKUP(表1[[#This Row],[id]],数据引用!A:C,3,FALSE),"")</f>
        <v>选择一个boss作为敌人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font-size:12;"&gt;选择一个boss作为敌人&lt;/text&gt;&lt;text transform="matrix(1 0 0 1 0 10.3205)" style="fill:#FFFFFF; font-family:'FZXS12--GB1-0'; font-size:12;"&gt;选择一个boss作为敌人&lt;/text&gt;&lt;/svg&gt;</v>
      </c>
      <c r="P120" s="5"/>
    </row>
    <row r="121" spans="1:16" ht="14.25" customHeight="1">
      <c r="A121">
        <v>120</v>
      </c>
      <c r="B121">
        <v>0</v>
      </c>
      <c r="C121">
        <v>0</v>
      </c>
      <c r="E121" t="s">
        <v>2570</v>
      </c>
      <c r="F121">
        <v>6</v>
      </c>
      <c r="G121" s="1" t="s">
        <v>121</v>
      </c>
      <c r="H121" s="16" t="s">
        <v>2753</v>
      </c>
      <c r="I121" s="18"/>
      <c r="J121" t="str">
        <f>IF(LEN(VLOOKUP(表1[[#This Row],[id]],数据引用!A:C,3,FALSE))&gt;0,VLOOKUP(表1[[#This Row],[id]],数据引用!A:C,3,FALSE),"")</f>
        <v>祝你好运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font-size:12;"&gt;祝你好运&lt;/text&gt;&lt;text transform="matrix(1 0 0 1 0 10.3205)" style="fill:#FFFFFF; font-family:'FZXS12--GB1-0'; font-size:12;"&gt;祝你好运&lt;/text&gt;&lt;/svg&gt;</v>
      </c>
      <c r="P121" s="5"/>
    </row>
    <row r="122" spans="1:16" ht="14.25" customHeight="1">
      <c r="A122">
        <v>121</v>
      </c>
      <c r="B122">
        <v>0</v>
      </c>
      <c r="C122">
        <v>0</v>
      </c>
      <c r="E122" t="s">
        <v>2570</v>
      </c>
      <c r="F122">
        <v>6</v>
      </c>
      <c r="G122" s="1" t="s">
        <v>122</v>
      </c>
      <c r="H122" s="16" t="s">
        <v>2754</v>
      </c>
      <c r="I122" s="18"/>
      <c r="J122" t="str">
        <f>IF(LEN(VLOOKUP(表1[[#This Row],[id]],数据引用!A:C,3,FALSE))&gt;0,VLOOKUP(表1[[#This Row],[id]],数据引用!A:C,3,FALSE),"")</f>
        <v>转换一个你的物品？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font-size:12;"&gt;转换一个你的物品？&lt;/text&gt;&lt;text transform="matrix(1 0 0 1 0 10.3205)" style="fill:#FFFFFF; font-family:'FZXS12--GB1-0'; font-size:12;"&gt;转换一个你的物品？&lt;/text&gt;&lt;/svg&gt;</v>
      </c>
      <c r="P122" s="5"/>
    </row>
    <row r="123" spans="1:16" ht="14.25" customHeight="1">
      <c r="A123">
        <v>122</v>
      </c>
      <c r="B123">
        <v>0</v>
      </c>
      <c r="C123">
        <v>0</v>
      </c>
      <c r="E123" t="s">
        <v>2570</v>
      </c>
      <c r="F123">
        <v>6</v>
      </c>
      <c r="G123" s="1" t="s">
        <v>123</v>
      </c>
      <c r="H123" s="16" t="s">
        <v>2755</v>
      </c>
      <c r="I123" s="18"/>
      <c r="J123" t="str">
        <f>IF(LEN(VLOOKUP(表1[[#This Row],[id]],数据引用!A:C,3,FALSE))&gt;0,VLOOKUP(表1[[#This Row],[id]],数据引用!A:C,3,FALSE),"")</f>
        <v>购买一个随机物品？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font-size:12;"&gt;购买一个随机物品？&lt;/text&gt;&lt;text transform="matrix(1 0 0 1 0 10.3205)" style="fill:#FFFFFF; font-family:'FZXS12--GB1-0'; font-size:12;"&gt;购买一个随机物品？&lt;/text&gt;&lt;/svg&gt;</v>
      </c>
      <c r="P123" s="5"/>
    </row>
    <row r="124" spans="1:16" ht="14.25" customHeight="1">
      <c r="A124">
        <v>123</v>
      </c>
      <c r="B124">
        <v>0</v>
      </c>
      <c r="C124">
        <v>0</v>
      </c>
      <c r="E124" t="s">
        <v>2570</v>
      </c>
      <c r="F124">
        <v>6</v>
      </c>
      <c r="G124" s="1" t="s">
        <v>1383</v>
      </c>
      <c r="H124" s="16" t="s">
        <v>2756</v>
      </c>
      <c r="I124" s="18"/>
      <c r="J124" t="str">
        <f>IF(LEN(VLOOKUP(表1[[#This Row],[id]],数据引用!A:C,3,FALSE))&gt;0,VLOOKUP(表1[[#This Row],[id]],数据引用!A:C,3,FALSE),"")</f>
        <v>激活圣陵？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font-size:12;"&gt;激活圣陵？&lt;/text&gt;&lt;text transform="matrix(1 0 0 1 0 10.3205)" style="fill:#FFFFFF; font-family:'FZXS12--GB1-0'; font-size:12;"&gt;激活圣陵？&lt;/text&gt;&lt;/svg&gt;</v>
      </c>
      <c r="P124" s="5"/>
    </row>
    <row r="125" spans="1:16" ht="14.25" customHeight="1">
      <c r="A125">
        <v>124</v>
      </c>
      <c r="B125">
        <v>0</v>
      </c>
      <c r="C125">
        <v>0</v>
      </c>
      <c r="E125" t="s">
        <v>2570</v>
      </c>
      <c r="F125">
        <v>6</v>
      </c>
      <c r="G125" s="1" t="s">
        <v>124</v>
      </c>
      <c r="H125" s="16" t="s">
        <v>2757</v>
      </c>
      <c r="I125" s="18"/>
      <c r="J125" t="str">
        <f>IF(LEN(VLOOKUP(表1[[#This Row],[id]],数据引用!A:C,3,FALSE))&gt;0,VLOOKUP(表1[[#This Row],[id]],数据引用!A:C,3,FALSE),"")</f>
        <v>出售物品？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font-size:12;"&gt;出售物品？&lt;/text&gt;&lt;text transform="matrix(1 0 0 1 0 10.3205)" style="fill:#FFFFFF; font-family:'FZXS12--GB1-0'; font-size:12;"&gt;出售物品？&lt;/text&gt;&lt;/svg&gt;</v>
      </c>
      <c r="P125" s="5"/>
    </row>
    <row r="126" spans="1:16" ht="14.25" customHeight="1">
      <c r="A126">
        <v>125</v>
      </c>
      <c r="B126">
        <v>0</v>
      </c>
      <c r="C126">
        <v>0</v>
      </c>
      <c r="E126" t="s">
        <v>2570</v>
      </c>
      <c r="F126">
        <v>6</v>
      </c>
      <c r="G126" s="1" t="s">
        <v>125</v>
      </c>
      <c r="H126" s="16" t="s">
        <v>2758</v>
      </c>
      <c r="I126" s="18"/>
      <c r="J126" t="str">
        <f>IF(LEN(VLOOKUP(表1[[#This Row],[id]],数据引用!A:C,3,FALSE))&gt;0,VLOOKUP(表1[[#This Row],[id]],数据引用!A:C,3,FALSE),"")</f>
        <v>跳舞毯模式！难度已降低。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font-size:12;"&gt;跳舞毯模式！难度已降低。&lt;/text&gt;&lt;text transform="matrix(1 0 0 1 0 10.3205)" style="fill:#FFFFFF; font-family:'FZXS12--GB1-0'; font-size:12;"&gt;跳舞毯模式！难度已降低。&lt;/text&gt;&lt;/svg&gt;</v>
      </c>
      <c r="P126" s="5"/>
    </row>
    <row r="127" spans="1:16" ht="14.25" customHeight="1">
      <c r="A127">
        <v>126</v>
      </c>
      <c r="B127">
        <v>0</v>
      </c>
      <c r="C127">
        <v>0</v>
      </c>
      <c r="E127" t="s">
        <v>2570</v>
      </c>
      <c r="F127">
        <v>6</v>
      </c>
      <c r="G127" s="1" t="s">
        <v>126</v>
      </c>
      <c r="H127" s="16" t="s">
        <v>2759</v>
      </c>
      <c r="I127" s="18"/>
      <c r="J127" t="str">
        <f>IF(LEN(VLOOKUP(表1[[#This Row],[id]],数据引用!A:C,3,FALSE))&gt;0,VLOOKUP(表1[[#This Row],[id]],数据引用!A:C,3,FALSE),"")</f>
        <v>使用此模式练习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font-size:12;"&gt;使用此模式练习&lt;/text&gt;&lt;text transform="matrix(1 0 0 1 0 10.3205)" style="fill:#FFFFFF; font-family:'FZXS12--GB1-0'; font-size:12;"&gt;使用此模式练习&lt;/text&gt;&lt;/svg&gt;</v>
      </c>
      <c r="P127" s="5"/>
    </row>
    <row r="128" spans="1:16" ht="14.25" customHeight="1">
      <c r="A128">
        <v>127</v>
      </c>
      <c r="B128">
        <v>0</v>
      </c>
      <c r="C128">
        <v>0</v>
      </c>
      <c r="E128" t="s">
        <v>2570</v>
      </c>
      <c r="F128">
        <v>6</v>
      </c>
      <c r="G128" s="1" t="s">
        <v>127</v>
      </c>
      <c r="H128" s="16" t="s">
        <v>2760</v>
      </c>
      <c r="I128" s="18"/>
      <c r="J128" t="str">
        <f>IF(LEN(VLOOKUP(表1[[#This Row],[id]],数据引用!A:C,3,FALSE))&gt;0,VLOOKUP(表1[[#This Row],[id]],数据引用!A:C,3,FALSE),"")</f>
        <v>直至你有能力挑战正常模式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font-size:12;"&gt;直至你有能力挑战正常模式&lt;/text&gt;&lt;text transform="matrix(1 0 0 1 0 10.3205)" style="fill:#FFFFFF; font-family:'FZXS12--GB1-0'; font-size:12;"&gt;直至你有能力挑战正常模式&lt;/text&gt;&lt;/svg&gt;</v>
      </c>
      <c r="P128" s="5"/>
    </row>
    <row r="129" spans="1:16" ht="14.25" customHeight="1">
      <c r="A129">
        <v>128</v>
      </c>
      <c r="B129">
        <v>0</v>
      </c>
      <c r="C129">
        <v>0</v>
      </c>
      <c r="E129" t="s">
        <v>2570</v>
      </c>
      <c r="F129">
        <v>6</v>
      </c>
      <c r="G129" s="1" t="s">
        <v>128</v>
      </c>
      <c r="H129" s="16" t="s">
        <v>2761</v>
      </c>
      <c r="I129" s="18"/>
      <c r="J129" t="str">
        <f>IF(LEN(VLOOKUP(表1[[#This Row],[id]],数据引用!A:C,3,FALSE))&gt;0,VLOOKUP(表1[[#This Row],[id]],数据引用!A:C,3,FALSE),"")</f>
        <v>不朽模式！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font-size:12;"&gt;不朽模式！&lt;/text&gt;&lt;text transform="matrix(1 0 0 1 0 10.3205)" style="fill:#FFFFFF; font-family:'FZXS12--GB1-0'; font-size:12;"&gt;不朽模式！&lt;/text&gt;&lt;/svg&gt;</v>
      </c>
      <c r="P129" s="5"/>
    </row>
    <row r="130" spans="1:16" ht="14.25" customHeight="1">
      <c r="A130">
        <v>129</v>
      </c>
      <c r="B130">
        <v>0</v>
      </c>
      <c r="C130">
        <v>0</v>
      </c>
      <c r="E130" t="s">
        <v>2570</v>
      </c>
      <c r="F130">
        <v>6</v>
      </c>
      <c r="G130" s="1" t="s">
        <v>129</v>
      </c>
      <c r="H130" s="16" t="s">
        <v>2762</v>
      </c>
      <c r="I130" s="18"/>
      <c r="J130" t="str">
        <f>IF(LEN(VLOOKUP(表1[[#This Row],[id]],数据引用!A:C,3,FALSE))&gt;0,VLOOKUP(表1[[#This Row],[id]],数据引用!A:C,3,FALSE),"")</f>
        <v>在不死亡的情况下完成所有区域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P130" s="5"/>
    </row>
    <row r="131" spans="1:16" ht="14.25" customHeight="1">
      <c r="A131">
        <v>130</v>
      </c>
      <c r="B131">
        <v>0</v>
      </c>
      <c r="C131">
        <v>0</v>
      </c>
      <c r="E131" t="s">
        <v>2570</v>
      </c>
      <c r="F131">
        <v>6</v>
      </c>
      <c r="G131" s="1" t="s">
        <v>130</v>
      </c>
      <c r="H131" s="16" t="s">
        <v>2763</v>
      </c>
      <c r="I131" s="18"/>
      <c r="J131" t="str">
        <f>IF(LEN(VLOOKUP(表1[[#This Row],[id]],数据引用!A:C,3,FALSE))&gt;0,VLOOKUP(表1[[#This Row],[id]],数据引用!A:C,3,FALSE),"")</f>
        <v>并取得尽可能高的评分</v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font-size:12;"&gt;并取得尽可能高的评分&lt;/text&gt;&lt;text transform="matrix(1 0 0 1 0 10.3205)" style="fill:#FFFFFF; font-family:'FZXS12--GB1-0'; font-size:12;"&gt;并取得尽可能高的评分&lt;/text&gt;&lt;/svg&gt;</v>
      </c>
      <c r="P131" s="5"/>
    </row>
    <row r="132" spans="1:16" ht="14.25" customHeight="1">
      <c r="A132">
        <v>131</v>
      </c>
      <c r="B132">
        <v>0</v>
      </c>
      <c r="C132">
        <v>0</v>
      </c>
      <c r="E132" t="s">
        <v>2570</v>
      </c>
      <c r="F132">
        <v>6</v>
      </c>
      <c r="G132" s="1" t="s">
        <v>131</v>
      </c>
      <c r="H132" s="16" t="s">
        <v>2764</v>
      </c>
      <c r="I132" s="18"/>
      <c r="J132" t="str">
        <f>IF(LEN(VLOOKUP(表1[[#This Row],[id]],数据引用!A:C,3,FALSE))&gt;0,VLOOKUP(表1[[#This Row],[id]],数据引用!A:C,3,FALSE),"")</f>
        <v>全角色模式！</v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font-size:12;"&gt;全角色模式！&lt;/text&gt;&lt;text transform="matrix(1 0 0 1 0 10.3205)" style="fill:#FFFFFF; font-family:'FZXS12--GB1-0'; font-size:12;"&gt;全角色模式！&lt;/text&gt;&lt;/svg&gt;</v>
      </c>
      <c r="P132" s="5"/>
    </row>
    <row r="133" spans="1:16" ht="14.25" customHeight="1">
      <c r="A133">
        <v>132</v>
      </c>
      <c r="B133">
        <v>0</v>
      </c>
      <c r="C133">
        <v>0</v>
      </c>
      <c r="E133" t="s">
        <v>2570</v>
      </c>
      <c r="F133">
        <v>6</v>
      </c>
      <c r="G133" s="1" t="s">
        <v>132</v>
      </c>
      <c r="H133" s="16" t="s">
        <v>2765</v>
      </c>
      <c r="I133" s="18"/>
      <c r="J133" t="str">
        <f>IF(LEN(VLOOKUP(表1[[#This Row],[id]],数据引用!A:C,3,FALSE))&gt;0,VLOOKUP(表1[[#This Row],[id]],数据引用!A:C,3,FALSE),"")</f>
        <v>一次使用所有九个角色</v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font-size:12;"&gt;一次使用所有九个角色&lt;/text&gt;&lt;text transform="matrix(1 0 0 1 0 10.3205)" style="fill:#FFFFFF; font-family:'FZXS12--GB1-0'; font-size:12;"&gt;一次使用所有九个角色&lt;/text&gt;&lt;/svg&gt;</v>
      </c>
      <c r="P133" s="5"/>
    </row>
    <row r="134" spans="1:16" ht="14.25" customHeight="1">
      <c r="A134">
        <v>133</v>
      </c>
      <c r="B134">
        <v>0</v>
      </c>
      <c r="C134">
        <v>0</v>
      </c>
      <c r="E134" t="s">
        <v>2570</v>
      </c>
      <c r="F134">
        <v>6</v>
      </c>
      <c r="G134" s="1" t="s">
        <v>133</v>
      </c>
      <c r="H134" s="16" t="s">
        <v>2766</v>
      </c>
      <c r="I134" s="18"/>
      <c r="J134" t="str">
        <f>IF(LEN(VLOOKUP(表1[[#This Row],[id]],数据引用!A:C,3,FALSE))&gt;0,VLOOKUP(表1[[#This Row],[id]],数据引用!A:C,3,FALSE),"")</f>
        <v>完成游戏</v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P134" s="5"/>
    </row>
    <row r="135" spans="1:16" ht="14.25" customHeight="1">
      <c r="A135">
        <v>134</v>
      </c>
      <c r="B135">
        <v>0</v>
      </c>
      <c r="C135">
        <v>0</v>
      </c>
      <c r="E135" t="s">
        <v>2570</v>
      </c>
      <c r="F135">
        <v>6</v>
      </c>
      <c r="G135" s="1" t="s">
        <v>134</v>
      </c>
      <c r="H135" s="16" t="s">
        <v>2767</v>
      </c>
      <c r="I135" s="18"/>
      <c r="J135" t="str">
        <f>IF(LEN(VLOOKUP(表1[[#This Row],[id]],数据引用!A:C,3,FALSE))&gt;0,VLOOKUP(表1[[#This Row],[id]],数据引用!A:C,3,FALSE),"")</f>
        <v>故事模式！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135" s="5"/>
    </row>
    <row r="136" spans="1:16" ht="14.25" customHeight="1">
      <c r="A136">
        <v>135</v>
      </c>
      <c r="B136">
        <v>0</v>
      </c>
      <c r="C136">
        <v>0</v>
      </c>
      <c r="E136" t="s">
        <v>2570</v>
      </c>
      <c r="F136">
        <v>6</v>
      </c>
      <c r="G136" s="1" t="s">
        <v>135</v>
      </c>
      <c r="H136" s="16" t="s">
        <v>2768</v>
      </c>
      <c r="I136" s="18"/>
      <c r="J136" t="str">
        <f>IF(LEN(VLOOKUP(表1[[#This Row],[id]],数据引用!A:C,3,FALSE))&gt;0,VLOOKUP(表1[[#This Row],[id]],数据引用!A:C,3,FALSE),"")</f>
        <v>依次使用CADENCE，MELODY，ARIA</v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font-size:12;"&gt;依次使用CADENCE，MELODY，ARIA&lt;/text&gt;&lt;text transform="matrix(1 0 0 1 0 10.3205)" style="fill:#FFFFFF; font-family:'FZXS12--GB1-0'; font-size:12;"&gt;依次使用CADENCE，MELODY，ARIA&lt;/text&gt;&lt;/svg&gt;</v>
      </c>
      <c r="P136" s="5"/>
    </row>
    <row r="137" spans="1:16" ht="14.25" customHeight="1">
      <c r="A137">
        <v>136</v>
      </c>
      <c r="B137">
        <v>0</v>
      </c>
      <c r="C137">
        <v>0</v>
      </c>
      <c r="E137" t="s">
        <v>2570</v>
      </c>
      <c r="F137">
        <v>6</v>
      </c>
      <c r="G137" s="1" t="s">
        <v>136</v>
      </c>
      <c r="H137" s="16" t="s">
        <v>2769</v>
      </c>
      <c r="I137" s="18"/>
      <c r="J137" t="str">
        <f>IF(LEN(VLOOKUP(表1[[#This Row],[id]],数据引用!A:C,3,FALSE))&gt;0,VLOOKUP(表1[[#This Row],[id]],数据引用!A:C,3,FALSE),"")</f>
        <v>完成游戏</v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P137" s="5"/>
    </row>
    <row r="138" spans="1:16" ht="14.25" customHeight="1">
      <c r="A138">
        <v>137</v>
      </c>
      <c r="B138">
        <v>0</v>
      </c>
      <c r="C138">
        <v>0</v>
      </c>
      <c r="E138" t="s">
        <v>2570</v>
      </c>
      <c r="F138">
        <v>6</v>
      </c>
      <c r="G138" s="1" t="s">
        <v>137</v>
      </c>
      <c r="H138" s="16" t="s">
        <v>2770</v>
      </c>
      <c r="I138" s="18"/>
      <c r="J138" t="str">
        <f>IF(LEN(VLOOKUP(表1[[#This Row],[id]],数据引用!A:C,3,FALSE))&gt;0,VLOOKUP(表1[[#This Row],[id]],数据引用!A:C,3,FALSE),"")</f>
        <v>一次性完成所有区域！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font-size:12;"&gt;一次性完成所有区域！&lt;/text&gt;&lt;text transform="matrix(1 0 0 1 0 10.3205)" style="fill:#FFFFFF; font-family:'FZXS12--GB1-0'; font-size:12;"&gt;一次性完成所有区域！&lt;/text&gt;&lt;/svg&gt;</v>
      </c>
      <c r="P138" s="5"/>
    </row>
    <row r="139" spans="1:16" ht="14.25" customHeight="1">
      <c r="A139">
        <v>138</v>
      </c>
      <c r="B139">
        <v>0</v>
      </c>
      <c r="C139">
        <v>0</v>
      </c>
      <c r="E139" t="s">
        <v>2570</v>
      </c>
      <c r="F139">
        <v>6</v>
      </c>
      <c r="G139" s="1" t="s">
        <v>138</v>
      </c>
      <c r="H139" s="16" t="s">
        <v>2771</v>
      </c>
      <c r="I139" s="18"/>
      <c r="J139" t="str">
        <f>IF(LEN(VLOOKUP(表1[[#This Row],[id]],数据引用!A:C,3,FALSE))&gt;0,VLOOKUP(表1[[#This Row],[id]],数据引用!A:C,3,FALSE),"")</f>
        <v>所有的升级都将可用</v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P139" s="5"/>
    </row>
    <row r="140" spans="1:16" ht="14.25" customHeight="1">
      <c r="A140">
        <v>139</v>
      </c>
      <c r="B140">
        <v>0</v>
      </c>
      <c r="C140">
        <v>0</v>
      </c>
      <c r="E140" t="s">
        <v>2570</v>
      </c>
      <c r="F140">
        <v>6</v>
      </c>
      <c r="G140" s="1" t="s">
        <v>139</v>
      </c>
      <c r="H140" s="16" t="s">
        <v>2772</v>
      </c>
      <c r="I140" s="18"/>
      <c r="J140" t="str">
        <f>IF(LEN(VLOOKUP(表1[[#This Row],[id]],数据引用!A:C,3,FALSE))&gt;0,VLOOKUP(表1[[#This Row],[id]],数据引用!A:C,3,FALSE),"")</f>
        <v>但你的生命值会很低</v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P140" s="5"/>
    </row>
    <row r="141" spans="1:16" ht="14.25" customHeight="1">
      <c r="A141">
        <v>140</v>
      </c>
      <c r="B141">
        <v>0</v>
      </c>
      <c r="C141">
        <v>0</v>
      </c>
      <c r="E141" t="s">
        <v>2570</v>
      </c>
      <c r="F141">
        <v>6</v>
      </c>
      <c r="G141" s="1" t="s">
        <v>140</v>
      </c>
      <c r="H141" s="16" t="s">
        <v>2773</v>
      </c>
      <c r="I141" s="18"/>
      <c r="J141" t="str">
        <f>IF(LEN(VLOOKUP(表1[[#This Row],[id]],数据引用!A:C,3,FALSE))&gt;0,VLOOKUP(表1[[#This Row],[id]],数据引用!A:C,3,FALSE),"")</f>
        <v>每日挑战：全区域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font-size:12;"&gt;每日挑战：全区域&lt;/text&gt;&lt;text transform="matrix(1 0 0 1 0 10.3205)" style="fill:#FFFFFF; font-family:'FZXS12--GB1-0'; font-size:12;"&gt;每日挑战：全区域&lt;/text&gt;&lt;/svg&gt;</v>
      </c>
      <c r="P141" s="5"/>
    </row>
    <row r="142" spans="1:16" ht="14.25" customHeight="1">
      <c r="A142">
        <v>141</v>
      </c>
      <c r="B142">
        <v>0</v>
      </c>
      <c r="C142">
        <v>0</v>
      </c>
      <c r="E142" t="s">
        <v>2570</v>
      </c>
      <c r="F142">
        <v>6</v>
      </c>
      <c r="G142" s="1" t="s">
        <v>141</v>
      </c>
      <c r="H142" s="16" t="s">
        <v>2774</v>
      </c>
      <c r="I142" s="18"/>
      <c r="J142" t="str">
        <f>IF(LEN(VLOOKUP(表1[[#This Row],[id]],数据引用!A:C,3,FALSE))&gt;0,VLOOKUP(表1[[#This Row],[id]],数据引用!A:C,3,FALSE),"")</f>
        <v>所有人会都会挑战相同的地下城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142" s="5"/>
    </row>
    <row r="143" spans="1:16" ht="14.25" customHeight="1">
      <c r="A143">
        <v>142</v>
      </c>
      <c r="B143">
        <v>0</v>
      </c>
      <c r="C143">
        <v>0</v>
      </c>
      <c r="E143" t="s">
        <v>2570</v>
      </c>
      <c r="F143">
        <v>6</v>
      </c>
      <c r="G143" s="1" t="s">
        <v>142</v>
      </c>
      <c r="H143" s="16" t="s">
        <v>2775</v>
      </c>
      <c r="I143" s="18"/>
      <c r="J143" t="str">
        <f>IF(LEN(VLOOKUP(表1[[#This Row],[id]],数据引用!A:C,3,FALSE))&gt;0,VLOOKUP(表1[[#This Row],[id]],数据引用!A:C,3,FALSE),"")</f>
        <v>得分=挑战结束时的金币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font-size:12;"&gt;得分=挑战结束时的金币&lt;/text&gt;&lt;text transform="matrix(1 0 0 1 0 10.3205)" style="fill:#FFFFFF; font-family:'FZXS12--GB1-0'; font-size:12;"&gt;得分=挑战结束时的金币&lt;/text&gt;&lt;/svg&gt;</v>
      </c>
      <c r="P143" s="5"/>
    </row>
    <row r="144" spans="1:16" ht="14.25" customHeight="1">
      <c r="A144">
        <v>143</v>
      </c>
      <c r="B144">
        <v>0</v>
      </c>
      <c r="C144">
        <v>0</v>
      </c>
      <c r="E144" t="s">
        <v>2570</v>
      </c>
      <c r="F144">
        <v>6</v>
      </c>
      <c r="G144" s="8" t="s">
        <v>143</v>
      </c>
      <c r="H144" s="15" t="s">
        <v>2776</v>
      </c>
      <c r="I144" s="18"/>
      <c r="J144" t="str">
        <f>IF(LEN(VLOOKUP(表1[[#This Row],[id]],数据引用!A:C,3,FALSE))&gt;0,VLOOKUP(表1[[#This Row],[id]],数据引用!A:C,3,FALSE),"")</f>
        <v/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4" t="s">
        <v>1400</v>
      </c>
      <c r="P144" s="5"/>
    </row>
    <row r="145" spans="1:16" ht="14.25" customHeight="1">
      <c r="A145">
        <v>144</v>
      </c>
      <c r="B145">
        <v>0</v>
      </c>
      <c r="C145">
        <v>0</v>
      </c>
      <c r="E145" t="s">
        <v>2570</v>
      </c>
      <c r="F145">
        <v>6</v>
      </c>
      <c r="G145" s="8" t="s">
        <v>144</v>
      </c>
      <c r="H145" s="15" t="s">
        <v>2777</v>
      </c>
      <c r="I145" s="18"/>
      <c r="J145" t="str">
        <f>IF(LEN(VLOOKUP(表1[[#This Row],[id]],数据引用!A:C,3,FALSE))&gt;0,VLOOKUP(表1[[#This Row],[id]],数据引用!A:C,3,FALSE),"")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5" t="s">
        <v>1400</v>
      </c>
      <c r="P145" s="5"/>
    </row>
    <row r="146" spans="1:16" ht="14.25" customHeight="1">
      <c r="A146">
        <v>145</v>
      </c>
      <c r="B146">
        <v>0</v>
      </c>
      <c r="C146">
        <v>0</v>
      </c>
      <c r="E146" t="s">
        <v>2570</v>
      </c>
      <c r="F146">
        <v>6</v>
      </c>
      <c r="G146" s="8" t="s">
        <v>145</v>
      </c>
      <c r="H146" s="15" t="s">
        <v>2778</v>
      </c>
      <c r="I146" s="18"/>
      <c r="J146" t="str">
        <f>IF(LEN(VLOOKUP(表1[[#This Row],[id]],数据引用!A:C,3,FALSE))&gt;0,VLOOKUP(表1[[#This Row],[id]],数据引用!A:C,3,FALSE),"")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6" t="s">
        <v>1400</v>
      </c>
      <c r="P146" s="5"/>
    </row>
    <row r="147" spans="1:16" ht="14.25" customHeight="1">
      <c r="A147">
        <v>146</v>
      </c>
      <c r="B147">
        <v>0</v>
      </c>
      <c r="C147">
        <v>0</v>
      </c>
      <c r="E147" t="s">
        <v>2570</v>
      </c>
      <c r="F147">
        <v>6</v>
      </c>
      <c r="G147" s="8" t="s">
        <v>146</v>
      </c>
      <c r="H147" s="15" t="s">
        <v>2779</v>
      </c>
      <c r="I147" s="18"/>
      <c r="J147" t="str">
        <f>IF(LEN(VLOOKUP(表1[[#This Row],[id]],数据引用!A:C,3,FALSE))&gt;0,VLOOKUP(表1[[#This Row],[id]],数据引用!A:C,3,FALSE),"")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7" t="s">
        <v>1400</v>
      </c>
      <c r="P147" s="5"/>
    </row>
    <row r="148" spans="1:16" ht="14.25" customHeight="1">
      <c r="A148">
        <v>147</v>
      </c>
      <c r="B148">
        <v>0</v>
      </c>
      <c r="C148">
        <v>0</v>
      </c>
      <c r="E148" t="s">
        <v>2570</v>
      </c>
      <c r="F148">
        <v>6</v>
      </c>
      <c r="G148" s="1" t="s">
        <v>147</v>
      </c>
      <c r="H148" s="16" t="s">
        <v>2780</v>
      </c>
      <c r="I148" s="18"/>
      <c r="J148" t="str">
        <f>IF(LEN(VLOOKUP(表1[[#This Row],[id]],数据引用!A:C,3,FALSE))&gt;0,VLOOKUP(表1[[#This Row],[id]],数据引用!A:C,3,FALSE),"")</f>
        <v>挑种怪物来做你的陪练吧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font-size:12;"&gt;挑种怪物来做你的陪练吧&lt;/text&gt;&lt;text transform="matrix(1 0 0 1 0 10.3205)" style="fill:#FFFFFF; font-family:'FZXS12--GB1-0'; font-size:12;"&gt;挑种怪物来做你的陪练吧&lt;/text&gt;&lt;/svg&gt;</v>
      </c>
      <c r="P148" s="5"/>
    </row>
    <row r="149" spans="1:16" ht="14.25" customHeight="1">
      <c r="A149">
        <v>148</v>
      </c>
      <c r="B149">
        <v>0</v>
      </c>
      <c r="C149">
        <v>0</v>
      </c>
      <c r="E149" t="s">
        <v>2570</v>
      </c>
      <c r="F149">
        <v>6</v>
      </c>
      <c r="G149" s="8" t="s">
        <v>149</v>
      </c>
      <c r="H149" s="15" t="s">
        <v>2781</v>
      </c>
      <c r="I149" s="15" t="s">
        <v>4272</v>
      </c>
      <c r="J149" t="str">
        <f>IF(LEN(VLOOKUP(表1[[#This Row],[id]],数据引用!A:C,3,FALSE))&gt;0,VLOOKUP(表1[[#This Row],[id]],数据引用!A:C,3,FALSE),"")</f>
        <v/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9" t="s">
        <v>1400</v>
      </c>
      <c r="P149" s="5" t="s">
        <v>1282</v>
      </c>
    </row>
    <row r="150" spans="1:16" ht="14.25" customHeight="1">
      <c r="A150">
        <v>149</v>
      </c>
      <c r="B150">
        <v>0</v>
      </c>
      <c r="C150">
        <v>0</v>
      </c>
      <c r="E150" t="s">
        <v>2570</v>
      </c>
      <c r="F150">
        <v>6</v>
      </c>
      <c r="G150" s="8" t="s">
        <v>150</v>
      </c>
      <c r="H150" s="15" t="s">
        <v>2782</v>
      </c>
      <c r="I150" s="15" t="s">
        <v>4273</v>
      </c>
      <c r="J150" t="str">
        <f>IF(LEN(VLOOKUP(表1[[#This Row],[id]],数据引用!A:C,3,FALSE))&gt;0,VLOOKUP(表1[[#This Row],[id]],数据引用!A:C,3,FALSE),"")</f>
        <v/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0" t="s">
        <v>1400</v>
      </c>
      <c r="P150" s="5" t="s">
        <v>1282</v>
      </c>
    </row>
    <row r="151" spans="1:16" ht="14.25" customHeight="1">
      <c r="A151">
        <v>150</v>
      </c>
      <c r="B151">
        <v>0</v>
      </c>
      <c r="C151">
        <v>0</v>
      </c>
      <c r="E151" t="s">
        <v>2570</v>
      </c>
      <c r="F151">
        <v>6</v>
      </c>
      <c r="G151" s="8" t="s">
        <v>151</v>
      </c>
      <c r="H151" s="15" t="s">
        <v>2783</v>
      </c>
      <c r="I151" s="15" t="s">
        <v>4274</v>
      </c>
      <c r="J151" t="str">
        <f>IF(LEN(VLOOKUP(表1[[#This Row],[id]],数据引用!A:C,3,FALSE))&gt;0,VLOOKUP(表1[[#This Row],[id]],数据引用!A:C,3,FALSE),"")</f>
        <v/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1" t="s">
        <v>1400</v>
      </c>
      <c r="P151" s="5" t="s">
        <v>1282</v>
      </c>
    </row>
    <row r="152" spans="1:16" ht="14.25" customHeight="1">
      <c r="A152">
        <v>151</v>
      </c>
      <c r="B152">
        <v>0</v>
      </c>
      <c r="C152">
        <v>0</v>
      </c>
      <c r="E152" t="s">
        <v>2570</v>
      </c>
      <c r="F152">
        <v>6</v>
      </c>
      <c r="G152" s="8" t="s">
        <v>152</v>
      </c>
      <c r="H152" s="15" t="s">
        <v>2784</v>
      </c>
      <c r="I152" s="15" t="s">
        <v>4275</v>
      </c>
      <c r="J152" t="str">
        <f>IF(LEN(VLOOKUP(表1[[#This Row],[id]],数据引用!A:C,3,FALSE))&gt;0,VLOOKUP(表1[[#This Row],[id]],数据引用!A:C,3,FALSE),"")</f>
        <v/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2" t="s">
        <v>1400</v>
      </c>
      <c r="P152" s="5" t="s">
        <v>1282</v>
      </c>
    </row>
    <row r="153" spans="1:16" ht="14.25" customHeight="1">
      <c r="A153">
        <v>152</v>
      </c>
      <c r="B153">
        <v>0</v>
      </c>
      <c r="C153">
        <v>0</v>
      </c>
      <c r="E153" t="s">
        <v>2570</v>
      </c>
      <c r="F153">
        <v>6</v>
      </c>
      <c r="G153" s="8" t="s">
        <v>153</v>
      </c>
      <c r="H153" s="15" t="s">
        <v>2785</v>
      </c>
      <c r="I153" s="15" t="s">
        <v>4276</v>
      </c>
      <c r="J153" t="str">
        <f>IF(LEN(VLOOKUP(表1[[#This Row],[id]],数据引用!A:C,3,FALSE))&gt;0,VLOOKUP(表1[[#This Row],[id]],数据引用!A:C,3,FALSE),"")</f>
        <v/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3" t="s">
        <v>1400</v>
      </c>
      <c r="P153" s="5" t="s">
        <v>1282</v>
      </c>
    </row>
    <row r="154" spans="1:16" ht="14.25" customHeight="1">
      <c r="A154">
        <v>153</v>
      </c>
      <c r="B154">
        <v>0</v>
      </c>
      <c r="C154">
        <v>0</v>
      </c>
      <c r="E154" t="s">
        <v>2570</v>
      </c>
      <c r="F154">
        <v>6</v>
      </c>
      <c r="G154" s="8" t="s">
        <v>154</v>
      </c>
      <c r="H154" s="15" t="s">
        <v>2786</v>
      </c>
      <c r="I154" s="15" t="s">
        <v>4277</v>
      </c>
      <c r="J154" t="str">
        <f>IF(LEN(VLOOKUP(表1[[#This Row],[id]],数据引用!A:C,3,FALSE))&gt;0,VLOOKUP(表1[[#This Row],[id]],数据引用!A:C,3,FALSE),"")</f>
        <v/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4" t="s">
        <v>1400</v>
      </c>
      <c r="P154" s="5" t="s">
        <v>1282</v>
      </c>
    </row>
    <row r="155" spans="1:16" ht="14.25" customHeight="1">
      <c r="A155">
        <v>154</v>
      </c>
      <c r="B155">
        <v>0</v>
      </c>
      <c r="C155">
        <v>0</v>
      </c>
      <c r="E155" t="s">
        <v>2570</v>
      </c>
      <c r="F155">
        <v>6</v>
      </c>
      <c r="G155" s="8" t="s">
        <v>155</v>
      </c>
      <c r="H155" s="15" t="s">
        <v>2787</v>
      </c>
      <c r="I155" s="15" t="s">
        <v>4278</v>
      </c>
      <c r="J155" t="str">
        <f>IF(LEN(VLOOKUP(表1[[#This Row],[id]],数据引用!A:C,3,FALSE))&gt;0,VLOOKUP(表1[[#This Row],[id]],数据引用!A:C,3,FALSE),"")</f>
        <v/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5" t="s">
        <v>1400</v>
      </c>
      <c r="P155" s="5" t="s">
        <v>1282</v>
      </c>
    </row>
    <row r="156" spans="1:16" ht="14.25" customHeight="1">
      <c r="A156">
        <v>155</v>
      </c>
      <c r="B156">
        <v>0</v>
      </c>
      <c r="C156">
        <v>0</v>
      </c>
      <c r="E156" t="s">
        <v>2570</v>
      </c>
      <c r="F156">
        <v>6</v>
      </c>
      <c r="G156" s="8" t="s">
        <v>156</v>
      </c>
      <c r="H156" s="15" t="s">
        <v>2788</v>
      </c>
      <c r="I156" s="15" t="s">
        <v>4279</v>
      </c>
      <c r="J156" t="str">
        <f>IF(LEN(VLOOKUP(表1[[#This Row],[id]],数据引用!A:C,3,FALSE))&gt;0,VLOOKUP(表1[[#This Row],[id]],数据引用!A:C,3,FALSE),"")</f>
        <v/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6" t="s">
        <v>1400</v>
      </c>
      <c r="P156" s="5" t="s">
        <v>1282</v>
      </c>
    </row>
    <row r="157" spans="1:16" ht="14.25" customHeight="1">
      <c r="A157">
        <v>156</v>
      </c>
      <c r="B157">
        <v>0</v>
      </c>
      <c r="C157">
        <v>0</v>
      </c>
      <c r="E157" t="s">
        <v>2570</v>
      </c>
      <c r="F157">
        <v>6</v>
      </c>
      <c r="G157" s="8" t="s">
        <v>157</v>
      </c>
      <c r="H157" s="15" t="s">
        <v>2789</v>
      </c>
      <c r="I157" s="15" t="s">
        <v>4280</v>
      </c>
      <c r="J157" t="str">
        <f>IF(LEN(VLOOKUP(表1[[#This Row],[id]],数据引用!A:C,3,FALSE))&gt;0,VLOOKUP(表1[[#This Row],[id]],数据引用!A:C,3,FALSE),"")</f>
        <v/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7" t="s">
        <v>1400</v>
      </c>
      <c r="P157" s="5" t="s">
        <v>1282</v>
      </c>
    </row>
    <row r="158" spans="1:16" ht="14.25" customHeight="1">
      <c r="A158">
        <v>157</v>
      </c>
      <c r="B158">
        <v>0</v>
      </c>
      <c r="C158">
        <v>0</v>
      </c>
      <c r="E158" t="s">
        <v>2570</v>
      </c>
      <c r="F158">
        <v>6</v>
      </c>
      <c r="G158" s="8" t="s">
        <v>158</v>
      </c>
      <c r="H158" s="15" t="s">
        <v>2790</v>
      </c>
      <c r="I158" s="15" t="s">
        <v>4281</v>
      </c>
      <c r="J158" t="str">
        <f>IF(LEN(VLOOKUP(表1[[#This Row],[id]],数据引用!A:C,3,FALSE))&gt;0,VLOOKUP(表1[[#This Row],[id]],数据引用!A:C,3,FALSE),"")</f>
        <v/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8" t="s">
        <v>1400</v>
      </c>
      <c r="P158" s="5" t="s">
        <v>1282</v>
      </c>
    </row>
    <row r="159" spans="1:16" ht="14.25" customHeight="1">
      <c r="A159">
        <v>158</v>
      </c>
      <c r="B159">
        <v>0</v>
      </c>
      <c r="C159">
        <v>0</v>
      </c>
      <c r="E159" t="s">
        <v>2570</v>
      </c>
      <c r="F159">
        <v>6</v>
      </c>
      <c r="G159" s="8" t="s">
        <v>159</v>
      </c>
      <c r="H159" s="15" t="s">
        <v>2791</v>
      </c>
      <c r="I159" s="15" t="s">
        <v>4282</v>
      </c>
      <c r="J159" t="str">
        <f>IF(LEN(VLOOKUP(表1[[#This Row],[id]],数据引用!A:C,3,FALSE))&gt;0,VLOOKUP(表1[[#This Row],[id]],数据引用!A:C,3,FALSE),"")</f>
        <v/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9" t="s">
        <v>1400</v>
      </c>
      <c r="P159" s="5" t="s">
        <v>1282</v>
      </c>
    </row>
    <row r="160" spans="1:16" ht="14.25" customHeight="1">
      <c r="A160">
        <v>159</v>
      </c>
      <c r="B160">
        <v>0</v>
      </c>
      <c r="C160">
        <v>0</v>
      </c>
      <c r="E160" t="s">
        <v>2570</v>
      </c>
      <c r="F160">
        <v>6</v>
      </c>
      <c r="G160" s="8" t="s">
        <v>160</v>
      </c>
      <c r="H160" s="15" t="s">
        <v>2792</v>
      </c>
      <c r="I160" s="15" t="s">
        <v>4283</v>
      </c>
      <c r="J160" t="str">
        <f>IF(LEN(VLOOKUP(表1[[#This Row],[id]],数据引用!A:C,3,FALSE))&gt;0,VLOOKUP(表1[[#This Row],[id]],数据引用!A:C,3,FALSE),"")</f>
        <v/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0" t="s">
        <v>1400</v>
      </c>
      <c r="P160" s="5" t="s">
        <v>1282</v>
      </c>
    </row>
    <row r="161" spans="1:16" ht="14.25" customHeight="1">
      <c r="A161">
        <v>160</v>
      </c>
      <c r="B161">
        <v>0</v>
      </c>
      <c r="C161">
        <v>0</v>
      </c>
      <c r="E161" t="s">
        <v>2570</v>
      </c>
      <c r="F161">
        <v>6</v>
      </c>
      <c r="G161" s="8" t="s">
        <v>161</v>
      </c>
      <c r="H161" s="15" t="s">
        <v>2793</v>
      </c>
      <c r="I161" s="15" t="s">
        <v>4284</v>
      </c>
      <c r="J161" t="str">
        <f>IF(LEN(VLOOKUP(表1[[#This Row],[id]],数据引用!A:C,3,FALSE))&gt;0,VLOOKUP(表1[[#This Row],[id]],数据引用!A:C,3,FALSE),"")</f>
        <v/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1" t="s">
        <v>1400</v>
      </c>
      <c r="P161" s="5" t="s">
        <v>1282</v>
      </c>
    </row>
    <row r="162" spans="1:16" ht="14.25" customHeight="1">
      <c r="A162">
        <v>161</v>
      </c>
      <c r="B162">
        <v>0</v>
      </c>
      <c r="C162">
        <v>0</v>
      </c>
      <c r="E162" t="s">
        <v>2570</v>
      </c>
      <c r="F162">
        <v>6</v>
      </c>
      <c r="G162" s="1" t="s">
        <v>162</v>
      </c>
      <c r="H162" s="16" t="s">
        <v>2794</v>
      </c>
      <c r="I162" s="18"/>
      <c r="J162" t="str">
        <f>IF(LEN(VLOOKUP(表1[[#This Row],[id]],数据引用!A:C,3,FALSE))&gt;0,VLOOKUP(表1[[#This Row],[id]],数据引用!A:C,3,FALSE),"")</f>
        <v>全角色</v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P162" s="5"/>
    </row>
    <row r="163" spans="1:16" ht="14.25" customHeight="1">
      <c r="A163">
        <v>162</v>
      </c>
      <c r="B163">
        <v>0</v>
      </c>
      <c r="C163">
        <v>0</v>
      </c>
      <c r="E163" t="s">
        <v>2570</v>
      </c>
      <c r="F163">
        <v>6</v>
      </c>
      <c r="G163" s="1" t="s">
        <v>163</v>
      </c>
      <c r="H163" s="16" t="s">
        <v>2795</v>
      </c>
      <c r="I163" s="18"/>
      <c r="J163" t="str">
        <f>IF(LEN(VLOOKUP(表1[[#This Row],[id]],数据引用!A:C,3,FALSE))&gt;0,VLOOKUP(表1[[#This Row],[id]],数据引用!A:C,3,FALSE),"")</f>
        <v>故事模式</v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63" s="5"/>
    </row>
    <row r="164" spans="1:16" ht="14.25" customHeight="1">
      <c r="A164">
        <v>163</v>
      </c>
      <c r="B164">
        <v>0</v>
      </c>
      <c r="C164">
        <v>0</v>
      </c>
      <c r="E164">
        <v>1</v>
      </c>
      <c r="F164">
        <v>12</v>
      </c>
      <c r="G164" s="8" t="s">
        <v>149</v>
      </c>
      <c r="H164" s="15" t="s">
        <v>2796</v>
      </c>
      <c r="I164" s="18"/>
      <c r="J164" t="str">
        <f>IF(LEN(VLOOKUP(表1[[#This Row],[id]],数据引用!A:C,3,FALSE))&gt;0,VLOOKUP(表1[[#This Row],[id]],数据引用!A:C,3,FALSE),"")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4" s="5"/>
    </row>
    <row r="165" spans="1:16" ht="14.25" customHeight="1">
      <c r="A165">
        <v>164</v>
      </c>
      <c r="B165">
        <v>0</v>
      </c>
      <c r="C165">
        <v>0</v>
      </c>
      <c r="E165">
        <v>1</v>
      </c>
      <c r="F165">
        <v>12</v>
      </c>
      <c r="G165" s="8" t="s">
        <v>150</v>
      </c>
      <c r="H165" s="15" t="s">
        <v>2797</v>
      </c>
      <c r="I165" s="18"/>
      <c r="J165" t="str">
        <f>IF(LEN(VLOOKUP(表1[[#This Row],[id]],数据引用!A:C,3,FALSE))&gt;0,VLOOKUP(表1[[#This Row],[id]],数据引用!A:C,3,FALSE),"")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5" s="5"/>
    </row>
    <row r="166" spans="1:16" ht="14.25" customHeight="1">
      <c r="A166">
        <v>165</v>
      </c>
      <c r="B166">
        <v>0</v>
      </c>
      <c r="C166">
        <v>0</v>
      </c>
      <c r="E166">
        <v>1</v>
      </c>
      <c r="F166">
        <v>12</v>
      </c>
      <c r="G166" s="8" t="s">
        <v>151</v>
      </c>
      <c r="H166" s="15" t="s">
        <v>2798</v>
      </c>
      <c r="I166" s="18"/>
      <c r="J166" t="str">
        <f>IF(LEN(VLOOKUP(表1[[#This Row],[id]],数据引用!A:C,3,FALSE))&gt;0,VLOOKUP(表1[[#This Row],[id]],数据引用!A:C,3,FALSE),"")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6" s="5"/>
    </row>
    <row r="167" spans="1:16" ht="14.25" customHeight="1">
      <c r="A167">
        <v>166</v>
      </c>
      <c r="B167">
        <v>0</v>
      </c>
      <c r="C167">
        <v>0</v>
      </c>
      <c r="E167">
        <v>1</v>
      </c>
      <c r="F167">
        <v>12</v>
      </c>
      <c r="G167" s="8" t="s">
        <v>152</v>
      </c>
      <c r="H167" s="15" t="s">
        <v>2799</v>
      </c>
      <c r="I167" s="18"/>
      <c r="J167" t="str">
        <f>IF(LEN(VLOOKUP(表1[[#This Row],[id]],数据引用!A:C,3,FALSE))&gt;0,VLOOKUP(表1[[#This Row],[id]],数据引用!A:C,3,FALSE),"")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7" s="5"/>
    </row>
    <row r="168" spans="1:16" ht="14.25" customHeight="1">
      <c r="A168">
        <v>167</v>
      </c>
      <c r="B168">
        <v>0</v>
      </c>
      <c r="C168">
        <v>0</v>
      </c>
      <c r="E168">
        <v>1</v>
      </c>
      <c r="F168">
        <v>12</v>
      </c>
      <c r="G168" s="8" t="s">
        <v>153</v>
      </c>
      <c r="H168" s="15" t="s">
        <v>2800</v>
      </c>
      <c r="I168" s="18"/>
      <c r="J168" t="str">
        <f>IF(LEN(VLOOKUP(表1[[#This Row],[id]],数据引用!A:C,3,FALSE))&gt;0,VLOOKUP(表1[[#This Row],[id]],数据引用!A:C,3,FALSE),"")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8" s="5"/>
    </row>
    <row r="169" spans="1:16" ht="14.25" customHeight="1">
      <c r="A169">
        <v>168</v>
      </c>
      <c r="B169">
        <v>0</v>
      </c>
      <c r="C169">
        <v>0</v>
      </c>
      <c r="E169">
        <v>1</v>
      </c>
      <c r="F169">
        <v>12</v>
      </c>
      <c r="G169" s="8" t="s">
        <v>154</v>
      </c>
      <c r="H169" s="15" t="s">
        <v>2801</v>
      </c>
      <c r="I169" s="18"/>
      <c r="J169" t="str">
        <f>IF(LEN(VLOOKUP(表1[[#This Row],[id]],数据引用!A:C,3,FALSE))&gt;0,VLOOKUP(表1[[#This Row],[id]],数据引用!A:C,3,FALSE),"")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9" s="5"/>
    </row>
    <row r="170" spans="1:16" ht="14.25" customHeight="1">
      <c r="A170">
        <v>169</v>
      </c>
      <c r="B170">
        <v>0</v>
      </c>
      <c r="C170">
        <v>0</v>
      </c>
      <c r="E170">
        <v>1</v>
      </c>
      <c r="F170">
        <v>12</v>
      </c>
      <c r="G170" s="8" t="s">
        <v>155</v>
      </c>
      <c r="H170" s="15" t="s">
        <v>2802</v>
      </c>
      <c r="I170" s="18"/>
      <c r="J170" t="str">
        <f>IF(LEN(VLOOKUP(表1[[#This Row],[id]],数据引用!A:C,3,FALSE))&gt;0,VLOOKUP(表1[[#This Row],[id]],数据引用!A:C,3,FALSE),"")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0" s="5"/>
    </row>
    <row r="171" spans="1:16" ht="14.25" customHeight="1">
      <c r="A171">
        <v>170</v>
      </c>
      <c r="B171">
        <v>0</v>
      </c>
      <c r="C171">
        <v>0</v>
      </c>
      <c r="E171">
        <v>1</v>
      </c>
      <c r="F171">
        <v>12</v>
      </c>
      <c r="G171" s="8" t="s">
        <v>156</v>
      </c>
      <c r="H171" s="15" t="s">
        <v>2803</v>
      </c>
      <c r="I171" s="18"/>
      <c r="J171" t="str">
        <f>IF(LEN(VLOOKUP(表1[[#This Row],[id]],数据引用!A:C,3,FALSE))&gt;0,VLOOKUP(表1[[#This Row],[id]],数据引用!A:C,3,FALSE),"")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1" s="5"/>
    </row>
    <row r="172" spans="1:16" ht="14.25" customHeight="1">
      <c r="A172">
        <v>171</v>
      </c>
      <c r="B172">
        <v>0</v>
      </c>
      <c r="C172">
        <v>0</v>
      </c>
      <c r="E172">
        <v>1</v>
      </c>
      <c r="F172">
        <v>12</v>
      </c>
      <c r="G172" s="8" t="s">
        <v>157</v>
      </c>
      <c r="H172" s="15" t="s">
        <v>2804</v>
      </c>
      <c r="I172" s="18"/>
      <c r="J172" t="str">
        <f>IF(LEN(VLOOKUP(表1[[#This Row],[id]],数据引用!A:C,3,FALSE))&gt;0,VLOOKUP(表1[[#This Row],[id]],数据引用!A:C,3,FALSE),"")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2" s="5"/>
    </row>
    <row r="173" spans="1:16" ht="14.25" customHeight="1">
      <c r="A173">
        <v>172</v>
      </c>
      <c r="B173">
        <v>0</v>
      </c>
      <c r="C173">
        <v>0</v>
      </c>
      <c r="E173">
        <v>1</v>
      </c>
      <c r="F173">
        <v>12</v>
      </c>
      <c r="G173" s="8" t="s">
        <v>158</v>
      </c>
      <c r="H173" s="15" t="s">
        <v>2805</v>
      </c>
      <c r="I173" s="18"/>
      <c r="J173" t="str">
        <f>IF(LEN(VLOOKUP(表1[[#This Row],[id]],数据引用!A:C,3,FALSE))&gt;0,VLOOKUP(表1[[#This Row],[id]],数据引用!A:C,3,FALSE),"")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3" s="5"/>
    </row>
    <row r="174" spans="1:16" ht="14.25" customHeight="1">
      <c r="A174">
        <v>173</v>
      </c>
      <c r="B174">
        <v>0</v>
      </c>
      <c r="C174">
        <v>0</v>
      </c>
      <c r="E174">
        <v>1</v>
      </c>
      <c r="F174">
        <v>12</v>
      </c>
      <c r="G174" s="8" t="s">
        <v>159</v>
      </c>
      <c r="H174" s="15" t="s">
        <v>2806</v>
      </c>
      <c r="I174" s="18"/>
      <c r="J174" t="str">
        <f>IF(LEN(VLOOKUP(表1[[#This Row],[id]],数据引用!A:C,3,FALSE))&gt;0,VLOOKUP(表1[[#This Row],[id]],数据引用!A:C,3,FALSE),"")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4" s="5"/>
    </row>
    <row r="175" spans="1:16" ht="14.25" customHeight="1">
      <c r="A175">
        <v>174</v>
      </c>
      <c r="B175">
        <v>0</v>
      </c>
      <c r="C175">
        <v>0</v>
      </c>
      <c r="E175">
        <v>1</v>
      </c>
      <c r="F175">
        <v>12</v>
      </c>
      <c r="G175" s="8" t="s">
        <v>160</v>
      </c>
      <c r="H175" s="15" t="s">
        <v>2807</v>
      </c>
      <c r="I175" s="18"/>
      <c r="J175" t="str">
        <f>IF(LEN(VLOOKUP(表1[[#This Row],[id]],数据引用!A:C,3,FALSE))&gt;0,VLOOKUP(表1[[#This Row],[id]],数据引用!A:C,3,FALSE),"")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5" s="5"/>
    </row>
    <row r="176" spans="1:16" ht="14.25" customHeight="1">
      <c r="A176">
        <v>175</v>
      </c>
      <c r="B176">
        <v>0</v>
      </c>
      <c r="C176">
        <v>0</v>
      </c>
      <c r="E176">
        <v>1</v>
      </c>
      <c r="F176">
        <v>12</v>
      </c>
      <c r="G176" s="8" t="s">
        <v>161</v>
      </c>
      <c r="H176" s="15" t="s">
        <v>2808</v>
      </c>
      <c r="I176" s="18"/>
      <c r="J176" t="str">
        <f>IF(LEN(VLOOKUP(表1[[#This Row],[id]],数据引用!A:C,3,FALSE))&gt;0,VLOOKUP(表1[[#This Row],[id]],数据引用!A:C,3,FALSE),"")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6" s="5"/>
    </row>
    <row r="177" spans="1:16" ht="14.25" customHeight="1">
      <c r="A177">
        <v>176</v>
      </c>
      <c r="B177">
        <v>0</v>
      </c>
      <c r="C177">
        <v>0</v>
      </c>
      <c r="E177">
        <v>1</v>
      </c>
      <c r="F177">
        <v>12</v>
      </c>
      <c r="G177" s="1" t="s">
        <v>162</v>
      </c>
      <c r="H177" s="16" t="s">
        <v>2809</v>
      </c>
      <c r="I177" s="18"/>
      <c r="J177" t="str">
        <f>IF(LEN(VLOOKUP(表1[[#This Row],[id]],数据引用!A:C,3,FALSE))&gt;0,VLOOKUP(表1[[#This Row],[id]],数据引用!A:C,3,FALSE),"")</f>
        <v>全角色</v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P177" s="5"/>
    </row>
    <row r="178" spans="1:16" ht="14.25" customHeight="1">
      <c r="A178">
        <v>177</v>
      </c>
      <c r="B178">
        <v>0</v>
      </c>
      <c r="C178">
        <v>0</v>
      </c>
      <c r="E178">
        <v>1</v>
      </c>
      <c r="F178">
        <v>12</v>
      </c>
      <c r="G178" s="1" t="s">
        <v>163</v>
      </c>
      <c r="H178" s="16" t="s">
        <v>2810</v>
      </c>
      <c r="I178" s="18"/>
      <c r="J178" t="str">
        <f>IF(LEN(VLOOKUP(表1[[#This Row],[id]],数据引用!A:C,3,FALSE))&gt;0,VLOOKUP(表1[[#This Row],[id]],数据引用!A:C,3,FALSE),"")</f>
        <v>故事模式</v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78" s="5"/>
    </row>
    <row r="179" spans="1:16" ht="14.25" customHeight="1">
      <c r="A179">
        <v>180</v>
      </c>
      <c r="B179">
        <v>0</v>
      </c>
      <c r="C179">
        <v>0</v>
      </c>
      <c r="E179" t="s">
        <v>2570</v>
      </c>
      <c r="F179">
        <v>6</v>
      </c>
      <c r="G179" s="1" t="s">
        <v>166</v>
      </c>
      <c r="H179" s="16" t="s">
        <v>2811</v>
      </c>
      <c r="I179" s="18"/>
      <c r="J179" t="str">
        <f>IF(LEN(VLOOKUP(表1[[#This Row],[id]],数据引用!A:C,3,FALSE))&gt;0,VLOOKUP(表1[[#This Row],[id]],数据引用!A:C,3,FALSE),"")</f>
        <v>摧毁石棺</v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font-size:12;"&gt;摧毁石棺&lt;/text&gt;&lt;text transform="matrix(1 0 0 1 0 10.3205)" style="fill:#FFFFFF; font-family:'FZXS12--GB1-0'; font-size:12;"&gt;摧毁石棺&lt;/text&gt;&lt;/svg&gt;</v>
      </c>
      <c r="P179" s="5"/>
    </row>
    <row r="180" spans="1:16" ht="14.25" customHeight="1">
      <c r="A180">
        <v>181</v>
      </c>
      <c r="B180">
        <v>0</v>
      </c>
      <c r="C180">
        <v>0</v>
      </c>
      <c r="E180" t="s">
        <v>2570</v>
      </c>
      <c r="F180">
        <v>6</v>
      </c>
      <c r="G180" s="1" t="s">
        <v>167</v>
      </c>
      <c r="H180" s="16" t="s">
        <v>2812</v>
      </c>
      <c r="I180" s="18"/>
      <c r="J180" t="str">
        <f>IF(LEN(VLOOKUP(表1[[#This Row],[id]],数据引用!A:C,3,FALSE))&gt;0,VLOOKUP(表1[[#This Row],[id]],数据引用!A:C,3,FALSE),"")</f>
        <v>解锁条件：完成区域1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P180" s="5"/>
    </row>
    <row r="181" spans="1:16" ht="14.25" customHeight="1">
      <c r="A181">
        <v>182</v>
      </c>
      <c r="B181">
        <v>0</v>
      </c>
      <c r="C181">
        <v>0</v>
      </c>
      <c r="E181" t="s">
        <v>2570</v>
      </c>
      <c r="F181">
        <v>6</v>
      </c>
      <c r="G181" s="1" t="s">
        <v>168</v>
      </c>
      <c r="H181" s="16" t="s">
        <v>2813</v>
      </c>
      <c r="I181" s="18"/>
      <c r="J181" t="str">
        <f>IF(LEN(VLOOKUP(表1[[#This Row],[id]],数据引用!A:C,3,FALSE))&gt;0,VLOOKUP(表1[[#This Row],[id]],数据引用!A:C,3,FALSE),"")</f>
        <v>解锁条件：完成区域2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P181" s="5"/>
    </row>
    <row r="182" spans="1:16" ht="14.25" customHeight="1">
      <c r="A182">
        <v>183</v>
      </c>
      <c r="B182">
        <v>0</v>
      </c>
      <c r="C182">
        <v>0</v>
      </c>
      <c r="E182" t="s">
        <v>2570</v>
      </c>
      <c r="F182">
        <v>6</v>
      </c>
      <c r="G182" s="1" t="s">
        <v>169</v>
      </c>
      <c r="H182" s="16" t="s">
        <v>2814</v>
      </c>
      <c r="I182" s="18"/>
      <c r="J182" t="str">
        <f>IF(LEN(VLOOKUP(表1[[#This Row],[id]],数据引用!A:C,3,FALSE))&gt;0,VLOOKUP(表1[[#This Row],[id]],数据引用!A:C,3,FALSE),"")</f>
        <v>解锁条件：完成区域3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P182" s="5"/>
    </row>
    <row r="183" spans="1:16" ht="14.25" customHeight="1">
      <c r="A183">
        <v>184</v>
      </c>
      <c r="B183">
        <v>0</v>
      </c>
      <c r="C183">
        <v>0</v>
      </c>
      <c r="E183" t="s">
        <v>2570</v>
      </c>
      <c r="F183">
        <v>6</v>
      </c>
      <c r="G183" s="1" t="s">
        <v>170</v>
      </c>
      <c r="H183" s="16" t="s">
        <v>2815</v>
      </c>
      <c r="I183" s="18"/>
      <c r="J183" t="str">
        <f>IF(LEN(VLOOKUP(表1[[#This Row],[id]],数据引用!A:C,3,FALSE))&gt;0,VLOOKUP(表1[[#This Row],[id]],数据引用!A:C,3,FALSE),"")</f>
        <v>解锁条件：完成区域4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P183" s="5"/>
    </row>
    <row r="184" spans="1:16" ht="14.25" customHeight="1">
      <c r="A184">
        <v>185</v>
      </c>
      <c r="B184">
        <v>0</v>
      </c>
      <c r="C184">
        <v>0</v>
      </c>
      <c r="E184" t="s">
        <v>2570</v>
      </c>
      <c r="F184">
        <v>6</v>
      </c>
      <c r="G184" s="1" t="s">
        <v>171</v>
      </c>
      <c r="H184" s="16" t="s">
        <v>2816</v>
      </c>
      <c r="I184" s="18"/>
      <c r="J184" t="str">
        <f>IF(LEN(VLOOKUP(表1[[#This Row],[id]],数据引用!A:C,3,FALSE))&gt;0,VLOOKUP(表1[[#This Row],[id]],数据引用!A:C,3,FALSE),"")</f>
        <v>解锁条件：完成区域"龙王"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font-size:12;"&gt;解锁条件：完成区域"龙王"&lt;/text&gt;&lt;text transform="matrix(1 0 0 1 0 10.3205)" style="fill:#FFFFFF; font-family:'FZXS12--GB1-0'; font-size:12;"&gt;解锁条件：完成区域"龙王"&lt;/text&gt;&lt;/svg&gt;</v>
      </c>
      <c r="P184" s="5"/>
    </row>
    <row r="185" spans="1:16" ht="14.25" customHeight="1">
      <c r="A185">
        <v>186</v>
      </c>
      <c r="B185">
        <v>0</v>
      </c>
      <c r="C185">
        <v>0</v>
      </c>
      <c r="E185" t="s">
        <v>2570</v>
      </c>
      <c r="F185">
        <v>6</v>
      </c>
      <c r="G185" s="1" t="s">
        <v>172</v>
      </c>
      <c r="H185" s="16" t="s">
        <v>2817</v>
      </c>
      <c r="I185" s="18"/>
      <c r="J185" t="str">
        <f>IF(LEN(VLOOKUP(表1[[#This Row],[id]],数据引用!A:C,3,FALSE))&gt;0,VLOOKUP(表1[[#This Row],[id]],数据引用!A:C,3,FALSE),"")</f>
        <v>解锁条件：完成区域"陷阱大师"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font-size:12;"&gt;解锁条件：完成区域"陷阱大师"&lt;/text&gt;&lt;text transform="matrix(1 0 0 1 0 10.3205)" style="fill:#FFFFFF; font-family:'FZXS12--GB1-0'; font-size:12;"&gt;解锁条件：完成区域"陷阱大师"&lt;/text&gt;&lt;/svg&gt;</v>
      </c>
      <c r="P185" s="5"/>
    </row>
    <row r="186" spans="1:16" ht="14.25" customHeight="1">
      <c r="A186">
        <v>187</v>
      </c>
      <c r="B186">
        <v>0</v>
      </c>
      <c r="C186">
        <v>0</v>
      </c>
      <c r="E186" t="s">
        <v>2570</v>
      </c>
      <c r="F186">
        <v>6</v>
      </c>
      <c r="G186" s="1" t="s">
        <v>173</v>
      </c>
      <c r="H186" s="16" t="s">
        <v>2818</v>
      </c>
      <c r="I186" s="18"/>
      <c r="J186" t="str">
        <f>IF(LEN(VLOOKUP(表1[[#This Row],[id]],数据引用!A:C,3,FALSE))&gt;0,VLOOKUP(表1[[#This Row],[id]],数据引用!A:C,3,FALSE),"")</f>
        <v>解锁条件：完成区域"爆炸大师"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font-size:12;"&gt;解锁条件：完成区域"爆炸大师"&lt;/text&gt;&lt;text transform="matrix(1 0 0 1 0 10.3205)" style="fill:#FFFFFF; font-family:'FZXS12--GB1-0'; font-size:12;"&gt;解锁条件：完成区域"爆炸大师"&lt;/text&gt;&lt;/svg&gt;</v>
      </c>
      <c r="P186" s="5"/>
    </row>
    <row r="187" spans="1:16" ht="14.25" customHeight="1">
      <c r="A187">
        <v>188</v>
      </c>
      <c r="B187">
        <v>0</v>
      </c>
      <c r="C187">
        <v>0</v>
      </c>
      <c r="E187" t="s">
        <v>2570</v>
      </c>
      <c r="F187">
        <v>6</v>
      </c>
      <c r="G187" s="1" t="s">
        <v>174</v>
      </c>
      <c r="H187" s="16" t="s">
        <v>2819</v>
      </c>
      <c r="I187" s="18"/>
      <c r="J187" t="str">
        <f>IF(LEN(VLOOKUP(表1[[#This Row],[id]],数据引用!A:C,3,FALSE))&gt;0,VLOOKUP(表1[[#This Row],[id]],数据引用!A:C,3,FALSE),"")</f>
        <v>解锁条件：使用MONK通关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font-size:12;"&gt;解锁条件：使用MONK通关&lt;/text&gt;&lt;text transform="matrix(1 0 0 1 0 10.3205)" style="fill:#FFFFFF; font-family:'FZXS12--GB1-0'; font-size:12;"&gt;解锁条件：使用MONK通关&lt;/text&gt;&lt;/svg&gt;</v>
      </c>
      <c r="P187" s="5"/>
    </row>
    <row r="188" spans="1:16" ht="14.25" customHeight="1">
      <c r="A188">
        <v>189</v>
      </c>
      <c r="B188">
        <v>0</v>
      </c>
      <c r="C188">
        <v>0</v>
      </c>
      <c r="E188" t="s">
        <v>2570</v>
      </c>
      <c r="F188">
        <v>6</v>
      </c>
      <c r="G188" s="1" t="s">
        <v>175</v>
      </c>
      <c r="H188" s="16" t="s">
        <v>2820</v>
      </c>
      <c r="I188" s="18"/>
      <c r="J188" t="str">
        <f>IF(LEN(VLOOKUP(表1[[#This Row],[id]],数据引用!A:C,3,FALSE))&gt;0,VLOOKUP(表1[[#This Row],[id]],数据引用!A:C,3,FALSE),"")</f>
        <v>解锁条件：使用MELODY通关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font-size:12;"&gt;解锁条件：使用MELODY通关&lt;/text&gt;&lt;text transform="matrix(1 0 0 1 0 10.3205)" style="fill:#FFFFFF; font-family:'FZXS12--GB1-0'; font-size:12;"&gt;解锁条件：使用MELODY通关&lt;/text&gt;&lt;/svg&gt;</v>
      </c>
      <c r="P188" s="5"/>
    </row>
    <row r="189" spans="1:16" ht="14.25" customHeight="1">
      <c r="A189">
        <v>190</v>
      </c>
      <c r="B189">
        <v>0</v>
      </c>
      <c r="C189">
        <v>0</v>
      </c>
      <c r="E189" t="s">
        <v>2570</v>
      </c>
      <c r="F189">
        <v>6</v>
      </c>
      <c r="G189" s="1" t="s">
        <v>176</v>
      </c>
      <c r="H189" s="16" t="s">
        <v>2821</v>
      </c>
      <c r="I189" s="18"/>
      <c r="J189" t="str">
        <f>IF(LEN(VLOOKUP(表1[[#This Row],[id]],数据引用!A:C,3,FALSE))&gt;0,VLOOKUP(表1[[#This Row],[id]],数据引用!A:C,3,FALSE),"")</f>
        <v>解锁条件：使用CADENCE完成区域4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font-size:12;"&gt;解锁条件：使用CADENCE完成区域4&lt;/text&gt;&lt;text transform="matrix(1 0 0 1 0 10.3205)" style="fill:#FFFFFF; font-family:'FZXS12--GB1-0'; font-size:12;"&gt;解锁条件：使用CADENCE完成区域4&lt;/text&gt;&lt;/svg&gt;</v>
      </c>
      <c r="P189" s="5"/>
    </row>
    <row r="190" spans="1:16" ht="14.25" customHeight="1">
      <c r="A190">
        <v>191</v>
      </c>
      <c r="B190">
        <v>0</v>
      </c>
      <c r="C190">
        <v>0</v>
      </c>
      <c r="E190" t="s">
        <v>2570</v>
      </c>
      <c r="F190">
        <v>6</v>
      </c>
      <c r="G190" s="1" t="s">
        <v>177</v>
      </c>
      <c r="H190" s="16" t="s">
        <v>2822</v>
      </c>
      <c r="I190" s="18"/>
      <c r="J190" t="str">
        <f>IF(LEN(VLOOKUP(表1[[#This Row],[id]],数据引用!A:C,3,FALSE))&gt;0,VLOOKUP(表1[[#This Row],[id]],数据引用!A:C,3,FALSE),"")</f>
        <v>解锁条件：使用CADENCE通关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font-size:12;"&gt;解锁条件：使用CADENCE通关&lt;/text&gt;&lt;text transform="matrix(1 0 0 1 0 10.3205)" style="fill:#FFFFFF; font-family:'FZXS12--GB1-0'; font-size:12;"&gt;解锁条件：使用CADENCE通关&lt;/text&gt;&lt;/svg&gt;</v>
      </c>
      <c r="P190" s="5"/>
    </row>
    <row r="191" spans="1:16" ht="14.25" customHeight="1">
      <c r="A191">
        <v>192</v>
      </c>
      <c r="B191">
        <v>0</v>
      </c>
      <c r="C191">
        <v>0</v>
      </c>
      <c r="E191" t="s">
        <v>2570</v>
      </c>
      <c r="F191">
        <v>6</v>
      </c>
      <c r="G191" s="1" t="s">
        <v>178</v>
      </c>
      <c r="H191" s="16" t="s">
        <v>2823</v>
      </c>
      <c r="I191" s="18"/>
      <c r="J191" t="str">
        <f>IF(LEN(VLOOKUP(表1[[#This Row],[id]],数据引用!A:C,3,FALSE))&gt;0,VLOOKUP(表1[[#This Row],[id]],数据引用!A:C,3,FALSE),"")</f>
        <v>解锁条件：使用所有角色通关（不包括Coda）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font-size:12;"&gt;解锁条件：使用所有角色通关（不包括Coda）&lt;/text&gt;&lt;text transform="matrix(1 0 0 1 0 10.3205)" style="fill:#FFFFFF; font-family:'FZXS12--GB1-0'; font-size:12;"&gt;解锁条件：使用所有角色通关（不包括Coda）&lt;/text&gt;&lt;/svg&gt;</v>
      </c>
      <c r="P191" s="5"/>
    </row>
    <row r="192" spans="1:16" ht="14.25" customHeight="1">
      <c r="A192">
        <v>193</v>
      </c>
      <c r="B192">
        <v>0</v>
      </c>
      <c r="C192">
        <v>0</v>
      </c>
      <c r="E192" t="s">
        <v>2570</v>
      </c>
      <c r="F192">
        <v>6</v>
      </c>
      <c r="G192" s="1" t="s">
        <v>179</v>
      </c>
      <c r="H192" s="16" t="s">
        <v>2824</v>
      </c>
      <c r="I192" s="18"/>
      <c r="J192" t="str">
        <f>IF(LEN(VLOOKUP(表1[[#This Row],[id]],数据引用!A:C,3,FALSE))&gt;0,VLOOKUP(表1[[#This Row],[id]],数据引用!A:C,3,FALSE),"")</f>
        <v>解锁条件：解锁所有角色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font-size:12;"&gt;解锁条件：解锁所有角色&lt;/text&gt;&lt;text transform="matrix(1 0 0 1 0 10.3205)" style="fill:#FFFFFF; font-family:'FZXS12--GB1-0'; font-size:12;"&gt;解锁条件：解锁所有角色&lt;/text&gt;&lt;/svg&gt;</v>
      </c>
      <c r="P192" s="5"/>
    </row>
    <row r="193" spans="1:16" ht="14.25" customHeight="1">
      <c r="A193">
        <v>194</v>
      </c>
      <c r="B193">
        <v>0</v>
      </c>
      <c r="C193">
        <v>0</v>
      </c>
      <c r="E193" t="s">
        <v>2570</v>
      </c>
      <c r="F193">
        <v>6</v>
      </c>
      <c r="G193" s="1" t="s">
        <v>180</v>
      </c>
      <c r="H193" s="16" t="s">
        <v>2825</v>
      </c>
      <c r="I193" s="18"/>
      <c r="J193" t="str">
        <f>IF(LEN(VLOOKUP(表1[[#This Row],[id]],数据引用!A:C,3,FALSE))&gt;0,VLOOKUP(表1[[#This Row],[id]],数据引用!A:C,3,FALSE),"")</f>
        <v>已经完成！</v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font-size:12;"&gt;已经完成！&lt;/text&gt;&lt;text transform="matrix(1 0 0 1 0 10.3205)" style="fill:#FFFFFF; font-family:'FZXS12--GB1-0'; font-size:12;"&gt;已经完成！&lt;/text&gt;&lt;/svg&gt;</v>
      </c>
      <c r="P193" s="5"/>
    </row>
    <row r="194" spans="1:16" ht="14.25" customHeight="1">
      <c r="A194">
        <v>195</v>
      </c>
      <c r="B194">
        <v>0</v>
      </c>
      <c r="C194">
        <v>0</v>
      </c>
      <c r="E194" t="s">
        <v>2570</v>
      </c>
      <c r="F194">
        <v>6</v>
      </c>
      <c r="G194" s="1" t="s">
        <v>181</v>
      </c>
      <c r="H194" s="16" t="s">
        <v>2826</v>
      </c>
      <c r="I194" s="18"/>
      <c r="J194" t="str">
        <f>IF(LEN(VLOOKUP(表1[[#This Row],[id]],数据引用!A:C,3,FALSE))&gt;0,VLOOKUP(表1[[#This Row],[id]],数据引用!A:C,3,FALSE),"")</f>
        <v>只能使用CADENCE</v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font-size:12;"&gt;只能使用CADENCE&lt;/text&gt;&lt;text transform="matrix(1 0 0 1 0 10.3205)" style="fill:#FFFFFF; font-family:'FZXS12--GB1-0'; font-size:12;"&gt;只能使用CADENCE&lt;/text&gt;&lt;/svg&gt;</v>
      </c>
      <c r="P194" s="5"/>
    </row>
    <row r="195" spans="1:16" ht="14.25" customHeight="1">
      <c r="A195">
        <v>196</v>
      </c>
      <c r="B195">
        <v>0</v>
      </c>
      <c r="C195">
        <v>0</v>
      </c>
      <c r="E195" t="s">
        <v>2570</v>
      </c>
      <c r="F195">
        <v>6</v>
      </c>
      <c r="G195" s="1" t="s">
        <v>182</v>
      </c>
      <c r="H195" s="16" t="s">
        <v>2827</v>
      </c>
      <c r="I195" s="18"/>
      <c r="J195" t="str">
        <f>IF(LEN(VLOOKUP(表1[[#This Row],[id]],数据引用!A:C,3,FALSE))&gt;0,VLOOKUP(表1[[#This Row],[id]],数据引用!A:C,3,FALSE),"")</f>
        <v>只能使用MELODY</v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font-size:12;"&gt;只能使用MELODY&lt;/text&gt;&lt;text transform="matrix(1 0 0 1 0 10.3205)" style="fill:#FFFFFF; font-family:'FZXS12--GB1-0'; font-size:12;"&gt;只能使用MELODY&lt;/text&gt;&lt;/svg&gt;</v>
      </c>
      <c r="P195" s="5"/>
    </row>
    <row r="196" spans="1:16" ht="14.25" customHeight="1">
      <c r="A196">
        <v>197</v>
      </c>
      <c r="B196">
        <v>0</v>
      </c>
      <c r="C196">
        <v>0</v>
      </c>
      <c r="E196" t="s">
        <v>2570</v>
      </c>
      <c r="F196">
        <v>6</v>
      </c>
      <c r="G196" s="1" t="s">
        <v>183</v>
      </c>
      <c r="H196" s="16" t="s">
        <v>2828</v>
      </c>
      <c r="I196" s="18"/>
      <c r="J196" t="str">
        <f>IF(LEN(VLOOKUP(表1[[#This Row],[id]],数据引用!A:C,3,FALSE))&gt;0,VLOOKUP(表1[[#This Row],[id]],数据引用!A:C,3,FALSE),"")</f>
        <v>只能使用ARIA</v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font-size:12;"&gt;只能使用ARIA&lt;/text&gt;&lt;text transform="matrix(1 0 0 1 0 10.3205)" style="fill:#FFFFFF; font-family:'FZXS12--GB1-0'; font-size:12;"&gt;只能使用ARIA&lt;/text&gt;&lt;/svg&gt;</v>
      </c>
      <c r="P196" s="5"/>
    </row>
    <row r="197" spans="1:16" ht="14.25" customHeight="1">
      <c r="A197">
        <v>198</v>
      </c>
      <c r="B197">
        <v>0</v>
      </c>
      <c r="C197">
        <v>0</v>
      </c>
      <c r="E197" t="s">
        <v>2570</v>
      </c>
      <c r="F197">
        <v>6</v>
      </c>
      <c r="G197" s="1" t="s">
        <v>184</v>
      </c>
      <c r="H197" s="16" t="s">
        <v>2829</v>
      </c>
      <c r="I197" s="18"/>
      <c r="J197" t="str">
        <f>IF(LEN(VLOOKUP(表1[[#This Row],[id]],数据引用!A:C,3,FALSE))&gt;0,VLOOKUP(表1[[#This Row],[id]],数据引用!A:C,3,FALSE),"")</f>
        <v>击败miniboss</v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font-size:12;"&gt;击败miniboss&lt;/text&gt;&lt;text transform="matrix(1 0 0 1 0 10.3205)" style="fill:#FFFFFF; font-family:'FZXS12--GB1-0'; font-size:12;"&gt;击败miniboss&lt;/text&gt;&lt;/svg&gt;</v>
      </c>
      <c r="P197" s="5"/>
    </row>
    <row r="198" spans="1:16" ht="14.25" customHeight="1">
      <c r="A198">
        <v>200</v>
      </c>
      <c r="B198">
        <v>0</v>
      </c>
      <c r="C198">
        <v>0</v>
      </c>
      <c r="E198" t="s">
        <v>2570</v>
      </c>
      <c r="F198">
        <v>6</v>
      </c>
      <c r="G198" s="1" t="s">
        <v>185</v>
      </c>
      <c r="H198" s="16" t="s">
        <v>2830</v>
      </c>
      <c r="I198" s="18"/>
      <c r="J198" t="str">
        <f>IF(LEN(VLOOKUP(表1[[#This Row],[id]],数据引用!A:C,3,FALSE))&gt;0,VLOOKUP(表1[[#This Row],[id]],数据引用!A:C,3,FALSE),"")</f>
        <v>败北！</v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font-size:12;"&gt;败北！&lt;/text&gt;&lt;text transform="matrix(1 0 0 1 0 10.3205)" style="fill:#FFFFFF; font-family:'FZXS12--GB1-0'; font-size:12;"&gt;败北！&lt;/text&gt;&lt;/svg&gt;</v>
      </c>
      <c r="P198" s="5"/>
    </row>
    <row r="199" spans="1:16" ht="14.25" customHeight="1">
      <c r="A199">
        <v>201</v>
      </c>
      <c r="B199">
        <v>0</v>
      </c>
      <c r="C199">
        <v>0</v>
      </c>
      <c r="E199" t="s">
        <v>2570</v>
      </c>
      <c r="F199">
        <v>6</v>
      </c>
      <c r="G199" s="1" t="s">
        <v>186</v>
      </c>
      <c r="H199" s="16" t="s">
        <v>2831</v>
      </c>
      <c r="I199" s="18"/>
      <c r="J199" t="str">
        <f>IF(LEN(VLOOKUP(表1[[#This Row],[id]],数据引用!A:C,3,FALSE))&gt;0,VLOOKUP(表1[[#This Row],[id]],数据引用!A:C,3,FALSE),"")</f>
        <v>无敌！</v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P199" s="5"/>
    </row>
    <row r="200" spans="1:16" ht="14.25" customHeight="1">
      <c r="A200">
        <v>202</v>
      </c>
      <c r="B200">
        <v>0</v>
      </c>
      <c r="C200">
        <v>0</v>
      </c>
      <c r="E200" t="s">
        <v>2570</v>
      </c>
      <c r="F200">
        <v>6</v>
      </c>
      <c r="G200" s="1" t="s">
        <v>187</v>
      </c>
      <c r="H200" s="16" t="s">
        <v>2832</v>
      </c>
      <c r="I200" s="18"/>
      <c r="J200" t="str">
        <f>IF(LEN(VLOOKUP(表1[[#This Row],[id]],数据引用!A:C,3,FALSE))&gt;0,VLOOKUP(表1[[#This Row],[id]],数据引用!A:C,3,FALSE),"")</f>
        <v>被护盾吸收！</v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font-size:12;"&gt;被护盾吸收！&lt;/text&gt;&lt;text transform="matrix(1 0 0 1 0 10.3205)" style="fill:#FFFFFF; font-family:'FZXS12--GB1-0'; font-size:12;"&gt;被护盾吸收！&lt;/text&gt;&lt;/svg&gt;</v>
      </c>
      <c r="P200" s="5"/>
    </row>
    <row r="201" spans="1:16" ht="14.25" customHeight="1">
      <c r="A201">
        <v>203</v>
      </c>
      <c r="B201">
        <v>0</v>
      </c>
      <c r="C201">
        <v>0</v>
      </c>
      <c r="E201" t="s">
        <v>2570</v>
      </c>
      <c r="F201">
        <v>6</v>
      </c>
      <c r="G201" s="1" t="s">
        <v>188</v>
      </c>
      <c r="H201" s="16" t="s">
        <v>2833</v>
      </c>
      <c r="I201" s="18"/>
      <c r="J201" t="str">
        <f>IF(LEN(VLOOKUP(表1[[#This Row],[id]],数据引用!A:C,3,FALSE))&gt;0,VLOOKUP(表1[[#This Row],[id]],数据引用!A:C,3,FALSE),"")</f>
        <v>躲闪！</v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font-size:12;"&gt;躲闪！&lt;/text&gt;&lt;text transform="matrix(1 0 0 1 0 10.3205)" style="fill:#FFFFFF; font-family:'FZXS12--GB1-0'; font-size:12;"&gt;躲闪！&lt;/text&gt;&lt;/svg&gt;</v>
      </c>
      <c r="P201" s="5"/>
    </row>
    <row r="202" spans="1:16" ht="14.25" customHeight="1">
      <c r="A202">
        <v>204</v>
      </c>
      <c r="B202">
        <v>0</v>
      </c>
      <c r="C202">
        <v>0</v>
      </c>
      <c r="E202" t="s">
        <v>2570</v>
      </c>
      <c r="F202">
        <v>6</v>
      </c>
      <c r="G202" s="1" t="s">
        <v>189</v>
      </c>
      <c r="H202" s="16" t="s">
        <v>2834</v>
      </c>
      <c r="I202" s="18"/>
      <c r="J202" t="str">
        <f>IF(LEN(VLOOKUP(表1[[#This Row],[id]],数据引用!A:C,3,FALSE))&gt;0,VLOOKUP(表1[[#This Row],[id]],数据引用!A:C,3,FALSE),"")</f>
        <v>吹风！</v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font-size:12;"&gt;吹风！&lt;/text&gt;&lt;text transform="matrix(1 0 0 1 0 10.3205)" style="fill:#FFFFFF; font-family:'FZXS12--GB1-0'; font-size:12;"&gt;吹风！&lt;/text&gt;&lt;/svg&gt;</v>
      </c>
      <c r="P202" s="5"/>
    </row>
    <row r="203" spans="1:16" ht="14.25" customHeight="1">
      <c r="A203">
        <v>205</v>
      </c>
      <c r="B203">
        <v>0</v>
      </c>
      <c r="C203">
        <v>0</v>
      </c>
      <c r="E203" t="s">
        <v>2570</v>
      </c>
      <c r="F203">
        <v>6</v>
      </c>
      <c r="G203" s="1" t="s">
        <v>190</v>
      </c>
      <c r="H203" s="16" t="s">
        <v>2835</v>
      </c>
      <c r="I203" s="18"/>
      <c r="J203" t="str">
        <f>IF(LEN(VLOOKUP(表1[[#This Row],[id]],数据引用!A:C,3,FALSE))&gt;0,VLOOKUP(表1[[#This Row],[id]],数据引用!A:C,3,FALSE),"")</f>
        <v>迷惑！</v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font-size:12;"&gt;迷惑！&lt;/text&gt;&lt;text transform="matrix(1 0 0 1 0 10.3205)" style="fill:#FFFFFF; font-family:'FZXS12--GB1-0'; font-size:12;"&gt;迷惑！&lt;/text&gt;&lt;/svg&gt;</v>
      </c>
      <c r="P203" s="5"/>
    </row>
    <row r="204" spans="1:16" ht="14.25" customHeight="1">
      <c r="A204">
        <v>206</v>
      </c>
      <c r="B204">
        <v>0</v>
      </c>
      <c r="C204">
        <v>0</v>
      </c>
      <c r="E204" t="s">
        <v>2570</v>
      </c>
      <c r="F204">
        <v>6</v>
      </c>
      <c r="G204" s="1" t="s">
        <v>191</v>
      </c>
      <c r="H204" s="16" t="s">
        <v>2836</v>
      </c>
      <c r="I204" s="18"/>
      <c r="J204" t="str">
        <f>IF(LEN(VLOOKUP(表1[[#This Row],[id]],数据引用!A:C,3,FALSE))&gt;0,VLOOKUP(表1[[#This Row],[id]],数据引用!A:C,3,FALSE),"")</f>
        <v>无敌！找到鲁特琴！</v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font-size:12;"&gt;无敌！找到鲁特琴！&lt;/text&gt;&lt;text transform="matrix(1 0 0 1 0 10.3205)" style="fill:#FFFFFF; font-family:'FZXS12--GB1-0'; font-size:12;"&gt;无敌！找到鲁特琴！&lt;/text&gt;&lt;/svg&gt;</v>
      </c>
      <c r="P204" s="5"/>
    </row>
    <row r="205" spans="1:16" ht="14.25" customHeight="1">
      <c r="A205">
        <v>207</v>
      </c>
      <c r="B205">
        <v>0</v>
      </c>
      <c r="C205">
        <v>0</v>
      </c>
      <c r="E205" t="s">
        <v>2570</v>
      </c>
      <c r="F205">
        <v>6</v>
      </c>
      <c r="G205" s="1" t="s">
        <v>186</v>
      </c>
      <c r="H205" s="16" t="s">
        <v>2837</v>
      </c>
      <c r="I205" s="18"/>
      <c r="J205" t="str">
        <f>IF(LEN(VLOOKUP(表1[[#This Row],[id]],数据引用!A:C,3,FALSE))&gt;0,VLOOKUP(表1[[#This Row],[id]],数据引用!A:C,3,FALSE),"")</f>
        <v>无敌！</v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P205" s="5"/>
    </row>
    <row r="206" spans="1:16" ht="14.25" customHeight="1">
      <c r="A206">
        <v>208</v>
      </c>
      <c r="B206">
        <v>0</v>
      </c>
      <c r="C206">
        <v>0</v>
      </c>
      <c r="E206" t="s">
        <v>2570</v>
      </c>
      <c r="F206">
        <v>6</v>
      </c>
      <c r="G206" s="1" t="s">
        <v>192</v>
      </c>
      <c r="H206" s="16" t="s">
        <v>2838</v>
      </c>
      <c r="I206" s="18"/>
      <c r="J206" t="str">
        <f>IF(LEN(VLOOKUP(表1[[#This Row],[id]],数据引用!A:C,3,FALSE))&gt;0,VLOOKUP(表1[[#This Row],[id]],数据引用!A:C,3,FALSE),"")</f>
        <v>被传送！</v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font-size:12;"&gt;被传送！&lt;/text&gt;&lt;text transform="matrix(1 0 0 1 0 10.3205)" style="fill:#FFFFFF; font-family:'FZXS12--GB1-0'; font-size:12;"&gt;被传送！&lt;/text&gt;&lt;/svg&gt;</v>
      </c>
      <c r="P206" s="5"/>
    </row>
    <row r="207" spans="1:16" ht="14.25" customHeight="1">
      <c r="A207">
        <v>209</v>
      </c>
      <c r="B207">
        <v>0</v>
      </c>
      <c r="C207">
        <v>0</v>
      </c>
      <c r="E207" t="s">
        <v>2570</v>
      </c>
      <c r="F207">
        <v>6</v>
      </c>
      <c r="G207" s="1" t="s">
        <v>193</v>
      </c>
      <c r="H207" s="16" t="s">
        <v>2839</v>
      </c>
      <c r="I207" s="18"/>
      <c r="J207" t="str">
        <f>IF(LEN(VLOOKUP(表1[[#This Row],[id]],数据引用!A:C,3,FALSE))&gt;0,VLOOKUP(表1[[#This Row],[id]],数据引用!A:C,3,FALSE),"")</f>
        <v>被迷惑！</v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font-size:12;"&gt;被迷惑！&lt;/text&gt;&lt;text transform="matrix(1 0 0 1 0 10.3205)" style="fill:#FFFFFF; font-family:'FZXS12--GB1-0'; font-size:12;"&gt;被迷惑！&lt;/text&gt;&lt;/svg&gt;</v>
      </c>
      <c r="P207" s="5"/>
    </row>
    <row r="208" spans="1:16" ht="14.25" customHeight="1">
      <c r="A208">
        <v>210</v>
      </c>
      <c r="B208">
        <v>0</v>
      </c>
      <c r="C208">
        <v>0</v>
      </c>
      <c r="E208" t="s">
        <v>2570</v>
      </c>
      <c r="F208">
        <v>6</v>
      </c>
      <c r="G208" s="1" t="s">
        <v>194</v>
      </c>
      <c r="H208" s="16" t="s">
        <v>2840</v>
      </c>
      <c r="I208" s="18"/>
      <c r="J208" t="str">
        <f>IF(LEN(VLOOKUP(表1[[#This Row],[id]],数据引用!A:C,3,FALSE))&gt;0,VLOOKUP(表1[[#This Row],[id]],数据引用!A:C,3,FALSE),"")</f>
        <v>免疫！</v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font-size:12;"&gt;免疫！&lt;/text&gt;&lt;text transform="matrix(1 0 0 1 0 10.3205)" style="fill:#FFFFFF; font-family:'FZXS12--GB1-0'; font-size:12;"&gt;免疫！&lt;/text&gt;&lt;/svg&gt;</v>
      </c>
      <c r="P208" s="5"/>
    </row>
    <row r="209" spans="1:16" ht="14.25" customHeight="1">
      <c r="A209">
        <v>211</v>
      </c>
      <c r="B209">
        <v>0</v>
      </c>
      <c r="C209">
        <v>0</v>
      </c>
      <c r="E209" t="s">
        <v>2570</v>
      </c>
      <c r="F209">
        <v>6</v>
      </c>
      <c r="G209" s="1" t="s">
        <v>195</v>
      </c>
      <c r="H209" s="16" t="s">
        <v>2841</v>
      </c>
      <c r="I209" s="18"/>
      <c r="J209" t="str">
        <f>IF(LEN(VLOOKUP(表1[[#This Row],[id]],数据引用!A:C,3,FALSE))&gt;0,VLOOKUP(表1[[#This Row],[id]],数据引用!A:C,3,FALSE),"")</f>
        <v>救命！</v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font-size:12;"&gt;救命！&lt;/text&gt;&lt;text transform="matrix(1 0 0 1 0 10.3205)" style="fill:#FFFFFF; font-family:'FZXS12--GB1-0'; font-size:12;"&gt;救命！&lt;/text&gt;&lt;/svg&gt;</v>
      </c>
      <c r="P209" s="5"/>
    </row>
    <row r="210" spans="1:16" ht="14.25" customHeight="1">
      <c r="A210">
        <v>212</v>
      </c>
      <c r="B210">
        <v>0</v>
      </c>
      <c r="C210">
        <v>0</v>
      </c>
      <c r="E210" t="s">
        <v>2570</v>
      </c>
      <c r="F210">
        <v>6</v>
      </c>
      <c r="G210" s="1" t="s">
        <v>196</v>
      </c>
      <c r="H210" s="16" t="s">
        <v>2842</v>
      </c>
      <c r="I210" s="18"/>
      <c r="J210" t="str">
        <f>IF(LEN(VLOOKUP(表1[[#This Row],[id]],数据引用!A:C,3,FALSE))&gt;0,VLOOKUP(表1[[#This Row],[id]],数据引用!A:C,3,FALSE),"")</f>
        <v>谢谢你！</v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font-size:12;"&gt;谢谢你！&lt;/text&gt;&lt;text transform="matrix(1 0 0 1 0 10.3205)" style="fill:#FFFFFF; font-family:'FZXS12--GB1-0'; font-size:12;"&gt;谢谢你！&lt;/text&gt;&lt;/svg&gt;</v>
      </c>
      <c r="P210" s="5"/>
    </row>
    <row r="211" spans="1:16" ht="14.25" customHeight="1">
      <c r="A211">
        <v>213</v>
      </c>
      <c r="B211">
        <v>0</v>
      </c>
      <c r="C211">
        <v>0</v>
      </c>
      <c r="E211" t="s">
        <v>2570</v>
      </c>
      <c r="F211">
        <v>6</v>
      </c>
      <c r="G211" s="1" t="s">
        <v>197</v>
      </c>
      <c r="H211" s="16" t="s">
        <v>2843</v>
      </c>
      <c r="I211" s="18"/>
      <c r="J211" t="str">
        <f>IF(LEN(VLOOKUP(表1[[#This Row],[id]],数据引用!A:C,3,FALSE))&gt;0,VLOOKUP(表1[[#This Row],[id]],数据引用!A:C,3,FALSE),"")</f>
        <v>去找金钥匙！</v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font-size:12;"&gt;去找金钥匙！&lt;/text&gt;&lt;text transform="matrix(1 0 0 1 0 10.3205)" style="fill:#FFFFFF; font-family:'FZXS12--GB1-0'; font-size:12;"&gt;去找金钥匙！&lt;/text&gt;&lt;/svg&gt;</v>
      </c>
      <c r="P211" s="5"/>
    </row>
    <row r="212" spans="1:16" ht="14.25" customHeight="1">
      <c r="A212">
        <v>214</v>
      </c>
      <c r="B212">
        <v>0</v>
      </c>
      <c r="C212">
        <v>0</v>
      </c>
      <c r="E212" t="s">
        <v>2570</v>
      </c>
      <c r="F212">
        <v>6</v>
      </c>
      <c r="G212" s="1" t="s">
        <v>198</v>
      </c>
      <c r="H212" s="16" t="s">
        <v>2844</v>
      </c>
      <c r="I212" s="18"/>
      <c r="J212" t="str">
        <f>IF(LEN(VLOOKUP(表1[[#This Row],[id]],数据引用!A:C,3,FALSE))&gt;0,VLOOKUP(表1[[#This Row],[id]],数据引用!A:C,3,FALSE),"")</f>
        <v>你带来玻璃钥匙了吗？</v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font-size:12;"&gt;你带来玻璃钥匙了吗？&lt;/text&gt;&lt;text transform="matrix(1 0 0 1 0 10.3205)" style="fill:#FFFFFF; font-family:'FZXS12--GB1-0'; font-size:12;"&gt;你带来玻璃钥匙了吗？&lt;/text&gt;&lt;/svg&gt;</v>
      </c>
      <c r="P212" s="5"/>
    </row>
    <row r="213" spans="1:16" ht="14.25" customHeight="1">
      <c r="A213">
        <v>215</v>
      </c>
      <c r="B213">
        <v>0</v>
      </c>
      <c r="C213">
        <v>0</v>
      </c>
      <c r="E213" t="s">
        <v>2570</v>
      </c>
      <c r="F213">
        <v>6</v>
      </c>
      <c r="G213" s="1" t="s">
        <v>199</v>
      </c>
      <c r="H213" s="16" t="s">
        <v>2845</v>
      </c>
      <c r="I213" s="18"/>
      <c r="J213" t="str">
        <f>IF(LEN(VLOOKUP(表1[[#This Row],[id]],数据引用!A:C,3,FALSE))&gt;0,VLOOKUP(表1[[#This Row],[id]],数据引用!A:C,3,FALSE),"")</f>
        <v>去买金钥匙！</v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font-size:12;"&gt;去买金钥匙！&lt;/text&gt;&lt;text transform="matrix(1 0 0 1 0 10.3205)" style="fill:#FFFFFF; font-family:'FZXS12--GB1-0'; font-size:12;"&gt;去买金钥匙！&lt;/text&gt;&lt;/svg&gt;</v>
      </c>
      <c r="P213" s="5"/>
    </row>
    <row r="214" spans="1:16" ht="14.25" customHeight="1">
      <c r="A214">
        <v>216</v>
      </c>
      <c r="B214">
        <v>0</v>
      </c>
      <c r="C214">
        <v>0</v>
      </c>
      <c r="E214" t="s">
        <v>2570</v>
      </c>
      <c r="F214">
        <v>6</v>
      </c>
      <c r="G214" s="1" t="s">
        <v>200</v>
      </c>
      <c r="H214" s="16" t="s">
        <v>2846</v>
      </c>
      <c r="I214" s="18"/>
      <c r="J214" t="str">
        <f>IF(LEN(VLOOKUP(表1[[#This Row],[id]],数据引用!A:C,3,FALSE))&gt;0,VLOOKUP(表1[[#This Row],[id]],数据引用!A:C,3,FALSE),"")</f>
        <v>大厅见</v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font-size:12;"&gt;大厅见&lt;/text&gt;&lt;text transform="matrix(1 0 0 1 0 10.3205)" style="fill:#FFFFFF; font-family:'FZXS12--GB1-0'; font-size:12;"&gt;大厅见&lt;/text&gt;&lt;/svg&gt;</v>
      </c>
      <c r="P214" s="5"/>
    </row>
    <row r="215" spans="1:16" ht="14.25" customHeight="1">
      <c r="A215">
        <v>217</v>
      </c>
      <c r="B215">
        <v>0</v>
      </c>
      <c r="C215">
        <v>0</v>
      </c>
      <c r="E215" t="s">
        <v>2570</v>
      </c>
      <c r="F215">
        <v>6</v>
      </c>
      <c r="G215" s="1" t="s">
        <v>201</v>
      </c>
      <c r="H215" s="16" t="s">
        <v>2847</v>
      </c>
      <c r="I215" s="18"/>
      <c r="J215" t="str">
        <f>IF(LEN(VLOOKUP(表1[[#This Row],[id]],数据引用!A:C,3,FALSE))&gt;0,VLOOKUP(表1[[#This Row],[id]],数据引用!A:C,3,FALSE),"")</f>
        <v>鲜血圣陵</v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P215" s="5"/>
    </row>
    <row r="216" spans="1:16" ht="14.25" customHeight="1">
      <c r="A216">
        <v>218</v>
      </c>
      <c r="B216">
        <v>0</v>
      </c>
      <c r="C216">
        <v>0</v>
      </c>
      <c r="E216" t="s">
        <v>2570</v>
      </c>
      <c r="F216">
        <v>6</v>
      </c>
      <c r="G216" s="1" t="s">
        <v>202</v>
      </c>
      <c r="H216" s="16" t="s">
        <v>2848</v>
      </c>
      <c r="I216" s="18"/>
      <c r="J216" t="str">
        <f>IF(LEN(VLOOKUP(表1[[#This Row],[id]],数据引用!A:C,3,FALSE))&gt;0,VLOOKUP(表1[[#This Row],[id]],数据引用!A:C,3,FALSE),"")</f>
        <v>黑暗圣陵</v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P216" s="5"/>
    </row>
    <row r="217" spans="1:16" ht="14.25" customHeight="1">
      <c r="A217">
        <v>219</v>
      </c>
      <c r="B217">
        <v>0</v>
      </c>
      <c r="C217">
        <v>0</v>
      </c>
      <c r="E217" t="s">
        <v>2570</v>
      </c>
      <c r="F217">
        <v>6</v>
      </c>
      <c r="G217" s="1" t="s">
        <v>203</v>
      </c>
      <c r="H217" s="16" t="s">
        <v>2849</v>
      </c>
      <c r="I217" s="18"/>
      <c r="J217" t="str">
        <f>IF(LEN(VLOOKUP(表1[[#This Row],[id]],数据引用!A:C,3,FALSE))&gt;0,VLOOKUP(表1[[#This Row],[id]],数据引用!A:C,3,FALSE),"")</f>
        <v>玻璃圣陵</v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P217" s="5"/>
    </row>
    <row r="218" spans="1:16" ht="14.25" customHeight="1">
      <c r="A218">
        <v>220</v>
      </c>
      <c r="B218">
        <v>0</v>
      </c>
      <c r="C218">
        <v>0</v>
      </c>
      <c r="E218" t="s">
        <v>2570</v>
      </c>
      <c r="F218">
        <v>6</v>
      </c>
      <c r="G218" s="1" t="s">
        <v>204</v>
      </c>
      <c r="H218" s="16" t="s">
        <v>2850</v>
      </c>
      <c r="I218" s="18"/>
      <c r="J218" t="str">
        <f>IF(LEN(VLOOKUP(表1[[#This Row],[id]],数据引用!A:C,3,FALSE))&gt;0,VLOOKUP(表1[[#This Row],[id]],数据引用!A:C,3,FALSE),"")</f>
        <v>和平圣陵</v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P218" s="5"/>
    </row>
    <row r="219" spans="1:16" ht="14.25" customHeight="1">
      <c r="A219">
        <v>221</v>
      </c>
      <c r="B219">
        <v>0</v>
      </c>
      <c r="C219">
        <v>0</v>
      </c>
      <c r="E219" t="s">
        <v>2570</v>
      </c>
      <c r="F219">
        <v>6</v>
      </c>
      <c r="G219" s="1" t="s">
        <v>205</v>
      </c>
      <c r="H219" s="16" t="s">
        <v>2851</v>
      </c>
      <c r="I219" s="18"/>
      <c r="J219" t="str">
        <f>IF(LEN(VLOOKUP(表1[[#This Row],[id]],数据引用!A:C,3,FALSE))&gt;0,VLOOKUP(表1[[#This Row],[id]],数据引用!A:C,3,FALSE),"")</f>
        <v>节奏圣陵</v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P219" s="5"/>
    </row>
    <row r="220" spans="1:16" ht="14.25" customHeight="1">
      <c r="A220">
        <v>222</v>
      </c>
      <c r="B220">
        <v>0</v>
      </c>
      <c r="C220">
        <v>0</v>
      </c>
      <c r="E220" t="s">
        <v>2570</v>
      </c>
      <c r="F220">
        <v>6</v>
      </c>
      <c r="G220" s="1" t="s">
        <v>206</v>
      </c>
      <c r="H220" s="16" t="s">
        <v>2852</v>
      </c>
      <c r="I220" s="18"/>
      <c r="J220" t="str">
        <f>IF(LEN(VLOOKUP(表1[[#This Row],[id]],数据引用!A:C,3,FALSE))&gt;0,VLOOKUP(表1[[#This Row],[id]],数据引用!A:C,3,FALSE),"")</f>
        <v>冒险圣陵</v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220" s="5"/>
    </row>
    <row r="221" spans="1:16" ht="14.25" customHeight="1">
      <c r="A221">
        <v>223</v>
      </c>
      <c r="B221">
        <v>0</v>
      </c>
      <c r="C221">
        <v>0</v>
      </c>
      <c r="E221" t="s">
        <v>2570</v>
      </c>
      <c r="F221">
        <v>6</v>
      </c>
      <c r="G221" s="1" t="s">
        <v>207</v>
      </c>
      <c r="H221" s="16" t="s">
        <v>2853</v>
      </c>
      <c r="I221" s="18"/>
      <c r="J221" t="str">
        <f>IF(LEN(VLOOKUP(表1[[#This Row],[id]],数据引用!A:C,3,FALSE))&gt;0,VLOOKUP(表1[[#This Row],[id]],数据引用!A:C,3,FALSE),"")</f>
        <v>献祭圣陵</v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P221" s="5"/>
    </row>
    <row r="222" spans="1:16" ht="14.25" customHeight="1">
      <c r="A222">
        <v>224</v>
      </c>
      <c r="B222">
        <v>0</v>
      </c>
      <c r="C222">
        <v>0</v>
      </c>
      <c r="E222" t="s">
        <v>2570</v>
      </c>
      <c r="F222">
        <v>6</v>
      </c>
      <c r="G222" s="1" t="s">
        <v>208</v>
      </c>
      <c r="H222" s="16" t="s">
        <v>2854</v>
      </c>
      <c r="I222" s="18"/>
      <c r="J222" t="str">
        <f>IF(LEN(VLOOKUP(表1[[#This Row],[id]],数据引用!A:C,3,FALSE))&gt;0,VLOOKUP(表1[[#This Row],[id]],数据引用!A:C,3,FALSE),"")</f>
        <v>空间圣陵</v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P222" s="5"/>
    </row>
    <row r="223" spans="1:16" ht="14.25" customHeight="1">
      <c r="A223">
        <v>225</v>
      </c>
      <c r="B223">
        <v>0</v>
      </c>
      <c r="C223">
        <v>0</v>
      </c>
      <c r="E223" t="s">
        <v>2570</v>
      </c>
      <c r="F223">
        <v>6</v>
      </c>
      <c r="G223" s="1" t="s">
        <v>209</v>
      </c>
      <c r="H223" s="16" t="s">
        <v>2855</v>
      </c>
      <c r="I223" s="18"/>
      <c r="J223" t="str">
        <f>IF(LEN(VLOOKUP(表1[[#This Row],[id]],数据引用!A:C,3,FALSE))&gt;0,VLOOKUP(表1[[#This Row],[id]],数据引用!A:C,3,FALSE),"")</f>
        <v>战争圣陵</v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P223" s="5"/>
    </row>
    <row r="224" spans="1:16" ht="14.25" customHeight="1">
      <c r="A224">
        <v>226</v>
      </c>
      <c r="B224">
        <v>0</v>
      </c>
      <c r="C224">
        <v>0</v>
      </c>
      <c r="E224" t="s">
        <v>2570</v>
      </c>
      <c r="F224">
        <v>6</v>
      </c>
      <c r="G224" s="1" t="s">
        <v>210</v>
      </c>
      <c r="H224" s="16" t="s">
        <v>2856</v>
      </c>
      <c r="I224" s="18"/>
      <c r="J224" t="str">
        <f>IF(LEN(VLOOKUP(表1[[#This Row],[id]],数据引用!A:C,3,FALSE))&gt;0,VLOOKUP(表1[[#This Row],[id]],数据引用!A:C,3,FALSE),"")</f>
        <v>无悔圣陵</v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224" s="5"/>
    </row>
    <row r="225" spans="1:16" ht="14.25" customHeight="1">
      <c r="A225">
        <v>227</v>
      </c>
      <c r="B225">
        <v>0</v>
      </c>
      <c r="C225">
        <v>0</v>
      </c>
      <c r="E225" t="s">
        <v>2570</v>
      </c>
      <c r="F225">
        <v>6</v>
      </c>
      <c r="G225" s="1" t="s">
        <v>211</v>
      </c>
      <c r="H225" s="16" t="s">
        <v>2857</v>
      </c>
      <c r="I225" s="18"/>
      <c r="J225" t="str">
        <f>IF(LEN(VLOOKUP(表1[[#This Row],[id]],数据引用!A:C,3,FALSE))&gt;0,VLOOKUP(表1[[#This Row],[id]],数据引用!A:C,3,FALSE),"")</f>
        <v>相位圣陵</v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P225" s="5"/>
    </row>
    <row r="226" spans="1:16" ht="14.25" customHeight="1">
      <c r="A226">
        <v>228</v>
      </c>
      <c r="B226">
        <v>0</v>
      </c>
      <c r="C226">
        <v>0</v>
      </c>
      <c r="E226" t="s">
        <v>2570</v>
      </c>
      <c r="F226">
        <v>6</v>
      </c>
      <c r="G226" s="1" t="s">
        <v>212</v>
      </c>
      <c r="H226" s="16" t="s">
        <v>2858</v>
      </c>
      <c r="I226" s="18"/>
      <c r="J226" t="str">
        <f>IF(LEN(VLOOKUP(表1[[#This Row],[id]],数据引用!A:C,3,FALSE))&gt;0,VLOOKUP(表1[[#This Row],[id]],数据引用!A:C,3,FALSE),"")</f>
        <v>步调圣陵</v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226" s="5"/>
    </row>
    <row r="227" spans="1:16" ht="14.25" customHeight="1">
      <c r="A227">
        <v>229</v>
      </c>
      <c r="B227">
        <v>0</v>
      </c>
      <c r="C227">
        <v>0</v>
      </c>
      <c r="E227" t="s">
        <v>2570</v>
      </c>
      <c r="F227">
        <v>6</v>
      </c>
      <c r="G227" s="1" t="s">
        <v>213</v>
      </c>
      <c r="H227" s="16" t="s">
        <v>2859</v>
      </c>
      <c r="I227" s="18"/>
      <c r="J227" t="str">
        <f>IF(LEN(VLOOKUP(表1[[#This Row],[id]],数据引用!A:C,3,FALSE))&gt;0,VLOOKUP(表1[[#This Row],[id]],数据引用!A:C,3,FALSE),"")</f>
        <v>机遇圣陵</v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P227" s="5"/>
    </row>
    <row r="228" spans="1:16" ht="14.25" customHeight="1">
      <c r="A228">
        <v>230</v>
      </c>
      <c r="B228">
        <v>0</v>
      </c>
      <c r="C228">
        <v>0</v>
      </c>
      <c r="E228" t="s">
        <v>2570</v>
      </c>
      <c r="F228">
        <v>6</v>
      </c>
      <c r="G228" s="1" t="s">
        <v>214</v>
      </c>
      <c r="H228" s="16" t="s">
        <v>2860</v>
      </c>
      <c r="I228" s="18"/>
      <c r="J228" t="str">
        <f>IF(LEN(VLOOKUP(表1[[#This Row],[id]],数据引用!A:C,3,FALSE))&gt;0,VLOOKUP(表1[[#This Row],[id]],数据引用!A:C,3,FALSE),"")</f>
        <v>（恭喜你）</v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font-size:12;"&gt;（恭喜你）&lt;/text&gt;&lt;text transform="matrix(1 0 0 1 0 10.3205)" style="fill:#FFFFFF; font-family:'FZXS12--GB1-0'; font-size:12;"&gt;（恭喜你）&lt;/text&gt;&lt;/svg&gt;</v>
      </c>
      <c r="P228" s="5"/>
    </row>
    <row r="229" spans="1:16" ht="14.25" customHeight="1">
      <c r="A229">
        <v>231</v>
      </c>
      <c r="B229">
        <v>0</v>
      </c>
      <c r="C229">
        <v>0</v>
      </c>
      <c r="E229" t="s">
        <v>2570</v>
      </c>
      <c r="F229">
        <v>6</v>
      </c>
      <c r="G229" s="1" t="s">
        <v>215</v>
      </c>
      <c r="H229" s="16" t="s">
        <v>2861</v>
      </c>
      <c r="I229" s="18"/>
      <c r="J229" t="str">
        <f>IF(LEN(VLOOKUP(表1[[#This Row],[id]],数据引用!A:C,3,FALSE))&gt;0,VLOOKUP(表1[[#This Row],[id]],数据引用!A:C,3,FALSE),"")</f>
        <v>（下一次就赢回来了）</v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font-size:12;"&gt;（下一次就赢回来了）&lt;/text&gt;&lt;text transform="matrix(1 0 0 1 0 10.3205)" style="fill:#FFFFFF; font-family:'FZXS12--GB1-0'; font-size:12;"&gt;（下一次就赢回来了）&lt;/text&gt;&lt;/svg&gt;</v>
      </c>
      <c r="P229" s="5"/>
    </row>
    <row r="230" spans="1:16" ht="14.25" customHeight="1">
      <c r="A230">
        <v>232</v>
      </c>
      <c r="B230">
        <v>0</v>
      </c>
      <c r="C230">
        <v>0</v>
      </c>
      <c r="E230" t="s">
        <v>2570</v>
      </c>
      <c r="F230">
        <v>6</v>
      </c>
      <c r="G230" s="1" t="s">
        <v>216</v>
      </c>
      <c r="H230" s="16" t="s">
        <v>2862</v>
      </c>
      <c r="I230" s="18"/>
      <c r="J230" t="str">
        <f>IF(LEN(VLOOKUP(表1[[#This Row],[id]],数据引用!A:C,3,FALSE))&gt;0,VLOOKUP(表1[[#This Row],[id]],数据引用!A:C,3,FALSE),"")</f>
        <v>加速</v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font-size:12;"&gt;加速&lt;/text&gt;&lt;text transform="matrix(1 0 0 1 0 10.3205)" style="fill:#FFFFFF; font-family:'FZXS12--GB1-0'; font-size:12;"&gt;加速&lt;/text&gt;&lt;/svg&gt;</v>
      </c>
      <c r="P230" s="5"/>
    </row>
    <row r="231" spans="1:16" ht="14.25" customHeight="1">
      <c r="A231">
        <v>233</v>
      </c>
      <c r="B231">
        <v>0</v>
      </c>
      <c r="C231">
        <v>0</v>
      </c>
      <c r="E231" t="s">
        <v>2570</v>
      </c>
      <c r="F231">
        <v>6</v>
      </c>
      <c r="G231" s="1" t="s">
        <v>217</v>
      </c>
      <c r="H231" s="16" t="s">
        <v>2863</v>
      </c>
      <c r="I231" s="18"/>
      <c r="J231" t="str">
        <f>IF(LEN(VLOOKUP(表1[[#This Row],[id]],数据引用!A:C,3,FALSE))&gt;0,VLOOKUP(表1[[#This Row],[id]],数据引用!A:C,3,FALSE),"")</f>
        <v>减速</v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font-size:12;"&gt;减速&lt;/text&gt;&lt;text transform="matrix(1 0 0 1 0 10.3205)" style="fill:#FFFFFF; font-family:'FZXS12--GB1-0'; font-size:12;"&gt;减速&lt;/text&gt;&lt;/svg&gt;</v>
      </c>
      <c r="P231" s="5"/>
    </row>
    <row r="232" spans="1:16" ht="14.25" customHeight="1">
      <c r="A232">
        <v>234</v>
      </c>
      <c r="B232">
        <v>0</v>
      </c>
      <c r="C232">
        <v>0</v>
      </c>
      <c r="E232" t="s">
        <v>2570</v>
      </c>
      <c r="F232">
        <v>6</v>
      </c>
      <c r="G232" s="1" t="s">
        <v>218</v>
      </c>
      <c r="H232" s="16" t="s">
        <v>2864</v>
      </c>
      <c r="I232" s="18"/>
      <c r="J232" t="str">
        <f>IF(LEN(VLOOKUP(表1[[#This Row],[id]],数据引用!A:C,3,FALSE))&gt;0,VLOOKUP(表1[[#This Row],[id]],数据引用!A:C,3,FALSE),"")</f>
        <v>出口已解锁</v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font-size:12;"&gt;出口已解锁&lt;/text&gt;&lt;text transform="matrix(1 0 0 1 0 10.3205)" style="fill:#FFFFFF; font-family:'FZXS12--GB1-0'; font-size:12;"&gt;出口已解锁&lt;/text&gt;&lt;/svg&gt;</v>
      </c>
      <c r="P232" s="5"/>
    </row>
    <row r="233" spans="1:16" ht="14.25" customHeight="1">
      <c r="A233">
        <v>235</v>
      </c>
      <c r="B233">
        <v>0</v>
      </c>
      <c r="C233">
        <v>0</v>
      </c>
      <c r="E233" t="s">
        <v>2570</v>
      </c>
      <c r="F233">
        <v>6</v>
      </c>
      <c r="G233" s="1" t="s">
        <v>219</v>
      </c>
      <c r="H233" s="16" t="s">
        <v>2865</v>
      </c>
      <c r="I233" s="18"/>
      <c r="J233" t="str">
        <f>IF(LEN(VLOOKUP(表1[[#This Row],[id]],数据引用!A:C,3,FALSE))&gt;0,VLOOKUP(表1[[#This Row],[id]],数据引用!A:C,3,FALSE),"")</f>
        <v>你的该装备栏没有物品</v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font-size:12;"&gt;你的该装备栏没有物品&lt;/text&gt;&lt;text transform="matrix(1 0 0 1 0 10.3205)" style="fill:#FFFFFF; font-family:'FZXS12--GB1-0'; font-size:12;"&gt;你的该装备栏没有物品&lt;/text&gt;&lt;/svg&gt;</v>
      </c>
      <c r="P233" s="5"/>
    </row>
    <row r="234" spans="1:16" ht="14.25" customHeight="1">
      <c r="A234">
        <v>236</v>
      </c>
      <c r="B234">
        <v>0</v>
      </c>
      <c r="C234">
        <v>0</v>
      </c>
      <c r="E234" t="s">
        <v>2570</v>
      </c>
      <c r="F234">
        <v>6</v>
      </c>
      <c r="G234" s="1" t="s">
        <v>220</v>
      </c>
      <c r="H234" s="16" t="s">
        <v>2866</v>
      </c>
      <c r="I234" s="18"/>
      <c r="J234" t="str">
        <f>IF(LEN(VLOOKUP(表1[[#This Row],[id]],数据引用!A:C,3,FALSE))&gt;0,VLOOKUP(表1[[#This Row],[id]],数据引用!A:C,3,FALSE),"")</f>
        <v>需要</v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P234" s="5"/>
    </row>
    <row r="235" spans="1:16" ht="14.25" customHeight="1">
      <c r="A235">
        <v>237</v>
      </c>
      <c r="B235">
        <v>0</v>
      </c>
      <c r="C235">
        <v>0</v>
      </c>
      <c r="E235" t="s">
        <v>2570</v>
      </c>
      <c r="F235">
        <v>6</v>
      </c>
      <c r="G235" s="1" t="s">
        <v>56</v>
      </c>
      <c r="H235" s="16" t="s">
        <v>2867</v>
      </c>
      <c r="I235" s="18"/>
      <c r="J235" t="str">
        <f>IF(LEN(VLOOKUP(表1[[#This Row],[id]],数据引用!A:C,3,FALSE))&gt;0,VLOOKUP(表1[[#This Row],[id]],数据引用!A:C,3,FALSE),"")</f>
        <v>金币</v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font-size:12;"&gt;金币&lt;/text&gt;&lt;text transform="matrix(1 0 0 1 0 10.3205)" style="fill:#FFFFFF; font-family:'FZXS12--GB1-0'; font-size:12;"&gt;金币&lt;/text&gt;&lt;/svg&gt;</v>
      </c>
      <c r="P235" s="5"/>
    </row>
    <row r="236" spans="1:16" ht="14.25" customHeight="1">
      <c r="A236">
        <v>238</v>
      </c>
      <c r="B236">
        <v>0</v>
      </c>
      <c r="C236">
        <v>0</v>
      </c>
      <c r="E236" t="s">
        <v>2570</v>
      </c>
      <c r="F236">
        <v>6</v>
      </c>
      <c r="G236" s="1" t="s">
        <v>221</v>
      </c>
      <c r="H236" s="16" t="s">
        <v>2868</v>
      </c>
      <c r="I236" s="18"/>
      <c r="J236" t="str">
        <f>IF(LEN(VLOOKUP(表1[[#This Row],[id]],数据引用!A:C,3,FALSE))&gt;0,VLOOKUP(表1[[#This Row],[id]],数据引用!A:C,3,FALSE),"")</f>
        <v>转化失败</v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font-size:12;"&gt;转化失败&lt;/text&gt;&lt;text transform="matrix(1 0 0 1 0 10.3205)" style="fill:#FFFFFF; font-family:'FZXS12--GB1-0'; font-size:12;"&gt;转化失败&lt;/text&gt;&lt;/svg&gt;</v>
      </c>
      <c r="P236" s="5"/>
    </row>
    <row r="237" spans="1:16" ht="14.25" customHeight="1">
      <c r="A237">
        <v>239</v>
      </c>
      <c r="B237">
        <v>0</v>
      </c>
      <c r="C237">
        <v>0</v>
      </c>
      <c r="E237" t="s">
        <v>2570</v>
      </c>
      <c r="F237">
        <v>6</v>
      </c>
      <c r="G237" s="1" t="s">
        <v>222</v>
      </c>
      <c r="H237" s="16" t="s">
        <v>2869</v>
      </c>
      <c r="I237" s="18"/>
      <c r="J237" t="str">
        <f>IF(LEN(VLOOKUP(表1[[#This Row],[id]],数据引用!A:C,3,FALSE))&gt;0,VLOOKUP(表1[[#This Row],[id]],数据引用!A:C,3,FALSE),"")</f>
        <v>成功</v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font-size:12;"&gt;成功&lt;/text&gt;&lt;text transform="matrix(1 0 0 1 0 10.3205)" style="fill:#FFFFFF; font-family:'FZXS12--GB1-0'; font-size:12;"&gt;成功&lt;/text&gt;&lt;/svg&gt;</v>
      </c>
      <c r="P237" s="5"/>
    </row>
    <row r="238" spans="1:16" ht="14.25" customHeight="1">
      <c r="A238">
        <v>240</v>
      </c>
      <c r="B238">
        <v>0</v>
      </c>
      <c r="C238">
        <v>0</v>
      </c>
      <c r="E238" t="s">
        <v>2570</v>
      </c>
      <c r="F238">
        <v>6</v>
      </c>
      <c r="G238" s="1" t="s">
        <v>223</v>
      </c>
      <c r="H238" s="16" t="s">
        <v>2870</v>
      </c>
      <c r="I238" s="18"/>
      <c r="J238" t="str">
        <f>IF(LEN(VLOOKUP(表1[[#This Row],[id]],数据引用!A:C,3,FALSE))&gt;0,VLOOKUP(表1[[#This Row],[id]],数据引用!A:C,3,FALSE),"")</f>
        <v>施法失败</v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font-size:12;"&gt;施法失败&lt;/text&gt;&lt;text transform="matrix(1 0 0 1 0 10.3205)" style="fill:#FFFFFF; font-family:'FZXS12--GB1-0'; font-size:12;"&gt;施法失败&lt;/text&gt;&lt;/svg&gt;</v>
      </c>
      <c r="P238" s="5"/>
    </row>
    <row r="239" spans="1:16" ht="14.25" customHeight="1">
      <c r="A239">
        <v>241</v>
      </c>
      <c r="B239">
        <v>0</v>
      </c>
      <c r="C239">
        <v>0</v>
      </c>
      <c r="E239" t="s">
        <v>2570</v>
      </c>
      <c r="F239">
        <v>6</v>
      </c>
      <c r="G239" s="1" t="s">
        <v>219</v>
      </c>
      <c r="H239" s="16" t="s">
        <v>2871</v>
      </c>
      <c r="I239" s="18"/>
      <c r="J239" t="str">
        <f>IF(LEN(VLOOKUP(表1[[#This Row],[id]],数据引用!A:C,3,FALSE))&gt;0,VLOOKUP(表1[[#This Row],[id]],数据引用!A:C,3,FALSE),"")</f>
        <v>你的那个物品栏了没东西！</v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font-size:12;"&gt;你的那个物品栏了没东西！&lt;/text&gt;&lt;text transform="matrix(1 0 0 1 0 10.3205)" style="fill:#FFFFFF; font-family:'FZXS12--GB1-0'; font-size:12;"&gt;你的那个物品栏了没东西！&lt;/text&gt;&lt;/svg&gt;</v>
      </c>
      <c r="P239" s="5"/>
    </row>
    <row r="240" spans="1:16" ht="14.25" customHeight="1">
      <c r="A240">
        <v>242</v>
      </c>
      <c r="B240">
        <v>0</v>
      </c>
      <c r="C240">
        <v>0</v>
      </c>
      <c r="E240" t="s">
        <v>2570</v>
      </c>
      <c r="F240">
        <v>6</v>
      </c>
      <c r="G240" s="1" t="s">
        <v>224</v>
      </c>
      <c r="H240" s="16" t="s">
        <v>2872</v>
      </c>
      <c r="I240" s="18"/>
      <c r="J240" t="str">
        <f>IF(LEN(VLOOKUP(表1[[#This Row],[id]],数据引用!A:C,3,FALSE))&gt;0,VLOOKUP(表1[[#This Row],[id]],数据引用!A:C,3,FALSE),"")</f>
        <v>我不收那东西！</v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font-size:12;"&gt;我不收那东西！&lt;/text&gt;&lt;text transform="matrix(1 0 0 1 0 10.3205)" style="fill:#FFFFFF; font-family:'FZXS12--GB1-0'; font-size:12;"&gt;我不收那东西！&lt;/text&gt;&lt;/svg&gt;</v>
      </c>
      <c r="P240" s="5"/>
    </row>
    <row r="241" spans="1:16" ht="14.25" customHeight="1">
      <c r="A241">
        <v>243</v>
      </c>
      <c r="B241">
        <v>0</v>
      </c>
      <c r="C241">
        <v>0</v>
      </c>
      <c r="E241" t="s">
        <v>2570</v>
      </c>
      <c r="F241">
        <v>6</v>
      </c>
      <c r="G241" s="8" t="s">
        <v>56</v>
      </c>
      <c r="H241" s="15" t="s">
        <v>2873</v>
      </c>
      <c r="I241" s="18"/>
      <c r="J241" t="str">
        <f>IF(LEN(VLOOKUP(表1[[#This Row],[id]],数据引用!A:C,3,FALSE))&gt;0,VLOOKUP(表1[[#This Row],[id]],数据引用!A:C,3,FALSE),"")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1" t="s">
        <v>1400</v>
      </c>
      <c r="P241" s="5"/>
    </row>
    <row r="242" spans="1:16" ht="14.25" customHeight="1">
      <c r="A242">
        <v>244</v>
      </c>
      <c r="B242">
        <v>0</v>
      </c>
      <c r="C242">
        <v>0</v>
      </c>
      <c r="E242" t="s">
        <v>2570</v>
      </c>
      <c r="F242">
        <v>6</v>
      </c>
      <c r="G242" s="1" t="s">
        <v>225</v>
      </c>
      <c r="H242" s="16" t="s">
        <v>2874</v>
      </c>
      <c r="I242" s="18"/>
      <c r="J242" t="str">
        <f>IF(LEN(VLOOKUP(表1[[#This Row],[id]],数据引用!A:C,3,FALSE))&gt;0,VLOOKUP(表1[[#This Row],[id]],数据引用!A:C,3,FALSE),"")</f>
        <v>完美通关！</v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font-size:12;"&gt;完美通关！&lt;/text&gt;&lt;text transform="matrix(1 0 0 1 0 10.3205)" style="fill:#FFFFFF; font-family:'FZXS12--GB1-0'; font-size:12;"&gt;完美通关！&lt;/text&gt;&lt;/svg&gt;</v>
      </c>
      <c r="P242" s="5"/>
    </row>
    <row r="243" spans="1:16" ht="14.25" customHeight="1">
      <c r="A243">
        <v>245</v>
      </c>
      <c r="B243">
        <v>0</v>
      </c>
      <c r="C243">
        <v>0</v>
      </c>
      <c r="E243" t="s">
        <v>2570</v>
      </c>
      <c r="F243">
        <v>6</v>
      </c>
      <c r="G243" s="1" t="s">
        <v>226</v>
      </c>
      <c r="H243" s="16" t="s">
        <v>2875</v>
      </c>
      <c r="I243" s="18"/>
      <c r="J243" t="str">
        <f>IF(LEN(VLOOKUP(表1[[#This Row],[id]],数据引用!A:C,3,FALSE))&gt;0,VLOOKUP(表1[[#This Row],[id]],数据引用!A:C,3,FALSE),"")</f>
        <v>暴饮暴食！</v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font-size:12;"&gt;暴饮暴食！&lt;/text&gt;&lt;text transform="matrix(1 0 0 1 0 10.3205)" style="fill:#FFFFFF; font-family:'FZXS12--GB1-0'; font-size:12;"&gt;暴饮暴食！&lt;/text&gt;&lt;/svg&gt;</v>
      </c>
      <c r="P243" s="5"/>
    </row>
    <row r="244" spans="1:16" ht="14.25" customHeight="1">
      <c r="A244">
        <v>246</v>
      </c>
      <c r="B244">
        <v>0</v>
      </c>
      <c r="C244">
        <v>0</v>
      </c>
      <c r="E244" t="s">
        <v>2570</v>
      </c>
      <c r="F244">
        <v>6</v>
      </c>
      <c r="G244" s="1" t="s">
        <v>227</v>
      </c>
      <c r="H244" s="16" t="s">
        <v>2876</v>
      </c>
      <c r="I244" s="18"/>
      <c r="J244" t="str">
        <f>IF(LEN(VLOOKUP(表1[[#This Row],[id]],数据引用!A:C,3,FALSE))&gt;0,VLOOKUP(表1[[#This Row],[id]],数据引用!A:C,3,FALSE),"")</f>
        <v>需要玻璃钥匙</v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font-size:12;"&gt;需要玻璃钥匙&lt;/text&gt;&lt;text transform="matrix(1 0 0 1 0 10.3205)" style="fill:#FFFFFF; font-family:'FZXS12--GB1-0'; font-size:12;"&gt;需要玻璃钥匙&lt;/text&gt;&lt;/svg&gt;</v>
      </c>
      <c r="P244" s="5"/>
    </row>
    <row r="245" spans="1:16" ht="14.25" customHeight="1">
      <c r="A245">
        <v>247</v>
      </c>
      <c r="B245">
        <v>0</v>
      </c>
      <c r="C245">
        <v>0</v>
      </c>
      <c r="E245" t="s">
        <v>2570</v>
      </c>
      <c r="F245">
        <v>6</v>
      </c>
      <c r="G245" s="1" t="s">
        <v>228</v>
      </c>
      <c r="H245" s="16" t="s">
        <v>2877</v>
      </c>
      <c r="I245" s="18"/>
      <c r="J245" t="str">
        <f>IF(LEN(VLOOKUP(表1[[#This Row],[id]],数据引用!A:C,3,FALSE))&gt;0,VLOOKUP(表1[[#This Row],[id]],数据引用!A:C,3,FALSE),"")</f>
        <v>需要金钥匙</v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font-size:12;"&gt;需要金钥匙&lt;/text&gt;&lt;text transform="matrix(1 0 0 1 0 10.3205)" style="fill:#FFFFFF; font-family:'FZXS12--GB1-0'; font-size:12;"&gt;需要金钥匙&lt;/text&gt;&lt;/svg&gt;</v>
      </c>
      <c r="P245" s="5"/>
    </row>
    <row r="246" spans="1:16" ht="14.25" customHeight="1">
      <c r="A246">
        <v>248</v>
      </c>
      <c r="B246">
        <v>0</v>
      </c>
      <c r="C246">
        <v>0</v>
      </c>
      <c r="E246" t="s">
        <v>2570</v>
      </c>
      <c r="F246">
        <v>6</v>
      </c>
      <c r="G246" s="1" t="s">
        <v>229</v>
      </c>
      <c r="H246" s="16" t="s">
        <v>2878</v>
      </c>
      <c r="I246" s="18"/>
      <c r="J246" t="str">
        <f>IF(LEN(VLOOKUP(表1[[#This Row],[id]],数据引用!A:C,3,FALSE))&gt;0,VLOOKUP(表1[[#This Row],[id]],数据引用!A:C,3,FALSE),"")</f>
        <v>地狱火！</v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font-size:12;"&gt;地狱火！&lt;/text&gt;&lt;text transform="matrix(1 0 0 1 0 10.3205)" style="fill:#FFFFFF; font-family:'FZXS12--GB1-0'; font-size:12;"&gt;地狱火！&lt;/text&gt;&lt;/svg&gt;</v>
      </c>
      <c r="P246" s="5"/>
    </row>
    <row r="247" spans="1:16" ht="14.25" customHeight="1">
      <c r="A247">
        <v>249</v>
      </c>
      <c r="B247">
        <v>0</v>
      </c>
      <c r="C247">
        <v>0</v>
      </c>
      <c r="E247" t="s">
        <v>2570</v>
      </c>
      <c r="F247">
        <v>6</v>
      </c>
      <c r="G247" s="1" t="s">
        <v>230</v>
      </c>
      <c r="H247" s="16" t="s">
        <v>2879</v>
      </c>
      <c r="I247" s="18"/>
      <c r="J247" t="str">
        <f>IF(LEN(VLOOKUP(表1[[#This Row],[id]],数据引用!A:C,3,FALSE))&gt;0,VLOOKUP(表1[[#This Row],[id]],数据引用!A:C,3,FALSE),"")</f>
        <v>冲锋</v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font-size:12;"&gt;冲锋&lt;/text&gt;&lt;text transform="matrix(1 0 0 1 0 10.3205)" style="fill:#FFFFFF; font-family:'FZXS12--GB1-0'; font-size:12;"&gt;冲锋&lt;/text&gt;&lt;/svg&gt;</v>
      </c>
      <c r="P247" s="5"/>
    </row>
    <row r="248" spans="1:16" ht="14.25" customHeight="1">
      <c r="A248">
        <v>250</v>
      </c>
      <c r="B248">
        <v>0</v>
      </c>
      <c r="C248">
        <v>0</v>
      </c>
      <c r="E248" t="s">
        <v>2570</v>
      </c>
      <c r="F248">
        <v>6</v>
      </c>
      <c r="G248" s="1" t="s">
        <v>231</v>
      </c>
      <c r="H248" s="16" t="s">
        <v>2880</v>
      </c>
      <c r="I248" s="18"/>
      <c r="J248" t="str">
        <f>IF(LEN(VLOOKUP(表1[[#This Row],[id]],数据引用!A:C,3,FALSE))&gt;0,VLOOKUP(表1[[#This Row],[id]],数据引用!A:C,3,FALSE),"")</f>
        <v>痛苦</v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font-size:12;"&gt;痛苦&lt;/text&gt;&lt;text transform="matrix(1 0 0 1 0 10.3205)" style="fill:#FFFFFF; font-family:'FZXS12--GB1-0'; font-size:12;"&gt;痛苦&lt;/text&gt;&lt;/svg&gt;</v>
      </c>
      <c r="P248" s="5"/>
    </row>
    <row r="249" spans="1:16" ht="14.25" customHeight="1">
      <c r="A249">
        <v>251</v>
      </c>
      <c r="B249">
        <v>0</v>
      </c>
      <c r="C249">
        <v>0</v>
      </c>
      <c r="E249" t="s">
        <v>2570</v>
      </c>
      <c r="F249">
        <v>6</v>
      </c>
      <c r="G249" s="1" t="s">
        <v>232</v>
      </c>
      <c r="H249" s="16" t="s">
        <v>2881</v>
      </c>
      <c r="I249" s="18"/>
      <c r="J249" t="str">
        <f>IF(LEN(VLOOKUP(表1[[#This Row],[id]],数据引用!A:C,3,FALSE))&gt;0,VLOOKUP(表1[[#This Row],[id]],数据引用!A:C,3,FALSE),"")</f>
        <v>（对敌人造成伤害）</v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font-size:12;"&gt;（对敌人造成伤害）&lt;/text&gt;&lt;text transform="matrix(1 0 0 1 0 10.3205)" style="fill:#FFFFFF; font-family:'FZXS12--GB1-0'; font-size:12;"&gt;（对敌人造成伤害）&lt;/text&gt;&lt;/svg&gt;</v>
      </c>
      <c r="P249" s="5"/>
    </row>
    <row r="250" spans="1:16" ht="14.25" customHeight="1">
      <c r="A250">
        <v>252</v>
      </c>
      <c r="B250">
        <v>0</v>
      </c>
      <c r="C250">
        <v>0</v>
      </c>
      <c r="E250" t="s">
        <v>2570</v>
      </c>
      <c r="F250">
        <v>6</v>
      </c>
      <c r="G250" s="1" t="s">
        <v>233</v>
      </c>
      <c r="H250" s="16" t="s">
        <v>2882</v>
      </c>
      <c r="I250" s="18"/>
      <c r="J250" t="str">
        <f>IF(LEN(VLOOKUP(表1[[#This Row],[id]],数据引用!A:C,3,FALSE))&gt;0,VLOOKUP(表1[[#This Row],[id]],数据引用!A:C,3,FALSE),"")</f>
        <v>（药剂）</v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font-size:12;"&gt;（药剂）&lt;/text&gt;&lt;text transform="matrix(1 0 0 1 0 10.3205)" style="fill:#FFFFFF; font-family:'FZXS12--GB1-0'; font-size:12;"&gt;（药剂）&lt;/text&gt;&lt;/svg&gt;</v>
      </c>
      <c r="P250" s="5"/>
    </row>
    <row r="251" spans="1:16" ht="14.25" customHeight="1">
      <c r="A251">
        <v>253</v>
      </c>
      <c r="B251">
        <v>0</v>
      </c>
      <c r="C251">
        <v>0</v>
      </c>
      <c r="E251" t="s">
        <v>2570</v>
      </c>
      <c r="F251">
        <v>6</v>
      </c>
      <c r="G251" s="1" t="s">
        <v>234</v>
      </c>
      <c r="H251" s="16" t="s">
        <v>2883</v>
      </c>
      <c r="I251" s="18"/>
      <c r="J251" t="str">
        <f>IF(LEN(VLOOKUP(表1[[#This Row],[id]],数据引用!A:C,3,FALSE))&gt;0,VLOOKUP(表1[[#This Row],[id]],数据引用!A:C,3,FALSE),"")</f>
        <v>（优惠劵）</v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font-size:12;"&gt;（优惠劵）&lt;/text&gt;&lt;text transform="matrix(1 0 0 1 0 10.3205)" style="fill:#FFFFFF; font-family:'FZXS12--GB1-0'; font-size:12;"&gt;（优惠劵）&lt;/text&gt;&lt;/svg&gt;</v>
      </c>
      <c r="P251" s="5"/>
    </row>
    <row r="252" spans="1:16" ht="14.25" customHeight="1">
      <c r="A252">
        <v>254</v>
      </c>
      <c r="B252">
        <v>0</v>
      </c>
      <c r="C252">
        <v>0</v>
      </c>
      <c r="E252" t="s">
        <v>2570</v>
      </c>
      <c r="F252">
        <v>6</v>
      </c>
      <c r="G252" s="1" t="s">
        <v>235</v>
      </c>
      <c r="H252" s="16" t="s">
        <v>2884</v>
      </c>
      <c r="I252" s="18"/>
      <c r="J252" t="str">
        <f>IF(LEN(VLOOKUP(表1[[#This Row],[id]],数据引用!A:C,3,FALSE))&gt;0,VLOOKUP(表1[[#This Row],[id]],数据引用!A:C,3,FALSE),"")</f>
        <v>（玻璃化）</v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font-size:12;"&gt;（玻璃化）&lt;/text&gt;&lt;text transform="matrix(1 0 0 1 0 10.3205)" style="fill:#FFFFFF; font-family:'FZXS12--GB1-0'; font-size:12;"&gt;（玻璃化）&lt;/text&gt;&lt;/svg&gt;</v>
      </c>
      <c r="P252" s="5"/>
    </row>
    <row r="253" spans="1:16" ht="14.25" customHeight="1">
      <c r="A253">
        <v>255</v>
      </c>
      <c r="B253">
        <v>0</v>
      </c>
      <c r="C253">
        <v>0</v>
      </c>
      <c r="E253" t="s">
        <v>2570</v>
      </c>
      <c r="F253">
        <v>6</v>
      </c>
      <c r="G253" s="1" t="s">
        <v>236</v>
      </c>
      <c r="H253" s="16" t="s">
        <v>2885</v>
      </c>
      <c r="I253" s="18"/>
      <c r="J253" t="str">
        <f>IF(LEN(VLOOKUP(表1[[#This Row],[id]],数据引用!A:C,3,FALSE))&gt;0,VLOOKUP(表1[[#This Row],[id]],数据引用!A:C,3,FALSE),"")</f>
        <v>懈怠(步调圣陵)</v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font-size:12;"&gt;懈怠(步调圣陵)&lt;/text&gt;&lt;text transform="matrix(1 0 0 1 0 10.3205)" style="fill:#FFFFFF; font-family:'FZXS12--GB1-0'; font-size:12;"&gt;懈怠(步调圣陵)&lt;/text&gt;&lt;/svg&gt;</v>
      </c>
      <c r="P253" s="5"/>
    </row>
    <row r="254" spans="1:16" ht="14.25" customHeight="1">
      <c r="A254">
        <v>256</v>
      </c>
      <c r="B254">
        <v>0</v>
      </c>
      <c r="C254">
        <v>0</v>
      </c>
      <c r="E254" t="s">
        <v>2570</v>
      </c>
      <c r="F254">
        <v>6</v>
      </c>
      <c r="G254" s="1" t="s">
        <v>237</v>
      </c>
      <c r="H254" s="16" t="s">
        <v>2886</v>
      </c>
      <c r="I254" s="18"/>
      <c r="J254" t="str">
        <f>IF(LEN(VLOOKUP(表1[[#This Row],[id]],数据引用!A:C,3,FALSE))&gt;0,VLOOKUP(表1[[#This Row],[id]],数据引用!A:C,3,FALSE),"")</f>
        <v>缩小</v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font-size:12;"&gt;缩小&lt;/text&gt;&lt;text transform="matrix(1 0 0 1 0 10.3205)" style="fill:#FFFFFF; font-family:'FZXS12--GB1-0'; font-size:12;"&gt;缩小&lt;/text&gt;&lt;/svg&gt;</v>
      </c>
      <c r="P254" s="5"/>
    </row>
    <row r="255" spans="1:16" ht="14.25" customHeight="1">
      <c r="A255">
        <v>257</v>
      </c>
      <c r="B255">
        <v>0</v>
      </c>
      <c r="C255">
        <v>0</v>
      </c>
      <c r="E255" t="s">
        <v>2570</v>
      </c>
      <c r="F255">
        <v>6</v>
      </c>
      <c r="G255" s="1" t="s">
        <v>238</v>
      </c>
      <c r="H255" s="16" t="s">
        <v>2887</v>
      </c>
      <c r="I255" s="18"/>
      <c r="J255" t="str">
        <f>IF(LEN(VLOOKUP(表1[[#This Row],[id]],数据引用!A:C,3,FALSE))&gt;0,VLOOKUP(表1[[#This Row],[id]],数据引用!A:C,3,FALSE),"")</f>
        <v>出口已锁</v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font-size:12;"&gt;出口已锁&lt;/text&gt;&lt;text transform="matrix(1 0 0 1 0 10.3205)" style="fill:#FFFFFF; font-family:'FZXS12--GB1-0'; font-size:12;"&gt;出口已锁&lt;/text&gt;&lt;/svg&gt;</v>
      </c>
      <c r="P255" s="5"/>
    </row>
    <row r="256" spans="1:16" ht="14.25" customHeight="1">
      <c r="A256">
        <v>258</v>
      </c>
      <c r="B256">
        <v>0</v>
      </c>
      <c r="C256">
        <v>0</v>
      </c>
      <c r="E256" t="s">
        <v>2570</v>
      </c>
      <c r="F256">
        <v>6</v>
      </c>
      <c r="G256" s="1" t="s">
        <v>239</v>
      </c>
      <c r="H256" s="16" t="s">
        <v>2888</v>
      </c>
      <c r="I256" s="18"/>
      <c r="J256" t="str">
        <f>IF(LEN(VLOOKUP(表1[[#This Row],[id]],数据引用!A:C,3,FALSE))&gt;0,VLOOKUP(表1[[#This Row],[id]],数据引用!A:C,3,FALSE),"")</f>
        <v>英勇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font-size:12;"&gt;英勇&lt;/text&gt;&lt;text transform="matrix(1 0 0 1 0 10.3205)" style="fill:#FFFFFF; font-family:'FZXS12--GB1-0'; font-size:12;"&gt;英勇&lt;/text&gt;&lt;/svg&gt;</v>
      </c>
      <c r="P256" s="5"/>
    </row>
    <row r="257" spans="1:16" ht="14.25" customHeight="1">
      <c r="A257">
        <v>259</v>
      </c>
      <c r="B257">
        <v>0</v>
      </c>
      <c r="C257">
        <v>0</v>
      </c>
      <c r="E257" t="s">
        <v>2570</v>
      </c>
      <c r="F257">
        <v>6</v>
      </c>
      <c r="G257" s="1" t="s">
        <v>240</v>
      </c>
      <c r="H257" s="16" t="s">
        <v>2889</v>
      </c>
      <c r="I257" s="18"/>
      <c r="J257" t="str">
        <f>IF(LEN(VLOOKUP(表1[[#This Row],[id]],数据引用!A:C,3,FALSE))&gt;0,VLOOKUP(表1[[#This Row],[id]],数据引用!A:C,3,FALSE),"")</f>
        <v>防护</v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font-size:12;"&gt;防护&lt;/text&gt;&lt;text transform="matrix(1 0 0 1 0 10.3205)" style="fill:#FFFFFF; font-family:'FZXS12--GB1-0'; font-size:12;"&gt;防护&lt;/text&gt;&lt;/svg&gt;</v>
      </c>
      <c r="P257" s="5"/>
    </row>
    <row r="258" spans="1:16" ht="14.25" customHeight="1">
      <c r="A258">
        <v>260</v>
      </c>
      <c r="B258">
        <v>0</v>
      </c>
      <c r="C258">
        <v>0</v>
      </c>
      <c r="E258" t="s">
        <v>2570</v>
      </c>
      <c r="F258">
        <v>6</v>
      </c>
      <c r="G258" s="1" t="s">
        <v>241</v>
      </c>
      <c r="H258" s="16" t="s">
        <v>2890</v>
      </c>
      <c r="I258" s="18"/>
      <c r="J258" t="str">
        <f>IF(LEN(VLOOKUP(表1[[#This Row],[id]],数据引用!A:C,3,FALSE))&gt;0,VLOOKUP(表1[[#This Row],[id]],数据引用!A:C,3,FALSE),"")</f>
        <v>格挡</v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font-size:12;"&gt;格挡&lt;/text&gt;&lt;text transform="matrix(1 0 0 1 0 10.3205)" style="fill:#FFFFFF; font-family:'FZXS12--GB1-0'; font-size:12;"&gt;格挡&lt;/text&gt;&lt;/svg&gt;</v>
      </c>
      <c r="P258" s="5"/>
    </row>
    <row r="259" spans="1:16" ht="14.25" customHeight="1">
      <c r="A259">
        <v>261</v>
      </c>
      <c r="B259">
        <v>0</v>
      </c>
      <c r="C259">
        <v>0</v>
      </c>
      <c r="E259" t="s">
        <v>2570</v>
      </c>
      <c r="F259">
        <v>6</v>
      </c>
      <c r="G259" s="1" t="s">
        <v>242</v>
      </c>
      <c r="H259" s="16" t="s">
        <v>2891</v>
      </c>
      <c r="I259" s="18"/>
      <c r="J259" t="str">
        <f>IF(LEN(VLOOKUP(表1[[#This Row],[id]],数据引用!A:C,3,FALSE))&gt;0,VLOOKUP(表1[[#This Row],[id]],数据引用!A:C,3,FALSE),"")</f>
        <v>戒指破碎</v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font-size:12;"&gt;戒指破碎&lt;/text&gt;&lt;text transform="matrix(1 0 0 1 0 10.3205)" style="fill:#FFFFFF; font-family:'FZXS12--GB1-0'; font-size:12;"&gt;戒指破碎&lt;/text&gt;&lt;/svg&gt;</v>
      </c>
      <c r="P259" s="5"/>
    </row>
    <row r="260" spans="1:16" ht="14.25" customHeight="1">
      <c r="A260">
        <v>262</v>
      </c>
      <c r="B260">
        <v>0</v>
      </c>
      <c r="C260">
        <v>0</v>
      </c>
      <c r="E260" t="s">
        <v>2570</v>
      </c>
      <c r="F260">
        <v>6</v>
      </c>
      <c r="G260" s="1" t="s">
        <v>243</v>
      </c>
      <c r="H260" s="16" t="s">
        <v>2892</v>
      </c>
      <c r="I260" s="18"/>
      <c r="J260" t="str">
        <f>IF(LEN(VLOOKUP(表1[[#This Row],[id]],数据引用!A:C,3,FALSE))&gt;0,VLOOKUP(表1[[#This Row],[id]],数据引用!A:C,3,FALSE),"")</f>
        <v>护甲破碎</v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font-size:12;"&gt;护甲破碎&lt;/text&gt;&lt;text transform="matrix(1 0 0 1 0 10.3205)" style="fill:#FFFFFF; font-family:'FZXS12--GB1-0'; font-size:12;"&gt;护甲破碎&lt;/text&gt;&lt;/svg&gt;</v>
      </c>
      <c r="P260" s="5"/>
    </row>
    <row r="261" spans="1:16" ht="14.25" customHeight="1">
      <c r="A261">
        <v>263</v>
      </c>
      <c r="B261">
        <v>0</v>
      </c>
      <c r="C261">
        <v>0</v>
      </c>
      <c r="E261" t="s">
        <v>2570</v>
      </c>
      <c r="F261">
        <v>6</v>
      </c>
      <c r="G261" s="1" t="s">
        <v>244</v>
      </c>
      <c r="H261" s="16" t="s">
        <v>2893</v>
      </c>
      <c r="I261" s="18"/>
      <c r="J261" t="str">
        <f>IF(LEN(VLOOKUP(表1[[#This Row],[id]],数据引用!A:C,3,FALSE))&gt;0,VLOOKUP(表1[[#This Row],[id]],数据引用!A:C,3,FALSE),"")</f>
        <v>王冠破碎</v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font-size:12;"&gt;王冠破碎&lt;/text&gt;&lt;text transform="matrix(1 0 0 1 0 10.3205)" style="fill:#FFFFFF; font-family:'FZXS12--GB1-0'; font-size:12;"&gt;王冠破碎&lt;/text&gt;&lt;/svg&gt;</v>
      </c>
      <c r="P261" s="5"/>
    </row>
    <row r="262" spans="1:16" ht="14.25" customHeight="1">
      <c r="A262">
        <v>264</v>
      </c>
      <c r="B262">
        <v>0</v>
      </c>
      <c r="C262">
        <v>0</v>
      </c>
      <c r="E262" t="s">
        <v>2570</v>
      </c>
      <c r="F262">
        <v>6</v>
      </c>
      <c r="G262" s="1" t="s">
        <v>245</v>
      </c>
      <c r="H262" s="16" t="s">
        <v>2894</v>
      </c>
      <c r="I262" s="18"/>
      <c r="J262" t="str">
        <f>IF(LEN(VLOOKUP(表1[[#This Row],[id]],数据引用!A:C,3,FALSE))&gt;0,VLOOKUP(表1[[#This Row],[id]],数据引用!A:C,3,FALSE),"")</f>
        <v>饰品破碎</v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font-size:12;"&gt;饰品破碎&lt;/text&gt;&lt;text transform="matrix(1 0 0 1 0 10.3205)" style="fill:#FFFFFF; font-family:'FZXS12--GB1-0'; font-size:12;"&gt;饰品破碎&lt;/text&gt;&lt;/svg&gt;</v>
      </c>
      <c r="P262" s="5"/>
    </row>
    <row r="263" spans="1:16" ht="14.25" customHeight="1">
      <c r="A263">
        <v>265</v>
      </c>
      <c r="B263">
        <v>0</v>
      </c>
      <c r="C263">
        <v>0</v>
      </c>
      <c r="E263" t="s">
        <v>2570</v>
      </c>
      <c r="F263">
        <v>6</v>
      </c>
      <c r="G263" s="1" t="s">
        <v>246</v>
      </c>
      <c r="H263" s="16" t="s">
        <v>2895</v>
      </c>
      <c r="I263" s="18"/>
      <c r="J263" t="str">
        <f>IF(LEN(VLOOKUP(表1[[#This Row],[id]],数据引用!A:C,3,FALSE))&gt;0,VLOOKUP(表1[[#This Row],[id]],数据引用!A:C,3,FALSE),"")</f>
        <v>刺痛(冒险圣陵)</v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font-size:12;"&gt;刺痛(冒险圣陵)&lt;/text&gt;&lt;text transform="matrix(1 0 0 1 0 10.3205)" style="fill:#FFFFFF; font-family:'FZXS12--GB1-0'; font-size:12;"&gt;刺痛(冒险圣陵)&lt;/text&gt;&lt;/svg&gt;</v>
      </c>
      <c r="P263" s="5"/>
    </row>
    <row r="264" spans="1:16" ht="14.25" customHeight="1">
      <c r="A264">
        <v>266</v>
      </c>
      <c r="B264">
        <v>0</v>
      </c>
      <c r="C264">
        <v>0</v>
      </c>
      <c r="E264" t="s">
        <v>2570</v>
      </c>
      <c r="F264">
        <v>6</v>
      </c>
      <c r="G264" s="1" t="s">
        <v>247</v>
      </c>
      <c r="H264" s="16" t="s">
        <v>2896</v>
      </c>
      <c r="I264" s="18"/>
      <c r="J264" t="str">
        <f>IF(LEN(VLOOKUP(表1[[#This Row],[id]],数据引用!A:C,3,FALSE))&gt;0,VLOOKUP(表1[[#This Row],[id]],数据引用!A:C,3,FALSE),"")</f>
        <v>解冻</v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font-size:12;"&gt;解冻&lt;/text&gt;&lt;text transform="matrix(1 0 0 1 0 10.3205)" style="fill:#FFFFFF; font-family:'FZXS12--GB1-0'; font-size:12;"&gt;解冻&lt;/text&gt;&lt;/svg&gt;</v>
      </c>
      <c r="P264" s="5"/>
    </row>
    <row r="265" spans="1:16" ht="14.25" customHeight="1">
      <c r="A265">
        <v>267</v>
      </c>
      <c r="B265">
        <v>0</v>
      </c>
      <c r="C265">
        <v>0</v>
      </c>
      <c r="E265" t="s">
        <v>2570</v>
      </c>
      <c r="F265">
        <v>6</v>
      </c>
      <c r="G265" s="1" t="s">
        <v>248</v>
      </c>
      <c r="H265" s="16" t="s">
        <v>2897</v>
      </c>
      <c r="I265" s="18"/>
      <c r="J265" t="str">
        <f>IF(LEN(VLOOKUP(表1[[#This Row],[id]],数据引用!A:C,3,FALSE))&gt;0,VLOOKUP(表1[[#This Row],[id]],数据引用!A:C,3,FALSE),"")</f>
        <v>使用药剂</v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font-size:12;"&gt;使用药剂&lt;/text&gt;&lt;text transform="matrix(1 0 0 1 0 10.3205)" style="fill:#FFFFFF; font-family:'FZXS12--GB1-0'; font-size:12;"&gt;使用药剂&lt;/text&gt;&lt;/svg&gt;</v>
      </c>
      <c r="P265" s="5"/>
    </row>
    <row r="266" spans="1:16" ht="14.25" customHeight="1">
      <c r="A266">
        <v>268</v>
      </c>
      <c r="B266">
        <v>0</v>
      </c>
      <c r="C266">
        <v>0</v>
      </c>
      <c r="E266" t="s">
        <v>2570</v>
      </c>
      <c r="F266">
        <v>6</v>
      </c>
      <c r="G266" s="1" t="s">
        <v>249</v>
      </c>
      <c r="H266" s="16" t="s">
        <v>2898</v>
      </c>
      <c r="I266" s="18"/>
      <c r="J266" t="str">
        <f>IF(LEN(VLOOKUP(表1[[#This Row],[id]],数据引用!A:C,3,FALSE))&gt;0,VLOOKUP(表1[[#This Row],[id]],数据引用!A:C,3,FALSE),"")</f>
        <v>（旧枪套）</v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font-size:12;"&gt;（旧枪套）&lt;/text&gt;&lt;text transform="matrix(1 0 0 1 0 10.3205)" style="fill:#FFFFFF; font-family:'FZXS12--GB1-0'; font-size:12;"&gt;（旧枪套）&lt;/text&gt;&lt;/svg&gt;</v>
      </c>
      <c r="P266" s="5"/>
    </row>
    <row r="267" spans="1:16" ht="14.25" customHeight="1">
      <c r="A267">
        <v>269</v>
      </c>
      <c r="B267">
        <v>0</v>
      </c>
      <c r="C267">
        <v>0</v>
      </c>
      <c r="E267" t="s">
        <v>2570</v>
      </c>
      <c r="F267">
        <v>6</v>
      </c>
      <c r="G267" s="1" t="s">
        <v>250</v>
      </c>
      <c r="H267" s="16" t="s">
        <v>2899</v>
      </c>
      <c r="I267" s="18"/>
      <c r="J267" t="str">
        <f>IF(LEN(VLOOKUP(表1[[#This Row],[id]],数据引用!A:C,3,FALSE))&gt;0,VLOOKUP(表1[[#This Row],[id]],数据引用!A:C,3,FALSE),"")</f>
        <v>清空</v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font-size:12;"&gt;清空&lt;/text&gt;&lt;text transform="matrix(1 0 0 1 0 10.3205)" style="fill:#FFFFFF; font-family:'FZXS12--GB1-0'; font-size:12;"&gt;清空&lt;/text&gt;&lt;/svg&gt;</v>
      </c>
      <c r="P267" s="5"/>
    </row>
    <row r="268" spans="1:16" ht="14.25" customHeight="1">
      <c r="A268">
        <v>270</v>
      </c>
      <c r="B268">
        <v>0</v>
      </c>
      <c r="C268">
        <v>0</v>
      </c>
      <c r="E268" t="s">
        <v>2570</v>
      </c>
      <c r="F268">
        <v>6</v>
      </c>
      <c r="G268" s="1" t="s">
        <v>251</v>
      </c>
      <c r="H268" s="16" t="s">
        <v>2900</v>
      </c>
      <c r="I268" s="18"/>
      <c r="J268" t="str">
        <f>IF(LEN(VLOOKUP(表1[[#This Row],[id]],数据引用!A:C,3,FALSE))&gt;0,VLOOKUP(表1[[#This Row],[id]],数据引用!A:C,3,FALSE),"")</f>
        <v>购买</v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font-size:12;"&gt;购买&lt;/text&gt;&lt;text transform="matrix(1 0 0 1 0 10.3205)" style="fill:#FFFFFF; font-family:'FZXS12--GB1-0'; font-size:12;"&gt;购买&lt;/text&gt;&lt;/svg&gt;</v>
      </c>
      <c r="P268" s="5"/>
    </row>
    <row r="269" spans="1:16" ht="14.25" customHeight="1">
      <c r="A269">
        <v>271</v>
      </c>
      <c r="B269">
        <v>0</v>
      </c>
      <c r="C269">
        <v>0</v>
      </c>
      <c r="E269" t="s">
        <v>2570</v>
      </c>
      <c r="F269">
        <v>6</v>
      </c>
      <c r="G269" s="1" t="s">
        <v>252</v>
      </c>
      <c r="H269" s="16" t="s">
        <v>2901</v>
      </c>
      <c r="I269" s="18"/>
      <c r="J269" t="str">
        <f>IF(LEN(VLOOKUP(表1[[#This Row],[id]],数据引用!A:C,3,FALSE))&gt;0,VLOOKUP(表1[[#This Row],[id]],数据引用!A:C,3,FALSE),"")</f>
        <v>解锁</v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font-size:12;"&gt;解锁&lt;/text&gt;&lt;text transform="matrix(1 0 0 1 0 10.3205)" style="fill:#FFFFFF; font-family:'FZXS12--GB1-0'; font-size:12;"&gt;解锁&lt;/text&gt;&lt;/svg&gt;</v>
      </c>
      <c r="P269" s="5"/>
    </row>
    <row r="270" spans="1:16" ht="14.25" customHeight="1">
      <c r="A270">
        <v>272</v>
      </c>
      <c r="B270">
        <v>0</v>
      </c>
      <c r="C270">
        <v>0</v>
      </c>
      <c r="E270" t="s">
        <v>2570</v>
      </c>
      <c r="F270">
        <v>6</v>
      </c>
      <c r="G270" s="1" t="s">
        <v>253</v>
      </c>
      <c r="H270" s="16" t="s">
        <v>2902</v>
      </c>
      <c r="I270" s="18"/>
      <c r="J270" t="str">
        <f>IF(LEN(VLOOKUP(表1[[#This Row],[id]],数据引用!A:C,3,FALSE))&gt;0,VLOOKUP(表1[[#This Row],[id]],数据引用!A:C,3,FALSE),"")</f>
        <v>破碎</v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font-size:12;"&gt;破碎&lt;/text&gt;&lt;text transform="matrix(1 0 0 1 0 10.3205)" style="fill:#FFFFFF; font-family:'FZXS12--GB1-0'; font-size:12;"&gt;破碎&lt;/text&gt;&lt;/svg&gt;</v>
      </c>
      <c r="P270" s="5"/>
    </row>
    <row r="271" spans="1:16" ht="14.25" customHeight="1">
      <c r="A271">
        <v>273</v>
      </c>
      <c r="B271">
        <v>0</v>
      </c>
      <c r="C271">
        <v>0</v>
      </c>
      <c r="E271" t="s">
        <v>2570</v>
      </c>
      <c r="F271">
        <v>6</v>
      </c>
      <c r="G271" s="1" t="s">
        <v>254</v>
      </c>
      <c r="H271" s="16" t="s">
        <v>2903</v>
      </c>
      <c r="I271" s="18"/>
      <c r="J271" t="str">
        <f>IF(LEN(VLOOKUP(表1[[#This Row],[id]],数据引用!A:C,3,FALSE))&gt;0,VLOOKUP(表1[[#This Row],[id]],数据引用!A:C,3,FALSE),"")</f>
        <v>地震</v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font-size:12;"&gt;地震&lt;/text&gt;&lt;text transform="matrix(1 0 0 1 0 10.3205)" style="fill:#FFFFFF; font-family:'FZXS12--GB1-0'; font-size:12;"&gt;地震&lt;/text&gt;&lt;/svg&gt;</v>
      </c>
      <c r="P271" s="5"/>
    </row>
    <row r="272" spans="1:16" ht="14.25" customHeight="1">
      <c r="A272">
        <v>274</v>
      </c>
      <c r="B272">
        <v>0</v>
      </c>
      <c r="C272">
        <v>0</v>
      </c>
      <c r="E272" t="s">
        <v>2570</v>
      </c>
      <c r="F272">
        <v>6</v>
      </c>
      <c r="G272" s="1" t="s">
        <v>255</v>
      </c>
      <c r="H272" s="16" t="s">
        <v>2904</v>
      </c>
      <c r="I272" s="18"/>
      <c r="J272" t="str">
        <f>IF(LEN(VLOOKUP(表1[[#This Row],[id]],数据引用!A:C,3,FALSE))&gt;0,VLOOKUP(表1[[#This Row],[id]],数据引用!A:C,3,FALSE),"")</f>
        <v>诅咒</v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font-size:12;"&gt;诅咒&lt;/text&gt;&lt;text transform="matrix(1 0 0 1 0 10.3205)" style="fill:#FFFFFF; font-family:'FZXS12--GB1-0'; font-size:12;"&gt;诅咒&lt;/text&gt;&lt;/svg&gt;</v>
      </c>
      <c r="P272" s="5"/>
    </row>
    <row r="273" spans="1:16" ht="14.25" customHeight="1">
      <c r="A273">
        <v>275</v>
      </c>
      <c r="B273">
        <v>0</v>
      </c>
      <c r="C273">
        <v>0</v>
      </c>
      <c r="E273" t="s">
        <v>2570</v>
      </c>
      <c r="F273">
        <v>6</v>
      </c>
      <c r="G273" s="1" t="s">
        <v>256</v>
      </c>
      <c r="H273" s="16" t="s">
        <v>2905</v>
      </c>
      <c r="I273" s="18"/>
      <c r="J273" t="str">
        <f>IF(LEN(VLOOKUP(表1[[#This Row],[id]],数据引用!A:C,3,FALSE))&gt;0,VLOOKUP(表1[[#This Row],[id]],数据引用!A:C,3,FALSE),"")</f>
        <v>大幅改变</v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font-size:12;"&gt;大幅改变&lt;/text&gt;&lt;text transform="matrix(1 0 0 1 0 10.3205)" style="fill:#FFFFFF; font-family:'FZXS12--GB1-0'; font-size:12;"&gt;大幅改变&lt;/text&gt;&lt;/svg&gt;</v>
      </c>
      <c r="P273" s="5"/>
    </row>
    <row r="274" spans="1:16" ht="14.25" customHeight="1">
      <c r="A274">
        <v>276</v>
      </c>
      <c r="B274">
        <v>0</v>
      </c>
      <c r="C274">
        <v>0</v>
      </c>
      <c r="E274" t="s">
        <v>2570</v>
      </c>
      <c r="F274">
        <v>6</v>
      </c>
      <c r="G274" s="1" t="s">
        <v>257</v>
      </c>
      <c r="H274" s="16" t="s">
        <v>2906</v>
      </c>
      <c r="I274" s="18"/>
      <c r="J274" t="str">
        <f>IF(LEN(VLOOKUP(表1[[#This Row],[id]],数据引用!A:C,3,FALSE))&gt;0,VLOOKUP(表1[[#This Row],[id]],数据引用!A:C,3,FALSE),"")</f>
        <v>转化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font-size:12;"&gt;转化&lt;/text&gt;&lt;text transform="matrix(1 0 0 1 0 10.3205)" style="fill:#FFFFFF; font-family:'FZXS12--GB1-0'; font-size:12;"&gt;转化&lt;/text&gt;&lt;/svg&gt;</v>
      </c>
      <c r="P274" s="5"/>
    </row>
    <row r="275" spans="1:16" ht="14.25" customHeight="1">
      <c r="A275">
        <v>277</v>
      </c>
      <c r="B275">
        <v>0</v>
      </c>
      <c r="C275">
        <v>0</v>
      </c>
      <c r="E275" t="s">
        <v>2570</v>
      </c>
      <c r="F275">
        <v>6</v>
      </c>
      <c r="G275" s="1" t="s">
        <v>258</v>
      </c>
      <c r="H275" s="16" t="s">
        <v>2907</v>
      </c>
      <c r="I275" s="18"/>
      <c r="J275" t="str">
        <f>IF(LEN(VLOOKUP(表1[[#This Row],[id]],数据引用!A:C,3,FALSE))&gt;0,VLOOKUP(表1[[#This Row],[id]],数据引用!A:C,3,FALSE),"")</f>
        <v>降低</v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font-size:12;"&gt;降低&lt;/text&gt;&lt;text transform="matrix(1 0 0 1 0 10.3205)" style="fill:#FFFFFF; font-family:'FZXS12--GB1-0'; font-size:12;"&gt;降低&lt;/text&gt;&lt;/svg&gt;</v>
      </c>
      <c r="P275" s="5"/>
    </row>
    <row r="276" spans="1:16" ht="14.25" customHeight="1">
      <c r="A276">
        <v>278</v>
      </c>
      <c r="B276">
        <v>0</v>
      </c>
      <c r="C276">
        <v>0</v>
      </c>
      <c r="E276" t="s">
        <v>2570</v>
      </c>
      <c r="F276">
        <v>6</v>
      </c>
      <c r="G276" s="14"/>
      <c r="H276" s="15" t="s">
        <v>2908</v>
      </c>
      <c r="I276" s="18"/>
      <c r="J276" t="str">
        <f>IF(LEN(VLOOKUP(表1[[#This Row],[id]],数据引用!A:C,3,FALSE))&gt;0,VLOOKUP(表1[[#This Row],[id]],数据引用!A:C,3,FALSE),"")</f>
        <v>NULL</v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276" s="5"/>
    </row>
    <row r="277" spans="1:16" ht="14.25" customHeight="1">
      <c r="A277">
        <v>279</v>
      </c>
      <c r="B277">
        <v>0</v>
      </c>
      <c r="C277">
        <v>0</v>
      </c>
      <c r="E277" t="s">
        <v>2570</v>
      </c>
      <c r="F277">
        <v>6</v>
      </c>
      <c r="G277" s="8" t="s">
        <v>56</v>
      </c>
      <c r="H277" s="15" t="s">
        <v>2909</v>
      </c>
      <c r="I277" s="18"/>
      <c r="J277" t="str">
        <f>IF(LEN(VLOOKUP(表1[[#This Row],[id]],数据引用!A:C,3,FALSE))&gt;0,VLOOKUP(表1[[#This Row],[id]],数据引用!A:C,3,FALSE),"")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7" t="s">
        <v>1400</v>
      </c>
      <c r="P277" s="5"/>
    </row>
    <row r="278" spans="1:16" ht="14.25" customHeight="1">
      <c r="A278">
        <v>280</v>
      </c>
      <c r="B278">
        <v>0</v>
      </c>
      <c r="C278">
        <v>0</v>
      </c>
      <c r="E278" t="s">
        <v>2570</v>
      </c>
      <c r="F278">
        <v>6</v>
      </c>
      <c r="G278" s="8" t="s">
        <v>92</v>
      </c>
      <c r="H278" s="15" t="s">
        <v>2910</v>
      </c>
      <c r="I278" s="18"/>
      <c r="J278" t="str">
        <f>IF(LEN(VLOOKUP(表1[[#This Row],[id]],数据引用!A:C,3,FALSE))&gt;0,VLOOKUP(表1[[#This Row],[id]],数据引用!A:C,3,FALSE),"")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8" t="s">
        <v>1400</v>
      </c>
      <c r="P278" s="5"/>
    </row>
    <row r="279" spans="1:16" ht="14.25" customHeight="1">
      <c r="A279">
        <v>281</v>
      </c>
      <c r="B279">
        <v>0</v>
      </c>
      <c r="C279">
        <v>0</v>
      </c>
      <c r="E279" t="s">
        <v>2570</v>
      </c>
      <c r="F279">
        <v>6</v>
      </c>
      <c r="G279" s="1" t="s">
        <v>259</v>
      </c>
      <c r="H279" s="16" t="s">
        <v>2911</v>
      </c>
      <c r="I279" s="18"/>
      <c r="J279" t="str">
        <f>IF(LEN(VLOOKUP(表1[[#This Row],[id]],数据引用!A:C,3,FALSE))&gt;0,VLOOKUP(表1[[#This Row],[id]],数据引用!A:C,3,FALSE),"")</f>
        <v>恐惧</v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font-size:12;"&gt;恐惧&lt;/text&gt;&lt;text transform="matrix(1 0 0 1 0 10.3205)" style="fill:#FFFFFF; font-family:'FZXS12--GB1-0'; font-size:12;"&gt;恐惧&lt;/text&gt;&lt;/svg&gt;</v>
      </c>
      <c r="P279" s="5"/>
    </row>
    <row r="280" spans="1:16" ht="14.25" customHeight="1">
      <c r="A280">
        <v>282</v>
      </c>
      <c r="B280">
        <v>0</v>
      </c>
      <c r="C280">
        <v>0</v>
      </c>
      <c r="E280" t="s">
        <v>2570</v>
      </c>
      <c r="F280">
        <v>6</v>
      </c>
      <c r="G280" s="1" t="s">
        <v>260</v>
      </c>
      <c r="H280" s="16" t="s">
        <v>2912</v>
      </c>
      <c r="I280" s="18"/>
      <c r="J280" t="str">
        <f>IF(LEN(VLOOKUP(表1[[#This Row],[id]],数据引用!A:C,3,FALSE))&gt;0,VLOOKUP(表1[[#This Row],[id]],数据引用!A:C,3,FALSE),"")</f>
        <v>炎爆术</v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font-size:12;"&gt;炎爆术&lt;/text&gt;&lt;text transform="matrix(1 0 0 1 0 10.3205)" style="fill:#FFFFFF; font-family:'FZXS12--GB1-0'; font-size:12;"&gt;炎爆术&lt;/text&gt;&lt;/svg&gt;</v>
      </c>
      <c r="P280" s="5"/>
    </row>
    <row r="281" spans="1:16" ht="14.25" customHeight="1">
      <c r="A281">
        <v>283</v>
      </c>
      <c r="B281">
        <v>0</v>
      </c>
      <c r="C281">
        <v>0</v>
      </c>
      <c r="E281" t="s">
        <v>2570</v>
      </c>
      <c r="F281">
        <v>6</v>
      </c>
      <c r="G281" s="1" t="s">
        <v>261</v>
      </c>
      <c r="H281" s="16" t="s">
        <v>2913</v>
      </c>
      <c r="I281" s="18"/>
      <c r="J281" t="str">
        <f>IF(LEN(VLOOKUP(表1[[#This Row],[id]],数据引用!A:C,3,FALSE))&gt;0,VLOOKUP(表1[[#This Row],[id]],数据引用!A:C,3,FALSE),"")</f>
        <v>火球术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281" s="5"/>
    </row>
    <row r="282" spans="1:16" ht="14.25" customHeight="1">
      <c r="A282">
        <v>284</v>
      </c>
      <c r="B282">
        <v>0</v>
      </c>
      <c r="C282">
        <v>0</v>
      </c>
      <c r="E282" t="s">
        <v>2570</v>
      </c>
      <c r="F282">
        <v>6</v>
      </c>
      <c r="G282" s="1" t="s">
        <v>262</v>
      </c>
      <c r="H282" s="16" t="s">
        <v>2914</v>
      </c>
      <c r="I282" s="18"/>
      <c r="J282" t="str">
        <f>IF(LEN(VLOOKUP(表1[[#This Row],[id]],数据引用!A:C,3,FALSE))&gt;0,VLOOKUP(表1[[#This Row],[id]],数据引用!A:C,3,FALSE),"")</f>
        <v>深度冻结</v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font-size:12;"&gt;深度冻结&lt;/text&gt;&lt;text transform="matrix(1 0 0 1 0 10.3205)" style="fill:#FFFFFF; font-family:'FZXS12--GB1-0'; font-size:12;"&gt;深度冻结&lt;/text&gt;&lt;/svg&gt;</v>
      </c>
      <c r="P282" s="5"/>
    </row>
    <row r="283" spans="1:16" ht="14.25" customHeight="1">
      <c r="A283">
        <v>285</v>
      </c>
      <c r="B283">
        <v>0</v>
      </c>
      <c r="C283">
        <v>0</v>
      </c>
      <c r="E283" t="s">
        <v>2570</v>
      </c>
      <c r="F283">
        <v>6</v>
      </c>
      <c r="G283" s="1" t="s">
        <v>263</v>
      </c>
      <c r="H283" s="16" t="s">
        <v>2915</v>
      </c>
      <c r="I283" s="18"/>
      <c r="J283" t="str">
        <f>IF(LEN(VLOOKUP(表1[[#This Row],[id]],数据引用!A:C,3,FALSE))&gt;0,VLOOKUP(表1[[#This Row],[id]],数据引用!A:C,3,FALSE),"")</f>
        <v>冰冻术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P283" s="5"/>
    </row>
    <row r="284" spans="1:16" ht="14.25" customHeight="1">
      <c r="A284">
        <v>286</v>
      </c>
      <c r="B284">
        <v>0</v>
      </c>
      <c r="C284">
        <v>0</v>
      </c>
      <c r="E284" t="s">
        <v>2570</v>
      </c>
      <c r="F284">
        <v>6</v>
      </c>
      <c r="G284" s="1" t="s">
        <v>264</v>
      </c>
      <c r="H284" s="16" t="s">
        <v>2916</v>
      </c>
      <c r="I284" s="18"/>
      <c r="J284" t="str">
        <f>IF(LEN(VLOOKUP(表1[[#This Row],[id]],数据引用!A:C,3,FALSE))&gt;0,VLOOKUP(表1[[#This Row],[id]],数据引用!A:C,3,FALSE),"")</f>
        <v>治疗术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P284" s="5"/>
    </row>
    <row r="285" spans="1:16" ht="14.25" customHeight="1">
      <c r="A285">
        <v>287</v>
      </c>
      <c r="B285">
        <v>0</v>
      </c>
      <c r="C285">
        <v>0</v>
      </c>
      <c r="E285" t="s">
        <v>2570</v>
      </c>
      <c r="F285">
        <v>6</v>
      </c>
      <c r="G285" s="1" t="s">
        <v>265</v>
      </c>
      <c r="H285" s="16" t="s">
        <v>2917</v>
      </c>
      <c r="I285" s="18"/>
      <c r="J285" t="str">
        <f>IF(LEN(VLOOKUP(表1[[#This Row],[id]],数据引用!A:C,3,FALSE))&gt;0,VLOOKUP(表1[[#This Row],[id]],数据引用!A:C,3,FALSE),"")</f>
        <v>炸弹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285" s="5"/>
    </row>
    <row r="286" spans="1:16" ht="14.25" customHeight="1">
      <c r="A286">
        <v>288</v>
      </c>
      <c r="B286">
        <v>0</v>
      </c>
      <c r="C286">
        <v>0</v>
      </c>
      <c r="E286" t="s">
        <v>2570</v>
      </c>
      <c r="F286">
        <v>6</v>
      </c>
      <c r="G286" s="1" t="s">
        <v>1362</v>
      </c>
      <c r="H286" s="16" t="s">
        <v>2918</v>
      </c>
      <c r="I286" s="18"/>
      <c r="J286" t="str">
        <f>IF(LEN(VLOOKUP(表1[[#This Row],[id]],数据引用!A:C,3,FALSE))&gt;0,VLOOKUP(表1[[#This Row],[id]],数据引用!A:C,3,FALSE),"")</f>
        <v>变大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P286" s="5"/>
    </row>
    <row r="287" spans="1:16" ht="14.25" customHeight="1">
      <c r="A287">
        <v>289</v>
      </c>
      <c r="B287">
        <v>0</v>
      </c>
      <c r="C287">
        <v>0</v>
      </c>
      <c r="E287" t="s">
        <v>2570</v>
      </c>
      <c r="F287">
        <v>6</v>
      </c>
      <c r="G287" s="1" t="s">
        <v>267</v>
      </c>
      <c r="H287" s="16" t="s">
        <v>2919</v>
      </c>
      <c r="I287" s="18"/>
      <c r="J287" t="str">
        <f>IF(LEN(VLOOKUP(表1[[#This Row],[id]],数据引用!A:C,3,FALSE))&gt;0,VLOOKUP(表1[[#This Row],[id]],数据引用!A:C,3,FALSE),"")</f>
        <v>大圣盾术</v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font-size:12;"&gt;大圣盾术&lt;/text&gt;&lt;text transform="matrix(1 0 0 1 0 10.3205)" style="fill:#FFFFFF; font-family:'FZXS12--GB1-0'; font-size:12;"&gt;大圣盾术&lt;/text&gt;&lt;/svg&gt;</v>
      </c>
      <c r="P287" s="5"/>
    </row>
    <row r="288" spans="1:16" ht="14.25" customHeight="1">
      <c r="A288">
        <v>290</v>
      </c>
      <c r="B288">
        <v>0</v>
      </c>
      <c r="C288">
        <v>0</v>
      </c>
      <c r="E288" t="s">
        <v>2570</v>
      </c>
      <c r="F288">
        <v>6</v>
      </c>
      <c r="G288" s="1" t="s">
        <v>268</v>
      </c>
      <c r="H288" s="16" t="s">
        <v>2920</v>
      </c>
      <c r="I288" s="18"/>
      <c r="J288" t="str">
        <f>IF(LEN(VLOOKUP(表1[[#This Row],[id]],数据引用!A:C,3,FALSE))&gt;0,VLOOKUP(表1[[#This Row],[id]],数据引用!A:C,3,FALSE),"")</f>
        <v>圣盾术</v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P288" s="5"/>
    </row>
    <row r="289" spans="1:16" ht="14.25" customHeight="1">
      <c r="A289">
        <v>291</v>
      </c>
      <c r="B289">
        <v>0</v>
      </c>
      <c r="C289">
        <v>0</v>
      </c>
      <c r="E289" t="s">
        <v>2570</v>
      </c>
      <c r="F289">
        <v>6</v>
      </c>
      <c r="G289" s="1" t="s">
        <v>269</v>
      </c>
      <c r="H289" s="16" t="s">
        <v>2921</v>
      </c>
      <c r="I289" s="18"/>
      <c r="J289" t="str">
        <f>IF(LEN(VLOOKUP(表1[[#This Row],[id]],数据引用!A:C,3,FALSE))&gt;0,VLOOKUP(表1[[#This Row],[id]],数据引用!A:C,3,FALSE),"")</f>
        <v>附魔武器</v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P289" s="5"/>
    </row>
    <row r="290" spans="1:16" ht="14.25" customHeight="1">
      <c r="A290">
        <v>292</v>
      </c>
      <c r="B290">
        <v>0</v>
      </c>
      <c r="C290">
        <v>0</v>
      </c>
      <c r="E290" t="s">
        <v>2570</v>
      </c>
      <c r="F290">
        <v>6</v>
      </c>
      <c r="G290" s="1" t="s">
        <v>220</v>
      </c>
      <c r="H290" s="16" t="s">
        <v>2922</v>
      </c>
      <c r="I290" s="18"/>
      <c r="J290" t="str">
        <f>IF(LEN(VLOOKUP(表1[[#This Row],[id]],数据引用!A:C,3,FALSE))&gt;0,VLOOKUP(表1[[#This Row],[id]],数据引用!A:C,3,FALSE),"")</f>
        <v>需要</v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P290" s="5"/>
    </row>
    <row r="291" spans="1:16" ht="14.25" customHeight="1">
      <c r="A291">
        <v>293</v>
      </c>
      <c r="B291">
        <v>0</v>
      </c>
      <c r="C291">
        <v>0</v>
      </c>
      <c r="E291" t="s">
        <v>2570</v>
      </c>
      <c r="F291">
        <v>6</v>
      </c>
      <c r="G291" s="1" t="s">
        <v>270</v>
      </c>
      <c r="H291" s="16" t="s">
        <v>2923</v>
      </c>
      <c r="I291" s="18"/>
      <c r="J291" t="str">
        <f>IF(LEN(VLOOKUP(表1[[#This Row],[id]],数据引用!A:C,3,FALSE))&gt;0,VLOOKUP(表1[[#This Row],[id]],数据引用!A:C,3,FALSE),"")</f>
        <v>（鲜血魔法）</v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font-size:12;"&gt;（鲜血魔法）&lt;/text&gt;&lt;text transform="matrix(1 0 0 1 0 10.3205)" style="fill:#FFFFFF; font-family:'FZXS12--GB1-0'; font-size:12;"&gt;（鲜血魔法）&lt;/text&gt;&lt;/svg&gt;</v>
      </c>
      <c r="P291" s="5"/>
    </row>
    <row r="292" spans="1:16" ht="14.25" customHeight="1">
      <c r="A292">
        <v>300</v>
      </c>
      <c r="B292">
        <v>0</v>
      </c>
      <c r="C292">
        <v>0</v>
      </c>
      <c r="E292" t="s">
        <v>2570</v>
      </c>
      <c r="F292">
        <v>6</v>
      </c>
      <c r="G292" s="1" t="s">
        <v>272</v>
      </c>
      <c r="H292" s="16" t="s">
        <v>2924</v>
      </c>
      <c r="I292" s="18"/>
      <c r="J292" t="str">
        <f>IF(LEN(VLOOKUP(表1[[#This Row],[id]],数据引用!A:C,3,FALSE))&gt;0,VLOOKUP(表1[[#This Row],[id]],数据引用!A:C,3,FALSE),"")</f>
        <v>鲜血圣陵：使用生命换取鲜血武器</v>
      </c>
      <c r="K292" t="s">
        <v>1198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font-size:12;"&gt;鲜血圣陵：使用生命换取鲜血武器&lt;/text&gt;&lt;text transform="matrix(1 0 0 1 0 10.3205)" style="fill:#FFFFFF; font-family:'FZXS12--GB1-0'; font-size:12;"&gt;鲜血圣陵：使用生命换取鲜血武器&lt;/text&gt;&lt;/svg&gt;</v>
      </c>
      <c r="P292" s="5"/>
    </row>
    <row r="293" spans="1:16" ht="14.25" customHeight="1">
      <c r="A293">
        <v>301</v>
      </c>
      <c r="B293">
        <v>0</v>
      </c>
      <c r="C293">
        <v>0</v>
      </c>
      <c r="E293" t="s">
        <v>2570</v>
      </c>
      <c r="F293">
        <v>6</v>
      </c>
      <c r="G293" s="1" t="s">
        <v>273</v>
      </c>
      <c r="H293" s="16" t="s">
        <v>2925</v>
      </c>
      <c r="I293" s="18"/>
      <c r="J293" t="str">
        <f>IF(LEN(VLOOKUP(表1[[#This Row],[id]],数据引用!A:C,3,FALSE))&gt;0,VLOOKUP(表1[[#This Row],[id]],数据引用!A:C,3,FALSE),"")</f>
        <v>黑暗圣陵：熄灯</v>
      </c>
      <c r="K293" t="s">
        <v>1198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font-size:12;"&gt;黑暗圣陵：熄灯&lt;/text&gt;&lt;text transform="matrix(1 0 0 1 0 10.3205)" style="fill:#FFFFFF; font-family:'FZXS12--GB1-0'; font-size:12;"&gt;黑暗圣陵：熄灯&lt;/text&gt;&lt;/svg&gt;</v>
      </c>
      <c r="P293" s="5"/>
    </row>
    <row r="294" spans="1:16" ht="14.25" customHeight="1">
      <c r="A294">
        <v>302</v>
      </c>
      <c r="B294">
        <v>0</v>
      </c>
      <c r="C294">
        <v>0</v>
      </c>
      <c r="E294" t="s">
        <v>2570</v>
      </c>
      <c r="F294">
        <v>6</v>
      </c>
      <c r="G294" s="1" t="s">
        <v>274</v>
      </c>
      <c r="H294" s="16" t="s">
        <v>2926</v>
      </c>
      <c r="I294" s="18"/>
      <c r="J294" t="str">
        <f>IF(LEN(VLOOKUP(表1[[#This Row],[id]],数据引用!A:C,3,FALSE))&gt;0,VLOOKUP(表1[[#This Row],[id]],数据引用!A:C,3,FALSE),"")</f>
        <v>玻璃圣陵：身上所有物品变为玻璃材质</v>
      </c>
      <c r="K294" t="s">
        <v>1198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font-size:12;"&gt;玻璃圣陵：身上所有物品变为玻璃材质&lt;/text&gt;&lt;text transform="matrix(1 0 0 1 0 10.3205)" style="fill:#FFFFFF; font-family:'FZXS12--GB1-0'; font-size:12;"&gt;玻璃圣陵：身上所有物品变为玻璃材质&lt;/text&gt;&lt;/svg&gt;</v>
      </c>
      <c r="P294" s="5"/>
    </row>
    <row r="295" spans="1:16" ht="14.25" customHeight="1">
      <c r="A295">
        <v>303</v>
      </c>
      <c r="B295">
        <v>0</v>
      </c>
      <c r="C295">
        <v>0</v>
      </c>
      <c r="E295" t="s">
        <v>2570</v>
      </c>
      <c r="F295">
        <v>6</v>
      </c>
      <c r="G295" s="1" t="s">
        <v>275</v>
      </c>
      <c r="H295" s="16" t="s">
        <v>2927</v>
      </c>
      <c r="I295" s="18"/>
      <c r="J295" t="str">
        <f>IF(LEN(VLOOKUP(表1[[#This Row],[id]],数据引用!A:C,3,FALSE))&gt;0,VLOOKUP(表1[[#This Row],[id]],数据引用!A:C,3,FALSE),"")</f>
        <v>和平圣陵：使用全部物品换取生命</v>
      </c>
      <c r="K295" t="s">
        <v>1198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font-size:12;"&gt;和平圣陵：使用全部物品换取生命&lt;/text&gt;&lt;text transform="matrix(1 0 0 1 0 10.3205)" style="fill:#FFFFFF; font-family:'FZXS12--GB1-0'; font-size:12;"&gt;和平圣陵：使用全部物品换取生命&lt;/text&gt;&lt;/svg&gt;</v>
      </c>
      <c r="P295" s="5"/>
    </row>
    <row r="296" spans="1:16" ht="14.25" customHeight="1">
      <c r="A296">
        <v>304</v>
      </c>
      <c r="B296">
        <v>0</v>
      </c>
      <c r="C296">
        <v>0</v>
      </c>
      <c r="E296" t="s">
        <v>2570</v>
      </c>
      <c r="F296">
        <v>6</v>
      </c>
      <c r="G296" s="1" t="s">
        <v>276</v>
      </c>
      <c r="H296" s="16" t="s">
        <v>2928</v>
      </c>
      <c r="I296" s="18"/>
      <c r="J296" t="str">
        <f>IF(LEN(VLOOKUP(表1[[#This Row],[id]],数据引用!A:C,3,FALSE))&gt;0,VLOOKUP(表1[[#This Row],[id]],数据引用!A:C,3,FALSE),"")</f>
        <v>节奏圣陵：身上所有物品变为黑曜石材质，打乱节奏</v>
      </c>
      <c r="K296" t="s">
        <v>1198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font-size:12;"&gt;节奏圣陵：身上所有物品变为黑曜石材质，打乱节奏&lt;/text&gt;&lt;text transform="matrix(1 0 0 1 0 10.3205)" style="fill:#FFFFFF; font-family:'FZXS12--GB1-0'; font-size:12;"&gt;节奏圣陵：身上所有物品变为黑曜石材质，打乱节奏&lt;/text&gt;&lt;/svg&gt;</v>
      </c>
      <c r="P296" s="5"/>
    </row>
    <row r="297" spans="1:16" ht="14.25" customHeight="1">
      <c r="A297">
        <v>305</v>
      </c>
      <c r="B297">
        <v>0</v>
      </c>
      <c r="C297">
        <v>0</v>
      </c>
      <c r="E297" t="s">
        <v>2570</v>
      </c>
      <c r="F297">
        <v>6</v>
      </c>
      <c r="G297" s="1" t="s">
        <v>277</v>
      </c>
      <c r="H297" s="16" t="s">
        <v>2929</v>
      </c>
      <c r="I297" s="18"/>
      <c r="J297" t="str">
        <f>IF(LEN(VLOOKUP(表1[[#This Row],[id]],数据引用!A:C,3,FALSE))&gt;0,VLOOKUP(表1[[#This Row],[id]],数据引用!A:C,3,FALSE),"")</f>
        <v>冒险圣陵：获得物品但缓慢流血</v>
      </c>
      <c r="K297" t="s">
        <v>1198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font-size:12;"&gt;冒险圣陵：获得物品但缓慢流血&lt;/text&gt;&lt;text transform="matrix(1 0 0 1 0 10.3205)" style="fill:#FFFFFF; font-family:'FZXS12--GB1-0'; font-size:12;"&gt;冒险圣陵：获得物品但缓慢流血&lt;/text&gt;&lt;/svg&gt;</v>
      </c>
      <c r="P297" s="5"/>
    </row>
    <row r="298" spans="1:16" ht="14.25" customHeight="1">
      <c r="A298">
        <v>306</v>
      </c>
      <c r="B298">
        <v>0</v>
      </c>
      <c r="C298">
        <v>0</v>
      </c>
      <c r="E298" t="s">
        <v>2570</v>
      </c>
      <c r="F298">
        <v>6</v>
      </c>
      <c r="G298" s="1" t="s">
        <v>278</v>
      </c>
      <c r="H298" s="16" t="s">
        <v>2930</v>
      </c>
      <c r="I298" s="18"/>
      <c r="J298" t="str">
        <f>IF(LEN(VLOOKUP(表1[[#This Row],[id]],数据引用!A:C,3,FALSE))&gt;0,VLOOKUP(表1[[#This Row],[id]],数据引用!A:C,3,FALSE),"")</f>
        <v>献祭圣陵：献上你的祭品</v>
      </c>
      <c r="K298" t="s">
        <v>1198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font-size:12;"&gt;献祭圣陵：献上你的祭品&lt;/text&gt;&lt;text transform="matrix(1 0 0 1 0 10.3205)" style="fill:#FFFFFF; font-family:'FZXS12--GB1-0'; font-size:12;"&gt;献祭圣陵：献上你的祭品&lt;/text&gt;&lt;/svg&gt;</v>
      </c>
      <c r="P298" s="5"/>
    </row>
    <row r="299" spans="1:16" ht="14.25" customHeight="1">
      <c r="A299">
        <v>307</v>
      </c>
      <c r="B299">
        <v>0</v>
      </c>
      <c r="C299">
        <v>0</v>
      </c>
      <c r="E299" t="s">
        <v>2570</v>
      </c>
      <c r="F299">
        <v>6</v>
      </c>
      <c r="G299" s="1" t="s">
        <v>279</v>
      </c>
      <c r="H299" s="16" t="s">
        <v>2931</v>
      </c>
      <c r="I299" s="18"/>
      <c r="J299" t="str">
        <f>IF(LEN(VLOOKUP(表1[[#This Row],[id]],数据引用!A:C,3,FALSE))&gt;0,VLOOKUP(表1[[#This Row],[id]],数据引用!A:C,3,FALSE),"")</f>
        <v>空间圣陵：获得铲子，扩大地下城空间</v>
      </c>
      <c r="K299" t="s">
        <v>1198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font-size:12;"&gt;空间圣陵：获得铲子，扩大地下城空间&lt;/text&gt;&lt;text transform="matrix(1 0 0 1 0 10.3205)" style="fill:#FFFFFF; font-family:'FZXS12--GB1-0'; font-size:12;"&gt;空间圣陵：获得铲子，扩大地下城空间&lt;/text&gt;&lt;/svg&gt;</v>
      </c>
      <c r="P299" s="5"/>
    </row>
    <row r="300" spans="1:16" ht="14.25" customHeight="1">
      <c r="A300">
        <v>308</v>
      </c>
      <c r="B300">
        <v>0</v>
      </c>
      <c r="C300">
        <v>0</v>
      </c>
      <c r="E300" t="s">
        <v>2570</v>
      </c>
      <c r="F300">
        <v>6</v>
      </c>
      <c r="G300" s="1" t="s">
        <v>280</v>
      </c>
      <c r="H300" s="16" t="s">
        <v>2932</v>
      </c>
      <c r="I300" s="18"/>
      <c r="J300" t="str">
        <f>IF(LEN(VLOOKUP(表1[[#This Row],[id]],数据引用!A:C,3,FALSE))&gt;0,VLOOKUP(表1[[#This Row],[id]],数据引用!A:C,3,FALSE),"")</f>
        <v>战争圣陵：获取物品，更强大的敌人</v>
      </c>
      <c r="K300" t="s">
        <v>1198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font-size:12;"&gt;战争圣陵：获取物品，更强大的敌人&lt;/text&gt;&lt;text transform="matrix(1 0 0 1 0 10.3205)" style="fill:#FFFFFF; font-family:'FZXS12--GB1-0'; font-size:12;"&gt;战争圣陵：获取物品，更强大的敌人&lt;/text&gt;&lt;/svg&gt;</v>
      </c>
      <c r="P300" s="5"/>
    </row>
    <row r="301" spans="1:16" ht="14.25" customHeight="1">
      <c r="A301">
        <v>309</v>
      </c>
      <c r="B301">
        <v>0</v>
      </c>
      <c r="C301">
        <v>0</v>
      </c>
      <c r="E301" t="s">
        <v>2570</v>
      </c>
      <c r="F301">
        <v>6</v>
      </c>
      <c r="G301" s="1" t="s">
        <v>281</v>
      </c>
      <c r="H301" s="16" t="s">
        <v>2933</v>
      </c>
      <c r="I301" s="18"/>
      <c r="J301" t="str">
        <f>IF(LEN(VLOOKUP(表1[[#This Row],[id]],数据引用!A:C,3,FALSE))&gt;0,VLOOKUP(表1[[#This Row],[id]],数据引用!A:C,3,FALSE),"")</f>
        <v>无悔圣陵：获取武器，永不回头</v>
      </c>
      <c r="K301" t="s">
        <v>1198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font-size:12;"&gt;无悔圣陵：获取武器，永不回头&lt;/text&gt;&lt;text transform="matrix(1 0 0 1 0 10.3205)" style="fill:#FFFFFF; font-family:'FZXS12--GB1-0'; font-size:12;"&gt;无悔圣陵：获取武器，永不回头&lt;/text&gt;&lt;/svg&gt;</v>
      </c>
      <c r="P301" s="5"/>
    </row>
    <row r="302" spans="1:16" ht="14.25" customHeight="1">
      <c r="A302">
        <v>310</v>
      </c>
      <c r="B302">
        <v>0</v>
      </c>
      <c r="C302">
        <v>0</v>
      </c>
      <c r="E302" t="s">
        <v>2570</v>
      </c>
      <c r="F302">
        <v>6</v>
      </c>
      <c r="G302" s="1" t="s">
        <v>282</v>
      </c>
      <c r="H302" s="16" t="s">
        <v>2934</v>
      </c>
      <c r="I302" s="18"/>
      <c r="J302" t="str">
        <f>IF(LEN(VLOOKUP(表1[[#This Row],[id]],数据引用!A:C,3,FALSE))&gt;0,VLOOKUP(表1[[#This Row],[id]],数据引用!A:C,3,FALSE),"")</f>
        <v>相位圣陵：化为无形</v>
      </c>
      <c r="K302" t="s">
        <v>1198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font-size:12;"&gt;相位圣陵：化为无形&lt;/text&gt;&lt;text transform="matrix(1 0 0 1 0 10.3205)" style="fill:#FFFFFF; font-family:'FZXS12--GB1-0'; font-size:12;"&gt;相位圣陵：化为无形&lt;/text&gt;&lt;/svg&gt;</v>
      </c>
      <c r="P302" s="5"/>
    </row>
    <row r="303" spans="1:16" ht="14.25" customHeight="1">
      <c r="A303">
        <v>311</v>
      </c>
      <c r="B303">
        <v>0</v>
      </c>
      <c r="C303">
        <v>0</v>
      </c>
      <c r="E303" t="s">
        <v>2570</v>
      </c>
      <c r="F303">
        <v>6</v>
      </c>
      <c r="G303" s="1" t="s">
        <v>283</v>
      </c>
      <c r="H303" s="16" t="s">
        <v>2935</v>
      </c>
      <c r="I303" s="18"/>
      <c r="J303" t="str">
        <f>IF(LEN(VLOOKUP(表1[[#This Row],[id]],数据引用!A:C,3,FALSE))&gt;0,VLOOKUP(表1[[#This Row],[id]],数据引用!A:C,3,FALSE),"")</f>
        <v>步调圣陵：奖勤罚懒</v>
      </c>
      <c r="K303" t="s">
        <v>1198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font-size:12;"&gt;步调圣陵：奖勤罚懒&lt;/text&gt;&lt;text transform="matrix(1 0 0 1 0 10.3205)" style="fill:#FFFFFF; font-family:'FZXS12--GB1-0'; font-size:12;"&gt;步调圣陵：奖勤罚懒&lt;/text&gt;&lt;/svg&gt;</v>
      </c>
      <c r="P303" s="5"/>
    </row>
    <row r="304" spans="1:16" ht="14.25" customHeight="1">
      <c r="A304">
        <v>312</v>
      </c>
      <c r="B304">
        <v>0</v>
      </c>
      <c r="C304">
        <v>0</v>
      </c>
      <c r="E304" t="s">
        <v>2570</v>
      </c>
      <c r="F304">
        <v>6</v>
      </c>
      <c r="G304" s="1" t="s">
        <v>284</v>
      </c>
      <c r="H304" s="16" t="s">
        <v>2936</v>
      </c>
      <c r="I304" s="18"/>
      <c r="J304" t="str">
        <f>IF(LEN(VLOOKUP(表1[[#This Row],[id]],数据引用!A:C,3,FALSE))&gt;0,VLOOKUP(表1[[#This Row],[id]],数据引用!A:C,3,FALSE),"")</f>
        <v>机遇圣陵：来试试手气吧</v>
      </c>
      <c r="K304" t="s">
        <v>1198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font-size:12;"&gt;机遇圣陵：来试试手气吧&lt;/text&gt;&lt;text transform="matrix(1 0 0 1 0 10.3205)" style="fill:#FFFFFF; font-family:'FZXS12--GB1-0'; font-size:12;"&gt;机遇圣陵：来试试手气吧&lt;/text&gt;&lt;/svg&gt;</v>
      </c>
      <c r="P304" s="5"/>
    </row>
    <row r="305" spans="1:16" ht="14.25" customHeight="1">
      <c r="A305">
        <v>313</v>
      </c>
      <c r="B305">
        <v>0</v>
      </c>
      <c r="C305">
        <v>0</v>
      </c>
      <c r="E305" t="s">
        <v>2570</v>
      </c>
      <c r="F305">
        <v>6</v>
      </c>
      <c r="G305" s="8" t="s">
        <v>56</v>
      </c>
      <c r="H305" s="15" t="s">
        <v>2937</v>
      </c>
      <c r="I305" s="18"/>
      <c r="J305" t="str">
        <f>IF(LEN(VLOOKUP(表1[[#This Row],[id]],数据引用!A:C,3,FALSE))&gt;0,VLOOKUP(表1[[#This Row],[id]],数据引用!A:C,3,FALSE),"")</f>
        <v/>
      </c>
      <c r="K305" t="s">
        <v>1198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305" s="5"/>
    </row>
    <row r="306" spans="1:16" ht="14.25" customHeight="1">
      <c r="A306">
        <v>314</v>
      </c>
      <c r="B306">
        <v>0</v>
      </c>
      <c r="C306">
        <v>0</v>
      </c>
      <c r="E306" t="s">
        <v>2570</v>
      </c>
      <c r="F306">
        <v>6</v>
      </c>
      <c r="G306" s="1" t="s">
        <v>285</v>
      </c>
      <c r="H306" s="16" t="s">
        <v>2938</v>
      </c>
      <c r="I306" s="18"/>
      <c r="J306" t="str">
        <f>IF(LEN(VLOOKUP(表1[[#This Row],[id]],数据引用!A:C,3,FALSE))&gt;0,VLOOKUP(表1[[#This Row],[id]],数据引用!A:C,3,FALSE),"")</f>
        <v>+1黑色宝箱/RUN</v>
      </c>
      <c r="K306" t="s">
        <v>1199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font-size:12;"&gt;+1黑色宝箱/RUN&lt;/text&gt;&lt;text transform="matrix(1 0 0 1 0 10.3205)" style="fill:#FFFFFF; font-family:'FZXS12--GB1-0'; font-size:12;"&gt;+1黑色宝箱/RUN&lt;/text&gt;&lt;/svg&gt;</v>
      </c>
      <c r="P306" s="5"/>
    </row>
    <row r="307" spans="1:16" ht="14.25" customHeight="1">
      <c r="A307">
        <v>315</v>
      </c>
      <c r="B307">
        <v>0</v>
      </c>
      <c r="C307">
        <v>0</v>
      </c>
      <c r="E307" t="s">
        <v>2570</v>
      </c>
      <c r="F307">
        <v>6</v>
      </c>
      <c r="G307" s="1" t="s">
        <v>286</v>
      </c>
      <c r="H307" s="16" t="s">
        <v>2939</v>
      </c>
      <c r="I307" s="18"/>
      <c r="J307" t="str">
        <f>IF(LEN(VLOOKUP(表1[[#This Row],[id]],数据引用!A:C,3,FALSE))&gt;0,VLOOKUP(表1[[#This Row],[id]],数据引用!A:C,3,FALSE),"")</f>
        <v>+1红色宝箱/RUN</v>
      </c>
      <c r="K307" t="s">
        <v>1199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font-size:12;"&gt;+1红色宝箱/RUN&lt;/text&gt;&lt;text transform="matrix(1 0 0 1 0 10.3205)" style="fill:#FFFFFF; font-family:'FZXS12--GB1-0'; font-size:12;"&gt;+1红色宝箱/RUN&lt;/text&gt;&lt;/svg&gt;</v>
      </c>
      <c r="P307" s="5"/>
    </row>
    <row r="308" spans="1:16" ht="14.25" customHeight="1">
      <c r="A308">
        <v>316</v>
      </c>
      <c r="B308">
        <v>0</v>
      </c>
      <c r="C308">
        <v>0</v>
      </c>
      <c r="E308" t="s">
        <v>2570</v>
      </c>
      <c r="F308">
        <v>6</v>
      </c>
      <c r="G308" s="1" t="s">
        <v>287</v>
      </c>
      <c r="H308" s="16" t="s">
        <v>2940</v>
      </c>
      <c r="I308" s="18"/>
      <c r="J308" t="str">
        <f>IF(LEN(VLOOKUP(表1[[#This Row],[id]],数据引用!A:C,3,FALSE))&gt;0,VLOOKUP(表1[[#This Row],[id]],数据引用!A:C,3,FALSE),"")</f>
        <v>+1紫色宝箱/RUN</v>
      </c>
      <c r="K308" t="s">
        <v>1199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font-size:12;"&gt;+1紫色宝箱/RUN&lt;/text&gt;&lt;text transform="matrix(1 0 0 1 0 10.3205)" style="fill:#FFFFFF; font-family:'FZXS12--GB1-0'; font-size:12;"&gt;+1紫色宝箱/RUN&lt;/text&gt;&lt;/svg&gt;</v>
      </c>
      <c r="P308" s="5"/>
    </row>
    <row r="309" spans="1:16" ht="14.25" customHeight="1">
      <c r="A309">
        <v>317</v>
      </c>
      <c r="B309">
        <v>0</v>
      </c>
      <c r="C309">
        <v>0</v>
      </c>
      <c r="E309" t="s">
        <v>2570</v>
      </c>
      <c r="F309">
        <v>6</v>
      </c>
      <c r="G309" s="1" t="s">
        <v>288</v>
      </c>
      <c r="H309" s="16" t="s">
        <v>2941</v>
      </c>
      <c r="I309" s="18"/>
      <c r="J309" t="str">
        <f>IF(LEN(VLOOKUP(表1[[#This Row],[id]],数据引用!A:C,3,FALSE))&gt;0,VLOOKUP(表1[[#This Row],[id]],数据引用!A:C,3,FALSE),"")</f>
        <v>链甲</v>
      </c>
      <c r="K309" t="s">
        <v>1199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font-size:12;"&gt;链甲&lt;/text&gt;&lt;text transform="matrix(1 0 0 1 0 10.3205)" style="fill:#FFFFFF; font-family:'FZXS12--GB1-0'; font-size:12;"&gt;链甲&lt;/text&gt;&lt;/svg&gt;</v>
      </c>
      <c r="P309" s="5"/>
    </row>
    <row r="310" spans="1:16" ht="14.25" customHeight="1">
      <c r="A310">
        <v>318</v>
      </c>
      <c r="B310">
        <v>0</v>
      </c>
      <c r="C310">
        <v>0</v>
      </c>
      <c r="E310" t="s">
        <v>2570</v>
      </c>
      <c r="F310">
        <v>6</v>
      </c>
      <c r="G310" s="1" t="s">
        <v>289</v>
      </c>
      <c r="H310" s="16" t="s">
        <v>2942</v>
      </c>
      <c r="I310" s="18"/>
      <c r="J310" t="str">
        <f>IF(LEN(VLOOKUP(表1[[#This Row],[id]],数据引用!A:C,3,FALSE))&gt;0,VLOOKUP(表1[[#This Row],[id]],数据引用!A:C,3,FALSE),"")</f>
        <v>重型板甲</v>
      </c>
      <c r="K310" t="s">
        <v>1199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font-size:12;"&gt;重型板甲&lt;/text&gt;&lt;text transform="matrix(1 0 0 1 0 10.3205)" style="fill:#FFFFFF; font-family:'FZXS12--GB1-0'; font-size:12;"&gt;重型板甲&lt;/text&gt;&lt;/svg&gt;</v>
      </c>
      <c r="P310" s="5"/>
    </row>
    <row r="311" spans="1:16" ht="14.25" customHeight="1">
      <c r="A311">
        <v>319</v>
      </c>
      <c r="B311">
        <v>0</v>
      </c>
      <c r="C311">
        <v>0</v>
      </c>
      <c r="E311" t="s">
        <v>2570</v>
      </c>
      <c r="F311">
        <v>6</v>
      </c>
      <c r="G311" s="1" t="s">
        <v>290</v>
      </c>
      <c r="H311" s="16" t="s">
        <v>2943</v>
      </c>
      <c r="I311" s="18"/>
      <c r="J311" t="str">
        <f>IF(LEN(VLOOKUP(表1[[#This Row],[id]],数据引用!A:C,3,FALSE))&gt;0,VLOOKUP(表1[[#This Row],[id]],数据引用!A:C,3,FALSE),"")</f>
        <v>皮甲</v>
      </c>
      <c r="K311" t="s">
        <v>1199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font-size:12;"&gt;皮甲&lt;/text&gt;&lt;text transform="matrix(1 0 0 1 0 10.3205)" style="fill:#FFFFFF; font-family:'FZXS12--GB1-0'; font-size:12;"&gt;皮甲&lt;/text&gt;&lt;/svg&gt;</v>
      </c>
      <c r="P311" s="5"/>
    </row>
    <row r="312" spans="1:16" ht="14.25" customHeight="1">
      <c r="A312">
        <v>320</v>
      </c>
      <c r="B312">
        <v>0</v>
      </c>
      <c r="C312">
        <v>0</v>
      </c>
      <c r="E312" t="s">
        <v>2570</v>
      </c>
      <c r="F312">
        <v>6</v>
      </c>
      <c r="G312" s="1" t="s">
        <v>291</v>
      </c>
      <c r="H312" s="16" t="s">
        <v>2944</v>
      </c>
      <c r="I312" s="18"/>
      <c r="J312" t="str">
        <f>IF(LEN(VLOOKUP(表1[[#This Row],[id]],数据引用!A:C,3,FALSE))&gt;0,VLOOKUP(表1[[#This Row],[id]],数据引用!A:C,3,FALSE),"")</f>
        <v>板甲</v>
      </c>
      <c r="K312" t="s">
        <v>1199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font-size:12;"&gt;板甲&lt;/text&gt;&lt;text transform="matrix(1 0 0 1 0 10.3205)" style="fill:#FFFFFF; font-family:'FZXS12--GB1-0'; font-size:12;"&gt;板甲&lt;/text&gt;&lt;/svg&gt;</v>
      </c>
      <c r="P312" s="5"/>
    </row>
    <row r="313" spans="1:16" ht="14.25" customHeight="1">
      <c r="A313">
        <v>321</v>
      </c>
      <c r="B313">
        <v>0</v>
      </c>
      <c r="C313">
        <v>0</v>
      </c>
      <c r="E313" t="s">
        <v>2570</v>
      </c>
      <c r="F313">
        <v>6</v>
      </c>
      <c r="G313" s="1" t="s">
        <v>1291</v>
      </c>
      <c r="H313" s="16" t="s">
        <v>2945</v>
      </c>
      <c r="I313" s="18"/>
      <c r="J313" t="str">
        <f>IF(LEN(VLOOKUP(表1[[#This Row],[id]],数据引用!A:C,3,FALSE))&gt;0,VLOOKUP(表1[[#This Row],[id]],数据引用!A:C,3,FALSE),"")</f>
        <v>空手道服</v>
      </c>
      <c r="K313" t="s">
        <v>1199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font-size:12;"&gt;空手道服&lt;/text&gt;&lt;text transform="matrix(1 0 0 1 0 10.3205)" style="fill:#FFFFFF; font-family:'FZXS12--GB1-0'; font-size:12;"&gt;空手道服&lt;/text&gt;&lt;/svg&gt;</v>
      </c>
      <c r="P313" s="5"/>
    </row>
    <row r="314" spans="1:16" ht="14.25" customHeight="1">
      <c r="A314">
        <v>322</v>
      </c>
      <c r="B314">
        <v>0</v>
      </c>
      <c r="C314">
        <v>0</v>
      </c>
      <c r="E314" t="s">
        <v>2570</v>
      </c>
      <c r="F314">
        <v>6</v>
      </c>
      <c r="G314" s="1" t="s">
        <v>292</v>
      </c>
      <c r="H314" s="16" t="s">
        <v>2946</v>
      </c>
      <c r="I314" s="18"/>
      <c r="J314" t="str">
        <f>IF(LEN(VLOOKUP(表1[[#This Row],[id]],数据引用!A:C,3,FALSE))&gt;0,VLOOKUP(表1[[#This Row],[id]],数据引用!A:C,3,FALSE),"")</f>
        <v>玻璃护甲</v>
      </c>
      <c r="K314" t="s">
        <v>1199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font-size:12;"&gt;玻璃护甲&lt;/text&gt;&lt;text transform="matrix(1 0 0 1 0 10.3205)" style="fill:#FFFFFF; font-family:'FZXS12--GB1-0'; font-size:12;"&gt;玻璃护甲&lt;/text&gt;&lt;/svg&gt;</v>
      </c>
      <c r="P314" s="5"/>
    </row>
    <row r="315" spans="1:16" ht="14.25" customHeight="1">
      <c r="A315">
        <v>323</v>
      </c>
      <c r="B315">
        <v>0</v>
      </c>
      <c r="C315">
        <v>0</v>
      </c>
      <c r="E315" t="s">
        <v>2570</v>
      </c>
      <c r="F315">
        <v>6</v>
      </c>
      <c r="G315" s="1" t="s">
        <v>293</v>
      </c>
      <c r="H315" s="16" t="s">
        <v>2947</v>
      </c>
      <c r="I315" s="18"/>
      <c r="J315" t="str">
        <f>IF(LEN(VLOOKUP(表1[[#This Row],[id]],数据引用!A:C,3,FALSE))&gt;0,VLOOKUP(表1[[#This Row],[id]],数据引用!A:C,3,FALSE),"")</f>
        <v>黑曜石护甲</v>
      </c>
      <c r="K315" t="s">
        <v>1199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font-size:12;"&gt;黑曜石护甲&lt;/text&gt;&lt;text transform="matrix(1 0 0 1 0 10.3205)" style="fill:#FFFFFF; font-family:'FZXS12--GB1-0'; font-size:12;"&gt;黑曜石护甲&lt;/text&gt;&lt;/svg&gt;</v>
      </c>
      <c r="P315" s="5"/>
    </row>
    <row r="316" spans="1:16" ht="14.25" customHeight="1">
      <c r="A316">
        <v>324</v>
      </c>
      <c r="B316">
        <v>0</v>
      </c>
      <c r="C316">
        <v>0</v>
      </c>
      <c r="E316" t="s">
        <v>2570</v>
      </c>
      <c r="F316">
        <v>6</v>
      </c>
      <c r="G316" s="12" t="s">
        <v>294</v>
      </c>
      <c r="H316" s="16" t="s">
        <v>2948</v>
      </c>
      <c r="I316" s="18"/>
      <c r="J316" t="str">
        <f>IF(LEN(VLOOKUP(表1[[#This Row],[id]],数据引用!A:C,3,FALSE))&gt;0,VLOOKUP(表1[[#This Row],[id]],数据引用!A:C,3,FALSE),"")</f>
        <v>金币倍率+0.5</v>
      </c>
      <c r="K316" t="s">
        <v>1199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font-size:12;"&gt;金币倍率+0.5&lt;/text&gt;&lt;text transform="matrix(1 0 0 1 0 10.3205)" style="fill:#FFFFFF; font-family:'FZXS12--GB1-0'; font-size:12;"&gt;金币倍率+0.5&lt;/text&gt;&lt;/svg&gt;</v>
      </c>
      <c r="P316" s="5"/>
    </row>
    <row r="317" spans="1:16" ht="14.25" customHeight="1">
      <c r="A317">
        <v>325</v>
      </c>
      <c r="B317">
        <v>0</v>
      </c>
      <c r="C317">
        <v>0</v>
      </c>
      <c r="E317" t="s">
        <v>2570</v>
      </c>
      <c r="F317">
        <v>6</v>
      </c>
      <c r="G317" s="12" t="s">
        <v>295</v>
      </c>
      <c r="H317" s="16" t="s">
        <v>2949</v>
      </c>
      <c r="I317" s="18"/>
      <c r="J317" t="str">
        <f>IF(LEN(VLOOKUP(表1[[#This Row],[id]],数据引用!A:C,3,FALSE))&gt;0,VLOOKUP(表1[[#This Row],[id]],数据引用!A:C,3,FALSE),"")</f>
        <v>金币倍率+1</v>
      </c>
      <c r="K317" t="s">
        <v>1199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font-size:12;"&gt;金币倍率+1&lt;/text&gt;&lt;text transform="matrix(1 0 0 1 0 10.3205)" style="fill:#FFFFFF; font-family:'FZXS12--GB1-0'; font-size:12;"&gt;金币倍率+1&lt;/text&gt;&lt;/svg&gt;</v>
      </c>
      <c r="P317" s="5"/>
    </row>
    <row r="318" spans="1:16" ht="14.25" customHeight="1">
      <c r="A318">
        <v>326</v>
      </c>
      <c r="B318">
        <v>0</v>
      </c>
      <c r="C318">
        <v>0</v>
      </c>
      <c r="E318" t="s">
        <v>2570</v>
      </c>
      <c r="F318">
        <v>6</v>
      </c>
      <c r="G318" s="1" t="s">
        <v>296</v>
      </c>
      <c r="H318" s="16" t="s">
        <v>2950</v>
      </c>
      <c r="I318" s="18"/>
      <c r="J318" t="str">
        <f>IF(LEN(VLOOKUP(表1[[#This Row],[id]],数据引用!A:C,3,FALSE))&gt;0,VLOOKUP(表1[[#This Row],[id]],数据引用!A:C,3,FALSE),"")</f>
        <v>芭蕾舞鞋</v>
      </c>
      <c r="K318" t="s">
        <v>1199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font-size:12;"&gt;芭蕾舞鞋&lt;/text&gt;&lt;text transform="matrix(1 0 0 1 0 10.3205)" style="fill:#FFFFFF; font-family:'FZXS12--GB1-0'; font-size:12;"&gt;芭蕾舞鞋&lt;/text&gt;&lt;/svg&gt;</v>
      </c>
      <c r="P318" s="5"/>
    </row>
    <row r="319" spans="1:16" ht="14.25" customHeight="1">
      <c r="A319">
        <v>327</v>
      </c>
      <c r="B319">
        <v>0</v>
      </c>
      <c r="C319">
        <v>0</v>
      </c>
      <c r="E319" t="s">
        <v>2570</v>
      </c>
      <c r="F319">
        <v>6</v>
      </c>
      <c r="G319" s="1" t="s">
        <v>297</v>
      </c>
      <c r="H319" s="16" t="s">
        <v>2951</v>
      </c>
      <c r="I319" s="18"/>
      <c r="J319" t="str">
        <f>IF(LEN(VLOOKUP(表1[[#This Row],[id]],数据引用!A:C,3,FALSE))&gt;0,VLOOKUP(表1[[#This Row],[id]],数据引用!A:C,3,FALSE),"")</f>
        <v>速度之靴</v>
      </c>
      <c r="K319" t="s">
        <v>1199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font-size:12;"&gt;速度之靴&lt;/text&gt;&lt;text transform="matrix(1 0 0 1 0 10.3205)" style="fill:#FFFFFF; font-family:'FZXS12--GB1-0'; font-size:12;"&gt;速度之靴&lt;/text&gt;&lt;/svg&gt;</v>
      </c>
      <c r="P319" s="5"/>
    </row>
    <row r="320" spans="1:16" ht="14.25" customHeight="1">
      <c r="A320">
        <v>328</v>
      </c>
      <c r="B320">
        <v>0</v>
      </c>
      <c r="C320">
        <v>0</v>
      </c>
      <c r="E320" t="s">
        <v>2570</v>
      </c>
      <c r="F320">
        <v>6</v>
      </c>
      <c r="G320" s="1" t="s">
        <v>298</v>
      </c>
      <c r="H320" s="16" t="s">
        <v>2952</v>
      </c>
      <c r="I320" s="18"/>
      <c r="J320" t="str">
        <f>IF(LEN(VLOOKUP(表1[[#This Row],[id]],数据引用!A:C,3,FALSE))&gt;0,VLOOKUP(表1[[#This Row],[id]],数据引用!A:C,3,FALSE),"")</f>
        <v>飞行之靴</v>
      </c>
      <c r="K320" t="s">
        <v>1199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font-size:12;"&gt;飞行之靴&lt;/text&gt;&lt;text transform="matrix(1 0 0 1 0 10.3205)" style="fill:#FFFFFF; font-family:'FZXS12--GB1-0'; font-size:12;"&gt;飞行之靴&lt;/text&gt;&lt;/svg&gt;</v>
      </c>
      <c r="P320" s="5"/>
    </row>
    <row r="321" spans="1:16" ht="14.25" customHeight="1">
      <c r="A321">
        <v>329</v>
      </c>
      <c r="B321">
        <v>0</v>
      </c>
      <c r="C321">
        <v>0</v>
      </c>
      <c r="E321" t="s">
        <v>2570</v>
      </c>
      <c r="F321">
        <v>6</v>
      </c>
      <c r="G321" s="1" t="s">
        <v>299</v>
      </c>
      <c r="H321" s="16" t="s">
        <v>2953</v>
      </c>
      <c r="I321" s="18"/>
      <c r="J321" t="str">
        <f>IF(LEN(VLOOKUP(表1[[#This Row],[id]],数据引用!A:C,3,FALSE))&gt;0,VLOOKUP(表1[[#This Row],[id]],数据引用!A:C,3,FALSE),"")</f>
        <v>探险者之靴</v>
      </c>
      <c r="K321" t="s">
        <v>1199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font-size:12;"&gt;探险者之靴&lt;/text&gt;&lt;text transform="matrix(1 0 0 1 0 10.3205)" style="fill:#FFFFFF; font-family:'FZXS12--GB1-0'; font-size:12;"&gt;探险者之靴&lt;/text&gt;&lt;/svg&gt;</v>
      </c>
      <c r="P321" s="5"/>
    </row>
    <row r="322" spans="1:16" ht="14.25" customHeight="1">
      <c r="A322">
        <v>330</v>
      </c>
      <c r="B322">
        <v>0</v>
      </c>
      <c r="C322">
        <v>0</v>
      </c>
      <c r="E322" t="s">
        <v>2570</v>
      </c>
      <c r="F322">
        <v>6</v>
      </c>
      <c r="G322" s="1" t="s">
        <v>300</v>
      </c>
      <c r="H322" s="16" t="s">
        <v>2954</v>
      </c>
      <c r="I322" s="18"/>
      <c r="J322" t="str">
        <f>IF(LEN(VLOOKUP(表1[[#This Row],[id]],数据引用!A:C,3,FALSE))&gt;0,VLOOKUP(表1[[#This Row],[id]],数据引用!A:C,3,FALSE),"")</f>
        <v>铅靴</v>
      </c>
      <c r="K322" t="s">
        <v>1199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font-size:12;"&gt;铅靴&lt;/text&gt;&lt;text transform="matrix(1 0 0 1 0 10.3205)" style="fill:#FFFFFF; font-family:'FZXS12--GB1-0'; font-size:12;"&gt;铅靴&lt;/text&gt;&lt;/svg&gt;</v>
      </c>
      <c r="P322" s="5"/>
    </row>
    <row r="323" spans="1:16" ht="14.25" customHeight="1">
      <c r="A323">
        <v>331</v>
      </c>
      <c r="B323">
        <v>0</v>
      </c>
      <c r="C323">
        <v>0</v>
      </c>
      <c r="E323" t="s">
        <v>2570</v>
      </c>
      <c r="F323">
        <v>6</v>
      </c>
      <c r="G323" s="1" t="s">
        <v>301</v>
      </c>
      <c r="H323" s="16" t="s">
        <v>2955</v>
      </c>
      <c r="I323" s="18"/>
      <c r="J323" t="str">
        <f>IF(LEN(VLOOKUP(表1[[#This Row],[id]],数据引用!A:C,3,FALSE))&gt;0,VLOOKUP(表1[[#This Row],[id]],数据引用!A:C,3,FALSE),"")</f>
        <v>跳跃之靴</v>
      </c>
      <c r="K323" t="s">
        <v>1199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font-size:12;"&gt;跳跃之靴&lt;/text&gt;&lt;text transform="matrix(1 0 0 1 0 10.3205)" style="fill:#FFFFFF; font-family:'FZXS12--GB1-0'; font-size:12;"&gt;跳跃之靴&lt;/text&gt;&lt;/svg&gt;</v>
      </c>
      <c r="P323" s="5"/>
    </row>
    <row r="324" spans="1:16" ht="14.25" customHeight="1">
      <c r="A324">
        <v>332</v>
      </c>
      <c r="B324">
        <v>0</v>
      </c>
      <c r="C324">
        <v>0</v>
      </c>
      <c r="E324" t="s">
        <v>2570</v>
      </c>
      <c r="F324">
        <v>6</v>
      </c>
      <c r="G324" s="1" t="s">
        <v>302</v>
      </c>
      <c r="H324" s="16" t="s">
        <v>2956</v>
      </c>
      <c r="I324" s="18"/>
      <c r="J324" t="str">
        <f>IF(LEN(VLOOKUP(表1[[#This Row],[id]],数据引用!A:C,3,FALSE))&gt;0,VLOOKUP(表1[[#This Row],[id]],数据引用!A:C,3,FALSE),"")</f>
        <v>冲刺之靴</v>
      </c>
      <c r="K324" t="s">
        <v>1199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font-size:12;"&gt;冲刺之靴&lt;/text&gt;&lt;text transform="matrix(1 0 0 1 0 10.3205)" style="fill:#FFFFFF; font-family:'FZXS12--GB1-0'; font-size:12;"&gt;冲刺之靴&lt;/text&gt;&lt;/svg&gt;</v>
      </c>
      <c r="P324" s="5"/>
    </row>
    <row r="325" spans="1:16" ht="14.25" customHeight="1">
      <c r="A325">
        <v>333</v>
      </c>
      <c r="B325">
        <v>0</v>
      </c>
      <c r="C325">
        <v>0</v>
      </c>
      <c r="E325" t="s">
        <v>2570</v>
      </c>
      <c r="F325">
        <v>6</v>
      </c>
      <c r="G325" s="1" t="s">
        <v>303</v>
      </c>
      <c r="H325" s="16" t="s">
        <v>2957</v>
      </c>
      <c r="I325" s="18"/>
      <c r="J325" t="str">
        <f>IF(LEN(VLOOKUP(表1[[#This Row],[id]],数据引用!A:C,3,FALSE))&gt;0,VLOOKUP(表1[[#This Row],[id]],数据引用!A:C,3,FALSE),"")</f>
        <v>痛苦之靴</v>
      </c>
      <c r="K325" t="s">
        <v>1199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325" s="5"/>
    </row>
    <row r="326" spans="1:16" ht="14.25" customHeight="1">
      <c r="A326">
        <v>334</v>
      </c>
      <c r="B326">
        <v>0</v>
      </c>
      <c r="C326">
        <v>0</v>
      </c>
      <c r="E326" t="s">
        <v>2570</v>
      </c>
      <c r="F326">
        <v>6</v>
      </c>
      <c r="G326" s="1" t="s">
        <v>304</v>
      </c>
      <c r="H326" s="16" t="s">
        <v>2958</v>
      </c>
      <c r="I326" s="18"/>
      <c r="J326" t="str">
        <f>IF(LEN(VLOOKUP(表1[[#This Row],[id]],数据引用!A:C,3,FALSE))&gt;0,VLOOKUP(表1[[#This Row],[id]],数据引用!A:C,3,FALSE),"")</f>
        <v>哈格里夫斯护膝</v>
      </c>
      <c r="K326" t="s">
        <v>1199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font-size:12;"&gt;哈格里夫斯护膝&lt;/text&gt;&lt;text transform="matrix(1 0 0 1 0 10.3205)" style="fill:#FFFFFF; font-family:'FZXS12--GB1-0'; font-size:12;"&gt;哈格里夫斯护膝&lt;/text&gt;&lt;/svg&gt;</v>
      </c>
      <c r="P326" s="5"/>
    </row>
    <row r="327" spans="1:16" ht="14.25" customHeight="1">
      <c r="A327">
        <v>335</v>
      </c>
      <c r="B327">
        <v>0</v>
      </c>
      <c r="C327">
        <v>0</v>
      </c>
      <c r="E327" t="s">
        <v>2570</v>
      </c>
      <c r="F327">
        <v>6</v>
      </c>
      <c r="G327" s="1" t="s">
        <v>305</v>
      </c>
      <c r="H327" s="16" t="s">
        <v>2959</v>
      </c>
      <c r="I327" s="18"/>
      <c r="J327" t="str">
        <f>IF(LEN(VLOOKUP(表1[[#This Row],[id]],数据引用!A:C,3,FALSE))&gt;0,VLOOKUP(表1[[#This Row],[id]],数据引用!A:C,3,FALSE),"")</f>
        <v>力量之靴</v>
      </c>
      <c r="K327" t="s">
        <v>1199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font-size:12;"&gt;力量之靴&lt;/text&gt;&lt;text transform="matrix(1 0 0 1 0 10.3205)" style="fill:#FFFFFF; font-family:'FZXS12--GB1-0'; font-size:12;"&gt;力量之靴&lt;/text&gt;&lt;/svg&gt;</v>
      </c>
      <c r="P327" s="5"/>
    </row>
    <row r="328" spans="1:16" ht="14.25" customHeight="1">
      <c r="A328">
        <v>336</v>
      </c>
      <c r="B328">
        <v>0</v>
      </c>
      <c r="C328">
        <v>0</v>
      </c>
      <c r="E328" t="s">
        <v>2570</v>
      </c>
      <c r="F328">
        <v>6</v>
      </c>
      <c r="G328" s="1" t="s">
        <v>306</v>
      </c>
      <c r="H328" s="16" t="s">
        <v>2960</v>
      </c>
      <c r="I328" s="18"/>
      <c r="J328" t="str">
        <f>IF(LEN(VLOOKUP(表1[[#This Row],[id]],数据引用!A:C,3,FALSE))&gt;0,VLOOKUP(表1[[#This Row],[id]],数据引用!A:C,3,FALSE),"")</f>
        <v>苹果</v>
      </c>
      <c r="K328" t="s">
        <v>1199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font-size:12;"&gt;苹果&lt;/text&gt;&lt;text transform="matrix(1 0 0 1 0 10.3205)" style="fill:#FFFFFF; font-family:'FZXS12--GB1-0'; font-size:12;"&gt;苹果&lt;/text&gt;&lt;/svg&gt;</v>
      </c>
      <c r="P328" s="5"/>
    </row>
    <row r="329" spans="1:16" ht="14.25" customHeight="1">
      <c r="A329">
        <v>337</v>
      </c>
      <c r="B329">
        <v>0</v>
      </c>
      <c r="C329">
        <v>0</v>
      </c>
      <c r="E329" t="s">
        <v>2570</v>
      </c>
      <c r="F329">
        <v>6</v>
      </c>
      <c r="G329" s="1" t="s">
        <v>307</v>
      </c>
      <c r="H329" s="16" t="s">
        <v>2961</v>
      </c>
      <c r="I329" s="18"/>
      <c r="J329" t="str">
        <f>IF(LEN(VLOOKUP(表1[[#This Row],[id]],数据引用!A:C,3,FALSE))&gt;0,VLOOKUP(表1[[#This Row],[id]],数据引用!A:C,3,FALSE),"")</f>
        <v>奶酪</v>
      </c>
      <c r="K329" t="s">
        <v>1199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font-size:12;"&gt;奶酪&lt;/text&gt;&lt;text transform="matrix(1 0 0 1 0 10.3205)" style="fill:#FFFFFF; font-family:'FZXS12--GB1-0'; font-size:12;"&gt;奶酪&lt;/text&gt;&lt;/svg&gt;</v>
      </c>
      <c r="P329" s="5"/>
    </row>
    <row r="330" spans="1:16" ht="14.25" customHeight="1">
      <c r="A330">
        <v>338</v>
      </c>
      <c r="B330">
        <v>0</v>
      </c>
      <c r="C330">
        <v>0</v>
      </c>
      <c r="E330" t="s">
        <v>2570</v>
      </c>
      <c r="F330">
        <v>6</v>
      </c>
      <c r="G330" s="1" t="s">
        <v>308</v>
      </c>
      <c r="H330" s="16" t="s">
        <v>2962</v>
      </c>
      <c r="I330" s="18"/>
      <c r="J330" t="str">
        <f>IF(LEN(VLOOKUP(表1[[#This Row],[id]],数据引用!A:C,3,FALSE))&gt;0,VLOOKUP(表1[[#This Row],[id]],数据引用!A:C,3,FALSE),"")</f>
        <v>鸡腿</v>
      </c>
      <c r="K330" t="s">
        <v>1199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font-size:12;"&gt;鸡腿&lt;/text&gt;&lt;text transform="matrix(1 0 0 1 0 10.3205)" style="fill:#FFFFFF; font-family:'FZXS12--GB1-0'; font-size:12;"&gt;鸡腿&lt;/text&gt;&lt;/svg&gt;</v>
      </c>
      <c r="P330" s="5"/>
    </row>
    <row r="331" spans="1:16" ht="14.25" customHeight="1">
      <c r="A331">
        <v>339</v>
      </c>
      <c r="B331">
        <v>0</v>
      </c>
      <c r="C331">
        <v>0</v>
      </c>
      <c r="E331" t="s">
        <v>2570</v>
      </c>
      <c r="F331">
        <v>6</v>
      </c>
      <c r="G331" s="1" t="s">
        <v>309</v>
      </c>
      <c r="H331" s="16" t="s">
        <v>2963</v>
      </c>
      <c r="I331" s="18"/>
      <c r="J331" t="str">
        <f>IF(LEN(VLOOKUP(表1[[#This Row],[id]],数据引用!A:C,3,FALSE))&gt;0,VLOOKUP(表1[[#This Row],[id]],数据引用!A:C,3,FALSE),"")</f>
        <v>火腿</v>
      </c>
      <c r="K331" t="s">
        <v>1199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font-size:12;"&gt;火腿&lt;/text&gt;&lt;text transform="matrix(1 0 0 1 0 10.3205)" style="fill:#FFFFFF; font-family:'FZXS12--GB1-0'; font-size:12;"&gt;火腿&lt;/text&gt;&lt;/svg&gt;</v>
      </c>
      <c r="P331" s="5"/>
    </row>
    <row r="332" spans="1:16" ht="14.25" customHeight="1">
      <c r="A332">
        <v>340</v>
      </c>
      <c r="B332">
        <v>0</v>
      </c>
      <c r="C332">
        <v>0</v>
      </c>
      <c r="E332" t="s">
        <v>2570</v>
      </c>
      <c r="F332">
        <v>6</v>
      </c>
      <c r="G332" s="1" t="s">
        <v>310</v>
      </c>
      <c r="H332" s="16" t="s">
        <v>2964</v>
      </c>
      <c r="I332" s="18"/>
      <c r="J332" t="str">
        <f>IF(LEN(VLOOKUP(表1[[#This Row],[id]],数据引用!A:C,3,FALSE))&gt;0,VLOOKUP(表1[[#This Row],[id]],数据引用!A:C,3,FALSE),"")</f>
        <v>圣水</v>
      </c>
      <c r="K332" t="s">
        <v>1199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font-size:12;"&gt;圣水&lt;/text&gt;&lt;text transform="matrix(1 0 0 1 0 10.3205)" style="fill:#FFFFFF; font-family:'FZXS12--GB1-0'; font-size:12;"&gt;圣水&lt;/text&gt;&lt;/svg&gt;</v>
      </c>
      <c r="P332" s="5"/>
    </row>
    <row r="333" spans="1:16" ht="14.25" customHeight="1">
      <c r="A333">
        <v>341</v>
      </c>
      <c r="B333">
        <v>0</v>
      </c>
      <c r="C333">
        <v>0</v>
      </c>
      <c r="E333" t="s">
        <v>2570</v>
      </c>
      <c r="F333">
        <v>6</v>
      </c>
      <c r="G333" s="1" t="s">
        <v>311</v>
      </c>
      <c r="H333" s="16" t="s">
        <v>2965</v>
      </c>
      <c r="I333" s="18"/>
      <c r="J333" t="str">
        <f>IF(LEN(VLOOKUP(表1[[#This Row],[id]],数据引用!A:C,3,FALSE))&gt;0,VLOOKUP(表1[[#This Row],[id]],数据引用!A:C,3,FALSE),"")</f>
        <v>帝王之冠</v>
      </c>
      <c r="K333" t="s">
        <v>1199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font-size:12;"&gt;帝王之冠&lt;/text&gt;&lt;text transform="matrix(1 0 0 1 0 10.3205)" style="fill:#FFFFFF; font-family:'FZXS12--GB1-0'; font-size:12;"&gt;帝王之冠&lt;/text&gt;&lt;/svg&gt;</v>
      </c>
      <c r="P333" s="5"/>
    </row>
    <row r="334" spans="1:16" ht="14.25" customHeight="1">
      <c r="A334">
        <v>342</v>
      </c>
      <c r="B334">
        <v>0</v>
      </c>
      <c r="C334">
        <v>0</v>
      </c>
      <c r="E334" t="s">
        <v>2570</v>
      </c>
      <c r="F334">
        <v>6</v>
      </c>
      <c r="G334" s="1" t="s">
        <v>265</v>
      </c>
      <c r="H334" s="16" t="s">
        <v>2966</v>
      </c>
      <c r="I334" s="18"/>
      <c r="J334" t="str">
        <f>IF(LEN(VLOOKUP(表1[[#This Row],[id]],数据引用!A:C,3,FALSE))&gt;0,VLOOKUP(表1[[#This Row],[id]],数据引用!A:C,3,FALSE),"")</f>
        <v>炸弹</v>
      </c>
      <c r="K334" t="s">
        <v>1199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334" s="5"/>
    </row>
    <row r="335" spans="1:16" ht="14.25" customHeight="1">
      <c r="A335">
        <v>343</v>
      </c>
      <c r="B335">
        <v>0</v>
      </c>
      <c r="C335">
        <v>0</v>
      </c>
      <c r="E335" t="s">
        <v>2570</v>
      </c>
      <c r="F335">
        <v>6</v>
      </c>
      <c r="G335" s="1" t="s">
        <v>312</v>
      </c>
      <c r="H335" s="16" t="s">
        <v>2967</v>
      </c>
      <c r="I335" s="18"/>
      <c r="J335" t="str">
        <f>IF(LEN(VLOOKUP(表1[[#This Row],[id]],数据引用!A:C,3,FALSE))&gt;0,VLOOKUP(表1[[#This Row],[id]],数据引用!A:C,3,FALSE),"")</f>
        <v>炸弹x3</v>
      </c>
      <c r="K335" t="s">
        <v>1199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font-size:12;"&gt;炸弹x3&lt;/text&gt;&lt;text transform="matrix(1 0 0 1 0 10.3205)" style="fill:#FFFFFF; font-family:'FZXS12--GB1-0'; font-size:12;"&gt;炸弹x3&lt;/text&gt;&lt;/svg&gt;</v>
      </c>
      <c r="P335" s="5"/>
    </row>
    <row r="336" spans="1:16" ht="14.25" customHeight="1">
      <c r="A336">
        <v>344</v>
      </c>
      <c r="B336">
        <v>0</v>
      </c>
      <c r="C336">
        <v>0</v>
      </c>
      <c r="E336" t="s">
        <v>2570</v>
      </c>
      <c r="F336">
        <v>6</v>
      </c>
      <c r="G336" s="1" t="s">
        <v>313</v>
      </c>
      <c r="H336" s="16" t="s">
        <v>2968</v>
      </c>
      <c r="I336" s="18"/>
      <c r="J336" t="str">
        <f>IF(LEN(VLOOKUP(表1[[#This Row],[id]],数据引用!A:C,3,FALSE))&gt;0,VLOOKUP(表1[[#This Row],[id]],数据引用!A:C,3,FALSE),"")</f>
        <v>战鼓</v>
      </c>
      <c r="K336" t="s">
        <v>1199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font-size:12;"&gt;战鼓&lt;/text&gt;&lt;text transform="matrix(1 0 0 1 0 10.3205)" style="fill:#FFFFFF; font-family:'FZXS12--GB1-0'; font-size:12;"&gt;战鼓&lt;/text&gt;&lt;/svg&gt;</v>
      </c>
      <c r="P336" s="5"/>
    </row>
    <row r="337" spans="1:16" ht="14.25" customHeight="1">
      <c r="A337">
        <v>345</v>
      </c>
      <c r="B337">
        <v>0</v>
      </c>
      <c r="C337">
        <v>0</v>
      </c>
      <c r="E337" t="s">
        <v>2570</v>
      </c>
      <c r="F337">
        <v>6</v>
      </c>
      <c r="G337" s="1" t="s">
        <v>314</v>
      </c>
      <c r="H337" s="16" t="s">
        <v>2969</v>
      </c>
      <c r="I337" s="18"/>
      <c r="J337" t="str">
        <f>IF(LEN(VLOOKUP(表1[[#This Row],[id]],数据引用!A:C,3,FALSE))&gt;0,VLOOKUP(表1[[#This Row],[id]],数据引用!A:C,3,FALSE),"")</f>
        <v>鲜血之鼓</v>
      </c>
      <c r="K337" t="s">
        <v>1199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337" s="5"/>
    </row>
    <row r="338" spans="1:16" ht="14.25" customHeight="1">
      <c r="A338">
        <v>346</v>
      </c>
      <c r="B338">
        <v>0</v>
      </c>
      <c r="C338">
        <v>0</v>
      </c>
      <c r="E338" t="s">
        <v>2570</v>
      </c>
      <c r="F338">
        <v>6</v>
      </c>
      <c r="G338" s="1" t="s">
        <v>315</v>
      </c>
      <c r="H338" s="16" t="s">
        <v>2970</v>
      </c>
      <c r="I338" s="18"/>
      <c r="J338" t="str">
        <f>IF(LEN(VLOOKUP(表1[[#This Row],[id]],数据引用!A:C,3,FALSE))&gt;0,VLOOKUP(表1[[#This Row],[id]],数据引用!A:C,3,FALSE),"")</f>
        <v>双倍心脏移植</v>
      </c>
      <c r="K338" t="s">
        <v>1199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font-size:12;"&gt;双倍心脏移植&lt;/text&gt;&lt;text transform="matrix(1 0 0 1 0 10.3205)" style="fill:#FFFFFF; font-family:'FZXS12--GB1-0'; font-size:12;"&gt;双倍心脏移植&lt;/text&gt;&lt;/svg&gt;</v>
      </c>
      <c r="P338" s="5"/>
    </row>
    <row r="339" spans="1:16" ht="14.25" customHeight="1">
      <c r="A339">
        <v>347</v>
      </c>
      <c r="B339">
        <v>0</v>
      </c>
      <c r="C339">
        <v>0</v>
      </c>
      <c r="E339" t="s">
        <v>2570</v>
      </c>
      <c r="F339">
        <v>6</v>
      </c>
      <c r="G339" s="1" t="s">
        <v>316</v>
      </c>
      <c r="H339" s="16" t="s">
        <v>2971</v>
      </c>
      <c r="I339" s="18"/>
      <c r="J339" t="str">
        <f>IF(LEN(VLOOKUP(表1[[#This Row],[id]],数据引用!A:C,3,FALSE))&gt;0,VLOOKUP(表1[[#This Row],[id]],数据引用!A:C,3,FALSE),"")</f>
        <v>心脏移植</v>
      </c>
      <c r="K339" t="s">
        <v>1199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font-size:12;"&gt;心脏移植&lt;/text&gt;&lt;text transform="matrix(1 0 0 1 0 10.3205)" style="fill:#FFFFFF; font-family:'FZXS12--GB1-0'; font-size:12;"&gt;心脏移植&lt;/text&gt;&lt;/svg&gt;</v>
      </c>
      <c r="P339" s="5"/>
    </row>
    <row r="340" spans="1:16" ht="14.25" customHeight="1">
      <c r="A340">
        <v>348</v>
      </c>
      <c r="B340">
        <v>0</v>
      </c>
      <c r="C340">
        <v>0</v>
      </c>
      <c r="E340" t="s">
        <v>2570</v>
      </c>
      <c r="F340">
        <v>6</v>
      </c>
      <c r="G340" s="1" t="s">
        <v>317</v>
      </c>
      <c r="H340" s="16" t="s">
        <v>2972</v>
      </c>
      <c r="I340" s="18"/>
      <c r="J340" t="str">
        <f>IF(LEN(VLOOKUP(表1[[#This Row],[id]],数据引用!A:C,3,FALSE))&gt;0,VLOOKUP(表1[[#This Row],[id]],数据引用!A:C,3,FALSE),"")</f>
        <v>荆棘之冠</v>
      </c>
      <c r="K340" t="s">
        <v>1199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340" s="5"/>
    </row>
    <row r="341" spans="1:16" ht="14.25" customHeight="1">
      <c r="A341">
        <v>349</v>
      </c>
      <c r="B341">
        <v>0</v>
      </c>
      <c r="C341">
        <v>0</v>
      </c>
      <c r="E341" t="s">
        <v>2570</v>
      </c>
      <c r="F341">
        <v>6</v>
      </c>
      <c r="G341" s="1" t="s">
        <v>318</v>
      </c>
      <c r="H341" s="16" t="s">
        <v>2973</v>
      </c>
      <c r="I341" s="18"/>
      <c r="J341" t="str">
        <f>IF(LEN(VLOOKUP(表1[[#This Row],[id]],数据引用!A:C,3,FALSE))&gt;0,VLOOKUP(表1[[#This Row],[id]],数据引用!A:C,3,FALSE),"")</f>
        <v>贪婪之冠</v>
      </c>
      <c r="K341" t="s">
        <v>1199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font-size:12;"&gt;贪婪之冠&lt;/text&gt;&lt;text transform="matrix(1 0 0 1 0 10.3205)" style="fill:#FFFFFF; font-family:'FZXS12--GB1-0'; font-size:12;"&gt;贪婪之冠&lt;/text&gt;&lt;/svg&gt;</v>
      </c>
      <c r="P341" s="5"/>
    </row>
    <row r="342" spans="1:16" ht="14.25" customHeight="1">
      <c r="A342">
        <v>350</v>
      </c>
      <c r="B342">
        <v>0</v>
      </c>
      <c r="C342">
        <v>0</v>
      </c>
      <c r="E342" t="s">
        <v>2570</v>
      </c>
      <c r="F342">
        <v>6</v>
      </c>
      <c r="G342" s="1" t="s">
        <v>1363</v>
      </c>
      <c r="H342" s="16" t="s">
        <v>2974</v>
      </c>
      <c r="I342" s="18"/>
      <c r="J342" t="str">
        <f>IF(LEN(VLOOKUP(表1[[#This Row],[id]],数据引用!A:C,3,FALSE))&gt;0,VLOOKUP(表1[[#This Row],[id]],数据引用!A:C,3,FALSE),"")</f>
        <v>传送王冠</v>
      </c>
      <c r="K342" t="s">
        <v>1199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font-size:12;"&gt;传送王冠&lt;/text&gt;&lt;text transform="matrix(1 0 0 1 0 10.3205)" style="fill:#FFFFFF; font-family:'FZXS12--GB1-0'; font-size:12;"&gt;传送王冠&lt;/text&gt;&lt;/svg&gt;</v>
      </c>
      <c r="P342" s="5"/>
    </row>
    <row r="343" spans="1:16" ht="14.25" customHeight="1">
      <c r="A343">
        <v>351</v>
      </c>
      <c r="B343">
        <v>0</v>
      </c>
      <c r="C343">
        <v>0</v>
      </c>
      <c r="E343" t="s">
        <v>2570</v>
      </c>
      <c r="F343">
        <v>6</v>
      </c>
      <c r="G343" s="1" t="s">
        <v>319</v>
      </c>
      <c r="H343" s="16" t="s">
        <v>2975</v>
      </c>
      <c r="I343" s="18"/>
      <c r="J343" t="str">
        <f>IF(LEN(VLOOKUP(表1[[#This Row],[id]],数据引用!A:C,3,FALSE))&gt;0,VLOOKUP(表1[[#This Row],[id]],数据引用!A:C,3,FALSE),"")</f>
        <v>读心者之冠</v>
      </c>
      <c r="K343" t="s">
        <v>1199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font-size:12;"&gt;读心者之冠&lt;/text&gt;&lt;text transform="matrix(1 0 0 1 0 10.3205)" style="fill:#FFFFFF; font-family:'FZXS12--GB1-0'; font-size:12;"&gt;读心者之冠&lt;/text&gt;&lt;/svg&gt;</v>
      </c>
      <c r="P343" s="5"/>
    </row>
    <row r="344" spans="1:16" ht="14.25" customHeight="1">
      <c r="A344">
        <v>352</v>
      </c>
      <c r="B344">
        <v>0</v>
      </c>
      <c r="C344">
        <v>0</v>
      </c>
      <c r="E344" t="s">
        <v>2570</v>
      </c>
      <c r="F344">
        <v>6</v>
      </c>
      <c r="G344" s="1" t="s">
        <v>320</v>
      </c>
      <c r="H344" s="16" t="s">
        <v>2976</v>
      </c>
      <c r="I344" s="18"/>
      <c r="J344" t="str">
        <f>IF(LEN(VLOOKUP(表1[[#This Row],[id]],数据引用!A:C,3,FALSE))&gt;0,VLOOKUP(表1[[#This Row],[id]],数据引用!A:C,3,FALSE),"")</f>
        <v>矿工帽</v>
      </c>
      <c r="K344" t="s">
        <v>1199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font-size:12;"&gt;矿工帽&lt;/text&gt;&lt;text transform="matrix(1 0 0 1 0 10.3205)" style="fill:#FFFFFF; font-family:'FZXS12--GB1-0'; font-size:12;"&gt;矿工帽&lt;/text&gt;&lt;/svg&gt;</v>
      </c>
      <c r="P344" s="5"/>
    </row>
    <row r="345" spans="1:16" ht="14.25" customHeight="1">
      <c r="A345">
        <v>353</v>
      </c>
      <c r="B345">
        <v>0</v>
      </c>
      <c r="C345">
        <v>0</v>
      </c>
      <c r="E345" t="s">
        <v>2570</v>
      </c>
      <c r="F345">
        <v>6</v>
      </c>
      <c r="G345" s="1" t="s">
        <v>321</v>
      </c>
      <c r="H345" s="16" t="s">
        <v>2977</v>
      </c>
      <c r="I345" s="18"/>
      <c r="J345" t="str">
        <f>IF(LEN(VLOOKUP(表1[[#This Row],[id]],数据引用!A:C,3,FALSE))&gt;0,VLOOKUP(表1[[#This Row],[id]],数据引用!A:C,3,FALSE),"")</f>
        <v>单片眼镜</v>
      </c>
      <c r="K345" t="s">
        <v>1199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font-size:12;"&gt;单片眼镜&lt;/text&gt;&lt;text transform="matrix(1 0 0 1 0 10.3205)" style="fill:#FFFFFF; font-family:'FZXS12--GB1-0'; font-size:12;"&gt;单片眼镜&lt;/text&gt;&lt;/svg&gt;</v>
      </c>
      <c r="P345" s="5"/>
    </row>
    <row r="346" spans="1:16" ht="14.25" customHeight="1">
      <c r="A346">
        <v>354</v>
      </c>
      <c r="B346">
        <v>0</v>
      </c>
      <c r="C346">
        <v>0</v>
      </c>
      <c r="E346" t="s">
        <v>2570</v>
      </c>
      <c r="F346">
        <v>6</v>
      </c>
      <c r="G346" s="1" t="s">
        <v>322</v>
      </c>
      <c r="H346" s="16" t="s">
        <v>2978</v>
      </c>
      <c r="I346" s="18"/>
      <c r="J346" t="str">
        <f>IF(LEN(VLOOKUP(表1[[#This Row],[id]],数据引用!A:C,3,FALSE))&gt;0,VLOOKUP(表1[[#This Row],[id]],数据引用!A:C,3,FALSE),"")</f>
        <v>忍者面具</v>
      </c>
      <c r="K346" t="s">
        <v>1199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font-size:12;"&gt;忍者面具&lt;/text&gt;&lt;text transform="matrix(1 0 0 1 0 10.3205)" style="fill:#FFFFFF; font-family:'FZXS12--GB1-0'; font-size:12;"&gt;忍者面具&lt;/text&gt;&lt;/svg&gt;</v>
      </c>
      <c r="P346" s="5"/>
    </row>
    <row r="347" spans="1:16" ht="14.25" customHeight="1">
      <c r="A347">
        <v>355</v>
      </c>
      <c r="B347">
        <v>0</v>
      </c>
      <c r="C347">
        <v>0</v>
      </c>
      <c r="E347" t="s">
        <v>2570</v>
      </c>
      <c r="F347">
        <v>6</v>
      </c>
      <c r="G347" s="1" t="s">
        <v>323</v>
      </c>
      <c r="H347" s="16" t="s">
        <v>2979</v>
      </c>
      <c r="I347" s="18"/>
      <c r="J347" t="str">
        <f>IF(LEN(VLOOKUP(表1[[#This Row],[id]],数据引用!A:C,3,FALSE))&gt;0,VLOOKUP(表1[[#This Row],[id]],数据引用!A:C,3,FALSE),"")</f>
        <v>头盔</v>
      </c>
      <c r="K347" t="s">
        <v>1199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347" s="5"/>
    </row>
    <row r="348" spans="1:16" ht="14.25" customHeight="1">
      <c r="A348">
        <v>356</v>
      </c>
      <c r="B348">
        <v>0</v>
      </c>
      <c r="C348">
        <v>0</v>
      </c>
      <c r="E348" t="s">
        <v>2570</v>
      </c>
      <c r="F348">
        <v>6</v>
      </c>
      <c r="G348" s="1" t="s">
        <v>324</v>
      </c>
      <c r="H348" s="16" t="s">
        <v>2980</v>
      </c>
      <c r="I348" s="18"/>
      <c r="J348" t="str">
        <f>IF(LEN(VLOOKUP(表1[[#This Row],[id]],数据引用!A:C,3,FALSE))&gt;0,VLOOKUP(表1[[#This Row],[id]],数据引用!A:C,3,FALSE),"")</f>
        <v>玻璃假牙</v>
      </c>
      <c r="K348" t="s">
        <v>1199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font-size:12;"&gt;玻璃假牙&lt;/text&gt;&lt;text transform="matrix(1 0 0 1 0 10.3205)" style="fill:#FFFFFF; font-family:'FZXS12--GB1-0'; font-size:12;"&gt;玻璃假牙&lt;/text&gt;&lt;/svg&gt;</v>
      </c>
      <c r="P348" s="5"/>
    </row>
    <row r="349" spans="1:16" ht="14.25" customHeight="1">
      <c r="A349">
        <v>357</v>
      </c>
      <c r="B349">
        <v>0</v>
      </c>
      <c r="C349">
        <v>0</v>
      </c>
      <c r="E349" t="s">
        <v>2570</v>
      </c>
      <c r="F349">
        <v>6</v>
      </c>
      <c r="G349" s="1" t="s">
        <v>325</v>
      </c>
      <c r="H349" s="16" t="s">
        <v>2981</v>
      </c>
      <c r="I349" s="18"/>
      <c r="J349" t="str">
        <f>IF(LEN(VLOOKUP(表1[[#This Row],[id]],数据引用!A:C,3,FALSE))&gt;0,VLOOKUP(表1[[#This Row],[id]],数据引用!A:C,3,FALSE),"")</f>
        <v>防爆钢盔</v>
      </c>
      <c r="K349" t="s">
        <v>1199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font-size:12;"&gt;防爆钢盔&lt;/text&gt;&lt;text transform="matrix(1 0 0 1 0 10.3205)" style="fill:#FFFFFF; font-family:'FZXS12--GB1-0'; font-size:12;"&gt;防爆钢盔&lt;/text&gt;&lt;/svg&gt;</v>
      </c>
      <c r="P349" s="5"/>
    </row>
    <row r="350" spans="1:16" ht="14.25" customHeight="1">
      <c r="A350">
        <v>358</v>
      </c>
      <c r="B350">
        <v>0</v>
      </c>
      <c r="C350">
        <v>0</v>
      </c>
      <c r="E350" t="s">
        <v>2570</v>
      </c>
      <c r="F350">
        <v>6</v>
      </c>
      <c r="G350" s="1" t="s">
        <v>326</v>
      </c>
      <c r="H350" s="16" t="s">
        <v>2982</v>
      </c>
      <c r="I350" s="18"/>
      <c r="J350" t="str">
        <f>IF(LEN(VLOOKUP(表1[[#This Row],[id]],数据引用!A:C,3,FALSE))&gt;0,VLOOKUP(表1[[#This Row],[id]],数据引用!A:C,3,FALSE),"")</f>
        <v>太阳镜</v>
      </c>
      <c r="K350" t="s">
        <v>1199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font-size:12;"&gt;太阳镜&lt;/text&gt;&lt;text transform="matrix(1 0 0 1 0 10.3205)" style="fill:#FFFFFF; font-family:'FZXS12--GB1-0'; font-size:12;"&gt;太阳镜&lt;/text&gt;&lt;/svg&gt;</v>
      </c>
      <c r="P350" s="5"/>
    </row>
    <row r="351" spans="1:16" ht="14.25" customHeight="1">
      <c r="A351">
        <v>359</v>
      </c>
      <c r="B351">
        <v>0</v>
      </c>
      <c r="C351">
        <v>0</v>
      </c>
      <c r="E351" t="s">
        <v>2570</v>
      </c>
      <c r="F351">
        <v>6</v>
      </c>
      <c r="G351" s="1" t="s">
        <v>327</v>
      </c>
      <c r="H351" s="16" t="s">
        <v>2983</v>
      </c>
      <c r="I351" s="18"/>
      <c r="J351" t="str">
        <f>IF(LEN(VLOOKUP(表1[[#This Row],[id]],数据引用!A:C,3,FALSE))&gt;0,VLOOKUP(表1[[#This Row],[id]],数据引用!A:C,3,FALSE),"")</f>
        <v>背包</v>
      </c>
      <c r="K351" t="s">
        <v>1199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font-size:12;"&gt;背包&lt;/text&gt;&lt;text transform="matrix(1 0 0 1 0 10.3205)" style="fill:#FFFFFF; font-family:'FZXS12--GB1-0'; font-size:12;"&gt;背包&lt;/text&gt;&lt;/svg&gt;</v>
      </c>
      <c r="P351" s="5"/>
    </row>
    <row r="352" spans="1:16" ht="14.25" customHeight="1">
      <c r="A352">
        <v>360</v>
      </c>
      <c r="B352">
        <v>0</v>
      </c>
      <c r="C352">
        <v>0</v>
      </c>
      <c r="E352" t="s">
        <v>2570</v>
      </c>
      <c r="F352">
        <v>6</v>
      </c>
      <c r="G352" s="1" t="s">
        <v>328</v>
      </c>
      <c r="H352" s="16" t="s">
        <v>2984</v>
      </c>
      <c r="I352" s="18"/>
      <c r="J352" t="str">
        <f>IF(LEN(VLOOKUP(表1[[#This Row],[id]],数据引用!A:C,3,FALSE))&gt;0,VLOOKUP(表1[[#This Row],[id]],数据引用!A:C,3,FALSE),"")</f>
        <v>皮套</v>
      </c>
      <c r="K352" t="s">
        <v>1199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font-size:12;"&gt;皮套&lt;/text&gt;&lt;text transform="matrix(1 0 0 1 0 10.3205)" style="fill:#FFFFFF; font-family:'FZXS12--GB1-0'; font-size:12;"&gt;皮套&lt;/text&gt;&lt;/svg&gt;</v>
      </c>
      <c r="P352" s="5"/>
    </row>
    <row r="353" spans="1:16" ht="14.25" customHeight="1">
      <c r="A353">
        <v>361</v>
      </c>
      <c r="B353">
        <v>0</v>
      </c>
      <c r="C353">
        <v>0</v>
      </c>
      <c r="E353" t="s">
        <v>2570</v>
      </c>
      <c r="F353">
        <v>6</v>
      </c>
      <c r="G353" s="1" t="s">
        <v>1397</v>
      </c>
      <c r="H353" s="16" t="s">
        <v>2985</v>
      </c>
      <c r="I353" s="18"/>
      <c r="J353" t="str">
        <f>IF(LEN(VLOOKUP(表1[[#This Row],[id]],数据引用!A:C,3,FALSE))&gt;0,VLOOKUP(表1[[#This Row],[id]],数据引用!A:C,3,FALSE),"")</f>
        <v>次元背包</v>
      </c>
      <c r="K353" t="s">
        <v>1199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font-size:12;"&gt;次元背包&lt;/text&gt;&lt;text transform="matrix(1 0 0 1 0 10.3205)" style="fill:#FFFFFF; font-family:'FZXS12--GB1-0'; font-size:12;"&gt;次元背包&lt;/text&gt;&lt;/svg&gt;</v>
      </c>
      <c r="P353" s="5"/>
    </row>
    <row r="354" spans="1:16" ht="14.25" customHeight="1">
      <c r="A354">
        <v>362</v>
      </c>
      <c r="B354">
        <v>0</v>
      </c>
      <c r="C354">
        <v>0</v>
      </c>
      <c r="E354" t="s">
        <v>2570</v>
      </c>
      <c r="F354">
        <v>6</v>
      </c>
      <c r="G354" s="1" t="s">
        <v>329</v>
      </c>
      <c r="H354" s="16" t="s">
        <v>2986</v>
      </c>
      <c r="I354" s="18"/>
      <c r="J354" t="str">
        <f>IF(LEN(VLOOKUP(表1[[#This Row],[id]],数据引用!A:C,3,FALSE))&gt;0,VLOOKUP(表1[[#This Row],[id]],数据引用!A:C,3,FALSE),"")</f>
        <v>指南针</v>
      </c>
      <c r="K354" t="s">
        <v>1199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P354" s="5"/>
    </row>
    <row r="355" spans="1:16" ht="14.25" customHeight="1">
      <c r="A355">
        <v>363</v>
      </c>
      <c r="B355">
        <v>0</v>
      </c>
      <c r="C355">
        <v>0</v>
      </c>
      <c r="E355" t="s">
        <v>2570</v>
      </c>
      <c r="F355">
        <v>6</v>
      </c>
      <c r="G355" s="1" t="s">
        <v>330</v>
      </c>
      <c r="H355" s="16" t="s">
        <v>2987</v>
      </c>
      <c r="I355" s="18"/>
      <c r="J355" t="str">
        <f>IF(LEN(VLOOKUP(表1[[#This Row],[id]],数据引用!A:C,3,FALSE))&gt;0,VLOOKUP(表1[[#This Row],[id]],数据引用!A:C,3,FALSE),"")</f>
        <v>优惠券</v>
      </c>
      <c r="K355" t="s">
        <v>1199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font-size:12;"&gt;优惠券&lt;/text&gt;&lt;text transform="matrix(1 0 0 1 0 10.3205)" style="fill:#FFFFFF; font-family:'FZXS12--GB1-0'; font-size:12;"&gt;优惠券&lt;/text&gt;&lt;/svg&gt;</v>
      </c>
      <c r="P355" s="5"/>
    </row>
    <row r="356" spans="1:16" ht="14.25" customHeight="1">
      <c r="A356">
        <v>364</v>
      </c>
      <c r="B356">
        <v>0</v>
      </c>
      <c r="C356">
        <v>0</v>
      </c>
      <c r="E356" t="s">
        <v>2570</v>
      </c>
      <c r="F356">
        <v>6</v>
      </c>
      <c r="G356" s="1" t="s">
        <v>331</v>
      </c>
      <c r="H356" s="16" t="s">
        <v>2988</v>
      </c>
      <c r="I356" s="18"/>
      <c r="J356" t="str">
        <f>IF(LEN(VLOOKUP(表1[[#This Row],[id]],数据引用!A:C,3,FALSE))&gt;0,VLOOKUP(表1[[#This Row],[id]],数据引用!A:C,3,FALSE),"")</f>
        <v>金钥匙</v>
      </c>
      <c r="K356" t="s">
        <v>1199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font-size:12;"&gt;金钥匙&lt;/text&gt;&lt;text transform="matrix(1 0 0 1 0 10.3205)" style="fill:#FFFFFF; font-family:'FZXS12--GB1-0'; font-size:12;"&gt;金钥匙&lt;/text&gt;&lt;/svg&gt;</v>
      </c>
      <c r="P356" s="5"/>
    </row>
    <row r="357" spans="1:16" ht="14.25" customHeight="1">
      <c r="A357">
        <v>365</v>
      </c>
      <c r="B357">
        <v>0</v>
      </c>
      <c r="C357">
        <v>0</v>
      </c>
      <c r="E357" t="s">
        <v>2570</v>
      </c>
      <c r="F357">
        <v>6</v>
      </c>
      <c r="G357" s="1" t="s">
        <v>332</v>
      </c>
      <c r="H357" s="16" t="s">
        <v>2989</v>
      </c>
      <c r="I357" s="18"/>
      <c r="J357" t="str">
        <f>IF(LEN(VLOOKUP(表1[[#This Row],[id]],数据引用!A:C,3,FALSE))&gt;0,VLOOKUP(表1[[#This Row],[id]],数据引用!A:C,3,FALSE),"")</f>
        <v>玻璃钥匙</v>
      </c>
      <c r="K357" t="s">
        <v>1199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font-size:12;"&gt;玻璃钥匙&lt;/text&gt;&lt;text transform="matrix(1 0 0 1 0 10.3205)" style="fill:#FFFFFF; font-family:'FZXS12--GB1-0'; font-size:12;"&gt;玻璃钥匙&lt;/text&gt;&lt;/svg&gt;</v>
      </c>
      <c r="P357" s="5"/>
    </row>
    <row r="358" spans="1:16" ht="14.25" customHeight="1">
      <c r="A358">
        <v>366</v>
      </c>
      <c r="B358">
        <v>0</v>
      </c>
      <c r="C358">
        <v>0</v>
      </c>
      <c r="E358" t="s">
        <v>2570</v>
      </c>
      <c r="F358">
        <v>6</v>
      </c>
      <c r="G358" s="1" t="s">
        <v>333</v>
      </c>
      <c r="H358" s="16" t="s">
        <v>2990</v>
      </c>
      <c r="I358" s="18"/>
      <c r="J358" t="str">
        <f>IF(LEN(VLOOKUP(表1[[#This Row],[id]],数据引用!A:C,3,FALSE))&gt;0,VLOOKUP(表1[[#This Row],[id]],数据引用!A:C,3,FALSE),"")</f>
        <v>心之容器</v>
      </c>
      <c r="K358" t="s">
        <v>1199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58" s="5"/>
    </row>
    <row r="359" spans="1:16" ht="14.25" customHeight="1">
      <c r="A359">
        <v>367</v>
      </c>
      <c r="B359">
        <v>0</v>
      </c>
      <c r="C359">
        <v>0</v>
      </c>
      <c r="E359" t="s">
        <v>2570</v>
      </c>
      <c r="F359">
        <v>6</v>
      </c>
      <c r="G359" s="1" t="s">
        <v>334</v>
      </c>
      <c r="H359" s="16" t="s">
        <v>2991</v>
      </c>
      <c r="I359" s="18"/>
      <c r="J359" t="str">
        <f>IF(LEN(VLOOKUP(表1[[#This Row],[id]],数据引用!A:C,3,FALSE))&gt;0,VLOOKUP(表1[[#This Row],[id]],数据引用!A:C,3,FALSE),"")</f>
        <v>双倍心之容器</v>
      </c>
      <c r="K359" t="s">
        <v>1199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font-size:12;"&gt;双倍心之容器&lt;/text&gt;&lt;text transform="matrix(1 0 0 1 0 10.3205)" style="fill:#FFFFFF; font-family:'FZXS12--GB1-0'; font-size:12;"&gt;双倍心之容器&lt;/text&gt;&lt;/svg&gt;</v>
      </c>
      <c r="P359" s="5"/>
    </row>
    <row r="360" spans="1:16" ht="14.25" customHeight="1">
      <c r="A360">
        <v>368</v>
      </c>
      <c r="B360">
        <v>0</v>
      </c>
      <c r="C360">
        <v>0</v>
      </c>
      <c r="E360" t="s">
        <v>2570</v>
      </c>
      <c r="F360">
        <v>6</v>
      </c>
      <c r="G360" s="1" t="s">
        <v>335</v>
      </c>
      <c r="H360" s="16" t="s">
        <v>2992</v>
      </c>
      <c r="I360" s="18"/>
      <c r="J360" t="str">
        <f>IF(LEN(VLOOKUP(表1[[#This Row],[id]],数据引用!A:C,3,FALSE))&gt;0,VLOOKUP(表1[[#This Row],[id]],数据引用!A:C,3,FALSE),"")</f>
        <v>空的心之容器</v>
      </c>
      <c r="K360" t="s">
        <v>1199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font-size:12;"&gt;空的心之容器&lt;/text&gt;&lt;text transform="matrix(1 0 0 1 0 10.3205)" style="fill:#FFFFFF; font-family:'FZXS12--GB1-0'; font-size:12;"&gt;空的心之容器&lt;/text&gt;&lt;/svg&gt;</v>
      </c>
      <c r="P360" s="5"/>
    </row>
    <row r="361" spans="1:16" ht="14.25" customHeight="1">
      <c r="A361">
        <v>369</v>
      </c>
      <c r="B361">
        <v>0</v>
      </c>
      <c r="C361">
        <v>0</v>
      </c>
      <c r="E361" t="s">
        <v>2570</v>
      </c>
      <c r="F361">
        <v>6</v>
      </c>
      <c r="G361" s="1" t="s">
        <v>336</v>
      </c>
      <c r="H361" s="16" t="s">
        <v>2993</v>
      </c>
      <c r="I361" s="18"/>
      <c r="J361" t="str">
        <f>IF(LEN(VLOOKUP(表1[[#This Row],[id]],数据引用!A:C,3,FALSE))&gt;0,VLOOKUP(表1[[#This Row],[id]],数据引用!A:C,3,FALSE),"")</f>
        <v>空的双倍心之容器</v>
      </c>
      <c r="K361" t="s">
        <v>1199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font-size:12;"&gt;空的双倍心之容器&lt;/text&gt;&lt;text transform="matrix(1 0 0 1 0 10.3205)" style="fill:#FFFFFF; font-family:'FZXS12--GB1-0'; font-size:12;"&gt;空的双倍心之容器&lt;/text&gt;&lt;/svg&gt;</v>
      </c>
      <c r="P361" s="5"/>
    </row>
    <row r="362" spans="1:16" ht="14.25" customHeight="1">
      <c r="A362">
        <v>370</v>
      </c>
      <c r="B362">
        <v>0</v>
      </c>
      <c r="C362">
        <v>0</v>
      </c>
      <c r="E362" t="s">
        <v>2570</v>
      </c>
      <c r="F362">
        <v>6</v>
      </c>
      <c r="G362" s="1" t="s">
        <v>337</v>
      </c>
      <c r="H362" s="16" t="s">
        <v>2994</v>
      </c>
      <c r="I362" s="18"/>
      <c r="J362" t="str">
        <f>IF(LEN(VLOOKUP(表1[[#This Row],[id]],数据引用!A:C,3,FALSE))&gt;0,VLOOKUP(表1[[#This Row],[id]],数据引用!A:C,3,FALSE),"")</f>
        <v>钥匙</v>
      </c>
      <c r="K362" t="s">
        <v>1199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P362" s="5"/>
    </row>
    <row r="363" spans="1:16" ht="14.25" customHeight="1">
      <c r="A363">
        <v>371</v>
      </c>
      <c r="B363">
        <v>0</v>
      </c>
      <c r="C363">
        <v>0</v>
      </c>
      <c r="E363" t="s">
        <v>2570</v>
      </c>
      <c r="F363">
        <v>6</v>
      </c>
      <c r="G363" s="1" t="s">
        <v>338</v>
      </c>
      <c r="H363" s="16" t="s">
        <v>2995</v>
      </c>
      <c r="I363" s="18"/>
      <c r="J363" t="str">
        <f>IF(LEN(VLOOKUP(表1[[#This Row],[id]],数据引用!A:C,3,FALSE))&gt;0,VLOOKUP(表1[[#This Row],[id]],数据引用!A:C,3,FALSE),"")</f>
        <v>吸金石</v>
      </c>
      <c r="K363" t="s">
        <v>1199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font-size:12;"&gt;吸金石&lt;/text&gt;&lt;text transform="matrix(1 0 0 1 0 10.3205)" style="fill:#FFFFFF; font-family:'FZXS12--GB1-0'; font-size:12;"&gt;吸金石&lt;/text&gt;&lt;/svg&gt;</v>
      </c>
      <c r="P363" s="5"/>
    </row>
    <row r="364" spans="1:16" ht="14.25" customHeight="1">
      <c r="A364">
        <v>372</v>
      </c>
      <c r="B364">
        <v>0</v>
      </c>
      <c r="C364">
        <v>0</v>
      </c>
      <c r="E364" t="s">
        <v>2570</v>
      </c>
      <c r="F364">
        <v>6</v>
      </c>
      <c r="G364" s="1" t="s">
        <v>339</v>
      </c>
      <c r="H364" s="16" t="s">
        <v>2996</v>
      </c>
      <c r="I364" s="18"/>
      <c r="J364" t="str">
        <f>IF(LEN(VLOOKUP(表1[[#This Row],[id]],数据引用!A:C,3,FALSE))&gt;0,VLOOKUP(表1[[#This Row],[id]],数据引用!A:C,3,FALSE),"")</f>
        <v>地图</v>
      </c>
      <c r="K364" t="s">
        <v>1199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font-size:12;"&gt;地图&lt;/text&gt;&lt;text transform="matrix(1 0 0 1 0 10.3205)" style="fill:#FFFFFF; font-family:'FZXS12--GB1-0'; font-size:12;"&gt;地图&lt;/text&gt;&lt;/svg&gt;</v>
      </c>
      <c r="P364" s="5"/>
    </row>
    <row r="365" spans="1:16" ht="14.25" customHeight="1">
      <c r="A365">
        <v>373</v>
      </c>
      <c r="B365">
        <v>0</v>
      </c>
      <c r="C365">
        <v>0</v>
      </c>
      <c r="E365" t="s">
        <v>2570</v>
      </c>
      <c r="F365">
        <v>6</v>
      </c>
      <c r="G365" s="1" t="s">
        <v>340</v>
      </c>
      <c r="H365" s="16" t="s">
        <v>2997</v>
      </c>
      <c r="I365" s="18"/>
      <c r="J365" t="str">
        <f>IF(LEN(VLOOKUP(表1[[#This Row],[id]],数据引用!A:C,3,FALSE))&gt;0,VLOOKUP(表1[[#This Row],[id]],数据引用!A:C,3,FALSE),"")</f>
        <v>药水</v>
      </c>
      <c r="K365" t="s">
        <v>1199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font-size:12;"&gt;药水&lt;/text&gt;&lt;text transform="matrix(1 0 0 1 0 10.3205)" style="fill:#FFFFFF; font-family:'FZXS12--GB1-0'; font-size:12;"&gt;药水&lt;/text&gt;&lt;/svg&gt;</v>
      </c>
      <c r="P365" s="5"/>
    </row>
    <row r="366" spans="1:16" ht="14.25" customHeight="1">
      <c r="A366">
        <v>374</v>
      </c>
      <c r="B366">
        <v>0</v>
      </c>
      <c r="C366">
        <v>0</v>
      </c>
      <c r="E366" t="s">
        <v>2570</v>
      </c>
      <c r="F366">
        <v>6</v>
      </c>
      <c r="G366" s="1" t="s">
        <v>341</v>
      </c>
      <c r="H366" s="16" t="s">
        <v>2998</v>
      </c>
      <c r="I366" s="18"/>
      <c r="J366" t="str">
        <f>IF(LEN(VLOOKUP(表1[[#This Row],[id]],数据引用!A:C,3,FALSE))&gt;0,VLOOKUP(表1[[#This Row],[id]],数据引用!A:C,3,FALSE),"")</f>
        <v>冰霜项链</v>
      </c>
      <c r="K366" t="s">
        <v>1199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font-size:12;"&gt;冰霜项链&lt;/text&gt;&lt;text transform="matrix(1 0 0 1 0 10.3205)" style="fill:#FFFFFF; font-family:'FZXS12--GB1-0'; font-size:12;"&gt;冰霜项链&lt;/text&gt;&lt;/svg&gt;</v>
      </c>
      <c r="P366" s="5"/>
    </row>
    <row r="367" spans="1:16" ht="14.25" customHeight="1">
      <c r="A367">
        <v>375</v>
      </c>
      <c r="B367">
        <v>0</v>
      </c>
      <c r="C367">
        <v>0</v>
      </c>
      <c r="E367" t="s">
        <v>2570</v>
      </c>
      <c r="F367">
        <v>6</v>
      </c>
      <c r="G367" s="1" t="s">
        <v>342</v>
      </c>
      <c r="H367" s="16" t="s">
        <v>2999</v>
      </c>
      <c r="I367" s="18"/>
      <c r="J367" t="str">
        <f>IF(LEN(VLOOKUP(表1[[#This Row],[id]],数据引用!A:C,3,FALSE))&gt;0,VLOOKUP(表1[[#This Row],[id]],数据引用!A:C,3,FALSE),"")</f>
        <v>暴食项链</v>
      </c>
      <c r="K367" t="s">
        <v>1199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font-size:12;"&gt;暴食项链&lt;/text&gt;&lt;text transform="matrix(1 0 0 1 0 10.3205)" style="fill:#FFFFFF; font-family:'FZXS12--GB1-0'; font-size:12;"&gt;暴食项链&lt;/text&gt;&lt;/svg&gt;</v>
      </c>
      <c r="P367" s="5"/>
    </row>
    <row r="368" spans="1:16" ht="14.25" customHeight="1">
      <c r="A368">
        <v>376</v>
      </c>
      <c r="B368">
        <v>0</v>
      </c>
      <c r="C368">
        <v>0</v>
      </c>
      <c r="E368" t="s">
        <v>2570</v>
      </c>
      <c r="F368">
        <v>6</v>
      </c>
      <c r="G368" s="1" t="s">
        <v>343</v>
      </c>
      <c r="H368" s="16" t="s">
        <v>3000</v>
      </c>
      <c r="I368" s="18"/>
      <c r="J368" t="str">
        <f>IF(LEN(VLOOKUP(表1[[#This Row],[id]],数据引用!A:C,3,FALSE))&gt;0,VLOOKUP(表1[[#This Row],[id]],数据引用!A:C,3,FALSE),"")</f>
        <v>幸运项链</v>
      </c>
      <c r="K368" t="s">
        <v>1199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font-size:12;"&gt;幸运项链&lt;/text&gt;&lt;text transform="matrix(1 0 0 1 0 10.3205)" style="fill:#FFFFFF; font-family:'FZXS12--GB1-0'; font-size:12;"&gt;幸运项链&lt;/text&gt;&lt;/svg&gt;</v>
      </c>
      <c r="P368" s="5"/>
    </row>
    <row r="369" spans="1:16" ht="14.25" customHeight="1">
      <c r="A369">
        <v>377</v>
      </c>
      <c r="B369">
        <v>0</v>
      </c>
      <c r="C369">
        <v>0</v>
      </c>
      <c r="E369" t="s">
        <v>2570</v>
      </c>
      <c r="F369">
        <v>6</v>
      </c>
      <c r="G369" s="1" t="s">
        <v>1398</v>
      </c>
      <c r="H369" s="16" t="s">
        <v>3001</v>
      </c>
      <c r="I369" s="18"/>
      <c r="J369" t="str">
        <f>IF(LEN(VLOOKUP(表1[[#This Row],[id]],数据引用!A:C,3,FALSE))&gt;0,VLOOKUP(表1[[#This Row],[id]],数据引用!A:C,3,FALSE),"")</f>
        <v>通灵项链</v>
      </c>
      <c r="K369" t="s">
        <v>1199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font-size:12;"&gt;通灵项链&lt;/text&gt;&lt;text transform="matrix(1 0 0 1 0 10.3205)" style="fill:#FFFFFF; font-family:'FZXS12--GB1-0'; font-size:12;"&gt;通灵项链&lt;/text&gt;&lt;/svg&gt;</v>
      </c>
      <c r="P369" s="5"/>
    </row>
    <row r="370" spans="1:16" ht="14.25" customHeight="1">
      <c r="A370">
        <v>378</v>
      </c>
      <c r="B370">
        <v>0</v>
      </c>
      <c r="C370">
        <v>0</v>
      </c>
      <c r="E370" t="s">
        <v>2570</v>
      </c>
      <c r="F370">
        <v>6</v>
      </c>
      <c r="G370" s="1" t="s">
        <v>344</v>
      </c>
      <c r="H370" s="16" t="s">
        <v>3002</v>
      </c>
      <c r="I370" s="18"/>
      <c r="J370" t="str">
        <f>IF(LEN(VLOOKUP(表1[[#This Row],[id]],数据引用!A:C,3,FALSE))&gt;0,VLOOKUP(表1[[#This Row],[id]],数据引用!A:C,3,FALSE),"")</f>
        <v>保护项链</v>
      </c>
      <c r="K370" t="s">
        <v>1199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font-size:12;"&gt;保护项链&lt;/text&gt;&lt;text transform="matrix(1 0 0 1 0 10.3205)" style="fill:#FFFFFF; font-family:'FZXS12--GB1-0'; font-size:12;"&gt;保护项链&lt;/text&gt;&lt;/svg&gt;</v>
      </c>
      <c r="P370" s="5"/>
    </row>
    <row r="371" spans="1:16" ht="14.25" customHeight="1">
      <c r="A371">
        <v>379</v>
      </c>
      <c r="B371">
        <v>0</v>
      </c>
      <c r="C371">
        <v>0</v>
      </c>
      <c r="E371" t="s">
        <v>2570</v>
      </c>
      <c r="F371">
        <v>6</v>
      </c>
      <c r="G371" s="1" t="s">
        <v>345</v>
      </c>
      <c r="H371" s="16" t="s">
        <v>3003</v>
      </c>
      <c r="I371" s="18"/>
      <c r="J371" t="str">
        <f>IF(LEN(VLOOKUP(表1[[#This Row],[id]],数据引用!A:C,3,FALSE))&gt;0,VLOOKUP(表1[[#This Row],[id]],数据引用!A:C,3,FALSE),"")</f>
        <v>冒险项链</v>
      </c>
      <c r="K371" t="s">
        <v>1199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font-size:12;"&gt;冒险项链&lt;/text&gt;&lt;text transform="matrix(1 0 0 1 0 10.3205)" style="fill:#FFFFFF; font-family:'FZXS12--GB1-0'; font-size:12;"&gt;冒险项链&lt;/text&gt;&lt;/svg&gt;</v>
      </c>
      <c r="P371" s="5"/>
    </row>
    <row r="372" spans="1:16" ht="14.25" customHeight="1">
      <c r="A372">
        <v>380</v>
      </c>
      <c r="B372">
        <v>0</v>
      </c>
      <c r="C372">
        <v>0</v>
      </c>
      <c r="E372" t="s">
        <v>2570</v>
      </c>
      <c r="F372">
        <v>6</v>
      </c>
      <c r="G372" s="1" t="s">
        <v>346</v>
      </c>
      <c r="H372" s="16" t="s">
        <v>3004</v>
      </c>
      <c r="I372" s="18"/>
      <c r="J372" t="str">
        <f>IF(LEN(VLOOKUP(表1[[#This Row],[id]],数据引用!A:C,3,FALSE))&gt;0,VLOOKUP(表1[[#This Row],[id]],数据引用!A:C,3,FALSE),"")</f>
        <v>力量项链</v>
      </c>
      <c r="K372" t="s">
        <v>1199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font-size:12;"&gt;力量项链&lt;/text&gt;&lt;text transform="matrix(1 0 0 1 0 10.3205)" style="fill:#FFFFFF; font-family:'FZXS12--GB1-0'; font-size:12;"&gt;力量项链&lt;/text&gt;&lt;/svg&gt;</v>
      </c>
      <c r="P372" s="5"/>
    </row>
    <row r="373" spans="1:16" ht="14.25" customHeight="1">
      <c r="A373">
        <v>381</v>
      </c>
      <c r="B373">
        <v>0</v>
      </c>
      <c r="C373">
        <v>0</v>
      </c>
      <c r="E373" t="s">
        <v>2570</v>
      </c>
      <c r="F373">
        <v>6</v>
      </c>
      <c r="G373" s="1" t="s">
        <v>333</v>
      </c>
      <c r="H373" s="16" t="s">
        <v>3005</v>
      </c>
      <c r="I373" s="18"/>
      <c r="J373" t="str">
        <f>IF(LEN(VLOOKUP(表1[[#This Row],[id]],数据引用!A:C,3,FALSE))&gt;0,VLOOKUP(表1[[#This Row],[id]],数据引用!A:C,3,FALSE),"")</f>
        <v>心之容器</v>
      </c>
      <c r="K373" t="s">
        <v>1199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P373" s="5"/>
    </row>
    <row r="374" spans="1:16" ht="14.25" customHeight="1">
      <c r="A374">
        <v>382</v>
      </c>
      <c r="B374">
        <v>0</v>
      </c>
      <c r="C374">
        <v>0</v>
      </c>
      <c r="E374" t="s">
        <v>2570</v>
      </c>
      <c r="F374">
        <v>6</v>
      </c>
      <c r="G374" s="1" t="s">
        <v>347</v>
      </c>
      <c r="H374" s="16" t="s">
        <v>3006</v>
      </c>
      <c r="I374" s="18"/>
      <c r="J374" t="str">
        <f>IF(LEN(VLOOKUP(表1[[#This Row],[id]],数据引用!A:C,3,FALSE))&gt;0,VLOOKUP(表1[[#This Row],[id]],数据引用!A:C,3,FALSE),"")</f>
        <v>+50金币</v>
      </c>
      <c r="K374" t="s">
        <v>1199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font-size:12;"&gt;+50金币&lt;/text&gt;&lt;text transform="matrix(1 0 0 1 0 10.3205)" style="fill:#FFFFFF; font-family:'FZXS12--GB1-0'; font-size:12;"&gt;+50金币&lt;/text&gt;&lt;/svg&gt;</v>
      </c>
      <c r="P374" s="5"/>
    </row>
    <row r="375" spans="1:16" ht="14.25" customHeight="1">
      <c r="A375">
        <v>383</v>
      </c>
      <c r="B375">
        <v>0</v>
      </c>
      <c r="C375">
        <v>0</v>
      </c>
      <c r="E375" t="s">
        <v>2570</v>
      </c>
      <c r="F375">
        <v>6</v>
      </c>
      <c r="G375" s="1" t="s">
        <v>348</v>
      </c>
      <c r="H375" s="16" t="s">
        <v>3007</v>
      </c>
      <c r="I375" s="18"/>
      <c r="J375" t="str">
        <f>IF(LEN(VLOOKUP(表1[[#This Row],[id]],数据引用!A:C,3,FALSE))&gt;0,VLOOKUP(表1[[#This Row],[id]],数据引用!A:C,3,FALSE),"")</f>
        <v>+100金币</v>
      </c>
      <c r="K375" t="s">
        <v>1199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font-size:12;"&gt;+100金币&lt;/text&gt;&lt;text transform="matrix(1 0 0 1 0 10.3205)" style="fill:#FFFFFF; font-family:'FZXS12--GB1-0'; font-size:12;"&gt;+100金币&lt;/text&gt;&lt;/svg&gt;</v>
      </c>
      <c r="P375" s="5"/>
    </row>
    <row r="376" spans="1:16" ht="14.25" customHeight="1">
      <c r="A376">
        <v>384</v>
      </c>
      <c r="B376">
        <v>0</v>
      </c>
      <c r="C376">
        <v>0</v>
      </c>
      <c r="E376" t="s">
        <v>2570</v>
      </c>
      <c r="F376">
        <v>6</v>
      </c>
      <c r="G376" s="1" t="s">
        <v>349</v>
      </c>
      <c r="H376" s="16" t="s">
        <v>3008</v>
      </c>
      <c r="I376" s="18"/>
      <c r="J376" t="str">
        <f>IF(LEN(VLOOKUP(表1[[#This Row],[id]],数据引用!A:C,3,FALSE))&gt;0,VLOOKUP(表1[[#This Row],[id]],数据引用!A:C,3,FALSE),"")</f>
        <v>+150金币</v>
      </c>
      <c r="K376" t="s">
        <v>1199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font-size:12;"&gt;+150金币&lt;/text&gt;&lt;text transform="matrix(1 0 0 1 0 10.3205)" style="fill:#FFFFFF; font-family:'FZXS12--GB1-0'; font-size:12;"&gt;+150金币&lt;/text&gt;&lt;/svg&gt;</v>
      </c>
      <c r="P376" s="5"/>
    </row>
    <row r="377" spans="1:16" ht="14.25" customHeight="1">
      <c r="A377">
        <v>385</v>
      </c>
      <c r="B377">
        <v>0</v>
      </c>
      <c r="C377">
        <v>0</v>
      </c>
      <c r="E377" t="s">
        <v>2570</v>
      </c>
      <c r="F377">
        <v>6</v>
      </c>
      <c r="G377" s="1" t="s">
        <v>350</v>
      </c>
      <c r="H377" s="16" t="s">
        <v>3009</v>
      </c>
      <c r="I377" s="18"/>
      <c r="J377" t="str">
        <f>IF(LEN(VLOOKUP(表1[[#This Row],[id]],数据引用!A:C,3,FALSE))&gt;0,VLOOKUP(表1[[#This Row],[id]],数据引用!A:C,3,FALSE),"")</f>
        <v>+1钻石</v>
      </c>
      <c r="K377" t="s">
        <v>1199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font-size:12;"&gt;+1钻石&lt;/text&gt;&lt;text transform="matrix(1 0 0 1 0 10.3205)" style="fill:#FFFFFF; font-family:'FZXS12--GB1-0'; font-size:12;"&gt;+1钻石&lt;/text&gt;&lt;/svg&gt;</v>
      </c>
      <c r="P377" s="5"/>
    </row>
    <row r="378" spans="1:16" ht="14.25" customHeight="1">
      <c r="A378">
        <v>386</v>
      </c>
      <c r="B378">
        <v>0</v>
      </c>
      <c r="C378">
        <v>0</v>
      </c>
      <c r="E378" t="s">
        <v>2570</v>
      </c>
      <c r="F378">
        <v>6</v>
      </c>
      <c r="G378" s="1" t="s">
        <v>351</v>
      </c>
      <c r="H378" s="16" t="s">
        <v>3010</v>
      </c>
      <c r="I378" s="18"/>
      <c r="J378" t="str">
        <f>IF(LEN(VLOOKUP(表1[[#This Row],[id]],数据引用!A:C,3,FALSE))&gt;0,VLOOKUP(表1[[#This Row],[id]],数据引用!A:C,3,FALSE),"")</f>
        <v>+2钻石</v>
      </c>
      <c r="K378" t="s">
        <v>1199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font-size:12;"&gt;+2钻石&lt;/text&gt;&lt;text transform="matrix(1 0 0 1 0 10.3205)" style="fill:#FFFFFF; font-family:'FZXS12--GB1-0'; font-size:12;"&gt;+2钻石&lt;/text&gt;&lt;/svg&gt;</v>
      </c>
      <c r="P378" s="5"/>
    </row>
    <row r="379" spans="1:16" ht="14.25" customHeight="1">
      <c r="A379">
        <v>387</v>
      </c>
      <c r="B379">
        <v>0</v>
      </c>
      <c r="C379">
        <v>0</v>
      </c>
      <c r="E379" t="s">
        <v>2570</v>
      </c>
      <c r="F379">
        <v>6</v>
      </c>
      <c r="G379" s="1" t="s">
        <v>352</v>
      </c>
      <c r="H379" s="16" t="s">
        <v>3011</v>
      </c>
      <c r="I379" s="18"/>
      <c r="J379" t="str">
        <f>IF(LEN(VLOOKUP(表1[[#This Row],[id]],数据引用!A:C,3,FALSE))&gt;0,VLOOKUP(表1[[#This Row],[id]],数据引用!A:C,3,FALSE),"")</f>
        <v>+3钻石</v>
      </c>
      <c r="K379" t="s">
        <v>1199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font-size:12;"&gt;+3钻石&lt;/text&gt;&lt;text transform="matrix(1 0 0 1 0 10.3205)" style="fill:#FFFFFF; font-family:'FZXS12--GB1-0'; font-size:12;"&gt;+3钻石&lt;/text&gt;&lt;/svg&gt;</v>
      </c>
      <c r="P379" s="5"/>
    </row>
    <row r="380" spans="1:16" ht="14.25" customHeight="1">
      <c r="A380">
        <v>388</v>
      </c>
      <c r="B380">
        <v>0</v>
      </c>
      <c r="C380">
        <v>0</v>
      </c>
      <c r="E380" t="s">
        <v>2570</v>
      </c>
      <c r="F380">
        <v>6</v>
      </c>
      <c r="G380" s="1" t="s">
        <v>353</v>
      </c>
      <c r="H380" s="16" t="s">
        <v>3012</v>
      </c>
      <c r="I380" s="18"/>
      <c r="J380" t="str">
        <f>IF(LEN(VLOOKUP(表1[[#This Row],[id]],数据引用!A:C,3,FALSE))&gt;0,VLOOKUP(表1[[#This Row],[id]],数据引用!A:C,3,FALSE),"")</f>
        <v>+4钻石</v>
      </c>
      <c r="K380" t="s">
        <v>1199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font-size:12;"&gt;+4钻石&lt;/text&gt;&lt;text transform="matrix(1 0 0 1 0 10.3205)" style="fill:#FFFFFF; font-family:'FZXS12--GB1-0'; font-size:12;"&gt;+4钻石&lt;/text&gt;&lt;/svg&gt;</v>
      </c>
      <c r="P380" s="5"/>
    </row>
    <row r="381" spans="1:16" ht="14.25" customHeight="1">
      <c r="A381">
        <v>389</v>
      </c>
      <c r="B381">
        <v>0</v>
      </c>
      <c r="C381">
        <v>0</v>
      </c>
      <c r="E381" t="s">
        <v>2570</v>
      </c>
      <c r="F381">
        <v>6</v>
      </c>
      <c r="G381" s="1" t="s">
        <v>354</v>
      </c>
      <c r="H381" s="16" t="s">
        <v>3013</v>
      </c>
      <c r="I381" s="18"/>
      <c r="J381" t="str">
        <f>IF(LEN(VLOOKUP(表1[[#This Row],[id]],数据引用!A:C,3,FALSE))&gt;0,VLOOKUP(表1[[#This Row],[id]],数据引用!A:C,3,FALSE),"")</f>
        <v>+5钻石</v>
      </c>
      <c r="K381" t="s">
        <v>1199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font-size:12;"&gt;+5钻石&lt;/text&gt;&lt;text transform="matrix(1 0 0 1 0 10.3205)" style="fill:#FFFFFF; font-family:'FZXS12--GB1-0'; font-size:12;"&gt;+5钻石&lt;/text&gt;&lt;/svg&gt;</v>
      </c>
      <c r="P381" s="5"/>
    </row>
    <row r="382" spans="1:16" ht="14.25" customHeight="1">
      <c r="A382">
        <v>390</v>
      </c>
      <c r="B382">
        <v>0</v>
      </c>
      <c r="C382">
        <v>0</v>
      </c>
      <c r="E382" t="s">
        <v>2570</v>
      </c>
      <c r="F382">
        <v>6</v>
      </c>
      <c r="G382" s="1" t="s">
        <v>355</v>
      </c>
      <c r="H382" s="16" t="s">
        <v>3014</v>
      </c>
      <c r="I382" s="18"/>
      <c r="J382" t="str">
        <f>IF(LEN(VLOOKUP(表1[[#This Row],[id]],数据引用!A:C,3,FALSE))&gt;0,VLOOKUP(表1[[#This Row],[id]],数据引用!A:C,3,FALSE),"")</f>
        <v>+10钻石</v>
      </c>
      <c r="K382" t="s">
        <v>1199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font-size:12;"&gt;+10钻石&lt;/text&gt;&lt;text transform="matrix(1 0 0 1 0 10.3205)" style="fill:#FFFFFF; font-family:'FZXS12--GB1-0'; font-size:12;"&gt;+10钻石&lt;/text&gt;&lt;/svg&gt;</v>
      </c>
      <c r="P382" s="5"/>
    </row>
    <row r="383" spans="1:16" ht="14.25" customHeight="1">
      <c r="A383">
        <v>391</v>
      </c>
      <c r="B383">
        <v>0</v>
      </c>
      <c r="C383">
        <v>0</v>
      </c>
      <c r="E383" t="s">
        <v>2570</v>
      </c>
      <c r="F383">
        <v>6</v>
      </c>
      <c r="G383" s="1" t="s">
        <v>356</v>
      </c>
      <c r="H383" s="16" t="s">
        <v>3015</v>
      </c>
      <c r="I383" s="18"/>
      <c r="J383" t="str">
        <f>IF(LEN(VLOOKUP(表1[[#This Row],[id]],数据引用!A:C,3,FALSE))&gt;0,VLOOKUP(表1[[#This Row],[id]],数据引用!A:C,3,FALSE),"")</f>
        <v>+15钻石</v>
      </c>
      <c r="K383" t="s">
        <v>1199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font-size:12;"&gt;+15钻石&lt;/text&gt;&lt;text transform="matrix(1 0 0 1 0 10.3205)" style="fill:#FFFFFF; font-family:'FZXS12--GB1-0'; font-size:12;"&gt;+15钻石&lt;/text&gt;&lt;/svg&gt;</v>
      </c>
      <c r="P383" s="5"/>
    </row>
    <row r="384" spans="1:16" ht="14.25" customHeight="1">
      <c r="A384">
        <v>392</v>
      </c>
      <c r="B384">
        <v>0</v>
      </c>
      <c r="C384">
        <v>0</v>
      </c>
      <c r="E384" t="s">
        <v>2570</v>
      </c>
      <c r="F384">
        <v>6</v>
      </c>
      <c r="G384" s="1" t="s">
        <v>357</v>
      </c>
      <c r="H384" s="16" t="s">
        <v>3016</v>
      </c>
      <c r="I384" s="18"/>
      <c r="J384" t="str">
        <f>IF(LEN(VLOOKUP(表1[[#This Row],[id]],数据引用!A:C,3,FALSE))&gt;0,VLOOKUP(表1[[#This Row],[id]],数据引用!A:C,3,FALSE),"")</f>
        <v>+20钻石</v>
      </c>
      <c r="K384" t="s">
        <v>1199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font-size:12;"&gt;+20钻石&lt;/text&gt;&lt;text transform="matrix(1 0 0 1 0 10.3205)" style="fill:#FFFFFF; font-family:'FZXS12--GB1-0'; font-size:12;"&gt;+20钻石&lt;/text&gt;&lt;/svg&gt;</v>
      </c>
      <c r="P384" s="5"/>
    </row>
    <row r="385" spans="1:16" ht="14.25" customHeight="1">
      <c r="A385">
        <v>393</v>
      </c>
      <c r="B385">
        <v>0</v>
      </c>
      <c r="C385">
        <v>0</v>
      </c>
      <c r="E385" t="s">
        <v>2570</v>
      </c>
      <c r="F385">
        <v>6</v>
      </c>
      <c r="G385" s="1" t="s">
        <v>358</v>
      </c>
      <c r="H385" s="16" t="s">
        <v>3017</v>
      </c>
      <c r="I385" s="18"/>
      <c r="J385" t="str">
        <f>IF(LEN(VLOOKUP(表1[[#This Row],[id]],数据引用!A:C,3,FALSE))&gt;0,VLOOKUP(表1[[#This Row],[id]],数据引用!A:C,3,FALSE),"")</f>
        <v>勇气指环</v>
      </c>
      <c r="K385" t="s">
        <v>1199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font-size:12;"&gt;勇气指环&lt;/text&gt;&lt;text transform="matrix(1 0 0 1 0 10.3205)" style="fill:#FFFFFF; font-family:'FZXS12--GB1-0'; font-size:12;"&gt;勇气指环&lt;/text&gt;&lt;/svg&gt;</v>
      </c>
      <c r="P385" s="5"/>
    </row>
    <row r="386" spans="1:16" ht="14.25" customHeight="1">
      <c r="A386">
        <v>394</v>
      </c>
      <c r="B386">
        <v>0</v>
      </c>
      <c r="C386">
        <v>0</v>
      </c>
      <c r="E386" t="s">
        <v>2570</v>
      </c>
      <c r="F386">
        <v>6</v>
      </c>
      <c r="G386" s="1" t="s">
        <v>359</v>
      </c>
      <c r="H386" s="16" t="s">
        <v>3018</v>
      </c>
      <c r="I386" s="18"/>
      <c r="J386" t="str">
        <f>IF(LEN(VLOOKUP(表1[[#This Row],[id]],数据引用!A:C,3,FALSE))&gt;0,VLOOKUP(表1[[#This Row],[id]],数据引用!A:C,3,FALSE),"")</f>
        <v>战争指环</v>
      </c>
      <c r="K386" t="s">
        <v>1199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font-size:12;"&gt;战争指环&lt;/text&gt;&lt;text transform="matrix(1 0 0 1 0 10.3205)" style="fill:#FFFFFF; font-family:'FZXS12--GB1-0'; font-size:12;"&gt;战争指环&lt;/text&gt;&lt;/svg&gt;</v>
      </c>
      <c r="P386" s="5"/>
    </row>
    <row r="387" spans="1:16" ht="14.25" customHeight="1">
      <c r="A387">
        <v>395</v>
      </c>
      <c r="B387">
        <v>0</v>
      </c>
      <c r="C387">
        <v>0</v>
      </c>
      <c r="E387" t="s">
        <v>2570</v>
      </c>
      <c r="F387">
        <v>6</v>
      </c>
      <c r="G387" s="1" t="s">
        <v>360</v>
      </c>
      <c r="H387" s="16" t="s">
        <v>3019</v>
      </c>
      <c r="I387" s="18"/>
      <c r="J387" t="str">
        <f>IF(LEN(VLOOKUP(表1[[#This Row],[id]],数据引用!A:C,3,FALSE))&gt;0,VLOOKUP(表1[[#This Row],[id]],数据引用!A:C,3,FALSE),"")</f>
        <v>和平指环</v>
      </c>
      <c r="K387" t="s">
        <v>1199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font-size:12;"&gt;和平指环&lt;/text&gt;&lt;text transform="matrix(1 0 0 1 0 10.3205)" style="fill:#FFFFFF; font-family:'FZXS12--GB1-0'; font-size:12;"&gt;和平指环&lt;/text&gt;&lt;/svg&gt;</v>
      </c>
      <c r="P387" s="5"/>
    </row>
    <row r="388" spans="1:16" ht="14.25" customHeight="1">
      <c r="A388">
        <v>396</v>
      </c>
      <c r="B388">
        <v>0</v>
      </c>
      <c r="C388">
        <v>0</v>
      </c>
      <c r="E388" t="s">
        <v>2570</v>
      </c>
      <c r="F388">
        <v>6</v>
      </c>
      <c r="G388" s="1" t="s">
        <v>361</v>
      </c>
      <c r="H388" s="16" t="s">
        <v>3020</v>
      </c>
      <c r="I388" s="18"/>
      <c r="J388" t="str">
        <f>IF(LEN(VLOOKUP(表1[[#This Row],[id]],数据引用!A:C,3,FALSE))&gt;0,VLOOKUP(表1[[#This Row],[id]],数据引用!A:C,3,FALSE),"")</f>
        <v>魔力指环</v>
      </c>
      <c r="K388" t="s">
        <v>1199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font-size:12;"&gt;魔力指环&lt;/text&gt;&lt;text transform="matrix(1 0 0 1 0 10.3205)" style="fill:#FFFFFF; font-family:'FZXS12--GB1-0'; font-size:12;"&gt;魔力指环&lt;/text&gt;&lt;/svg&gt;</v>
      </c>
      <c r="P388" s="5"/>
    </row>
    <row r="389" spans="1:16" ht="14.25" customHeight="1">
      <c r="A389">
        <v>397</v>
      </c>
      <c r="B389">
        <v>0</v>
      </c>
      <c r="C389">
        <v>0</v>
      </c>
      <c r="E389" t="s">
        <v>2570</v>
      </c>
      <c r="F389">
        <v>6</v>
      </c>
      <c r="G389" s="1" t="s">
        <v>362</v>
      </c>
      <c r="H389" s="16" t="s">
        <v>3021</v>
      </c>
      <c r="I389" s="18"/>
      <c r="J389" t="str">
        <f>IF(LEN(VLOOKUP(表1[[#This Row],[id]],数据引用!A:C,3,FALSE))&gt;0,VLOOKUP(表1[[#This Row],[id]],数据引用!A:C,3,FALSE),"")</f>
        <v>暗影指环</v>
      </c>
      <c r="K389" t="s">
        <v>1199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font-size:12;"&gt;暗影指环&lt;/text&gt;&lt;text transform="matrix(1 0 0 1 0 10.3205)" style="fill:#FFFFFF; font-family:'FZXS12--GB1-0'; font-size:12;"&gt;暗影指环&lt;/text&gt;&lt;/svg&gt;</v>
      </c>
      <c r="P389" s="5"/>
    </row>
    <row r="390" spans="1:16" ht="14.25" customHeight="1">
      <c r="A390">
        <v>398</v>
      </c>
      <c r="B390">
        <v>0</v>
      </c>
      <c r="C390">
        <v>0</v>
      </c>
      <c r="E390" t="s">
        <v>2570</v>
      </c>
      <c r="F390">
        <v>6</v>
      </c>
      <c r="G390" s="1" t="s">
        <v>363</v>
      </c>
      <c r="H390" s="16" t="s">
        <v>3022</v>
      </c>
      <c r="I390" s="18"/>
      <c r="J390" t="str">
        <f>IF(LEN(VLOOKUP(表1[[#This Row],[id]],数据引用!A:C,3,FALSE))&gt;0,VLOOKUP(表1[[#This Row],[id]],数据引用!A:C,3,FALSE),"")</f>
        <v>力量指环</v>
      </c>
      <c r="K390" t="s">
        <v>1199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font-size:12;"&gt;力量指环&lt;/text&gt;&lt;text transform="matrix(1 0 0 1 0 10.3205)" style="fill:#FFFFFF; font-family:'FZXS12--GB1-0'; font-size:12;"&gt;力量指环&lt;/text&gt;&lt;/svg&gt;</v>
      </c>
      <c r="P390" s="5"/>
    </row>
    <row r="391" spans="1:16" ht="14.25" customHeight="1">
      <c r="A391">
        <v>399</v>
      </c>
      <c r="B391">
        <v>0</v>
      </c>
      <c r="C391">
        <v>0</v>
      </c>
      <c r="E391" t="s">
        <v>2570</v>
      </c>
      <c r="F391">
        <v>6</v>
      </c>
      <c r="G391" s="1" t="s">
        <v>364</v>
      </c>
      <c r="H391" s="16" t="s">
        <v>3023</v>
      </c>
      <c r="I391" s="18"/>
      <c r="J391" t="str">
        <f>IF(LEN(VLOOKUP(表1[[#This Row],[id]],数据引用!A:C,3,FALSE))&gt;0,VLOOKUP(表1[[#This Row],[id]],数据引用!A:C,3,FALSE),"")</f>
        <v>魅力指环</v>
      </c>
      <c r="K391" t="s">
        <v>1199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font-size:12;"&gt;魅力指环&lt;/text&gt;&lt;text transform="matrix(1 0 0 1 0 10.3205)" style="fill:#FFFFFF; font-family:'FZXS12--GB1-0'; font-size:12;"&gt;魅力指环&lt;/text&gt;&lt;/svg&gt;</v>
      </c>
      <c r="P391" s="5"/>
    </row>
    <row r="392" spans="1:16" ht="14.25" customHeight="1">
      <c r="A392">
        <v>400</v>
      </c>
      <c r="B392">
        <v>0</v>
      </c>
      <c r="C392">
        <v>0</v>
      </c>
      <c r="E392" t="s">
        <v>2570</v>
      </c>
      <c r="F392">
        <v>6</v>
      </c>
      <c r="G392" s="1" t="s">
        <v>365</v>
      </c>
      <c r="H392" s="16" t="s">
        <v>3024</v>
      </c>
      <c r="I392" s="18"/>
      <c r="J392" t="str">
        <f>IF(LEN(VLOOKUP(表1[[#This Row],[id]],数据引用!A:C,3,FALSE))&gt;0,VLOOKUP(表1[[#This Row],[id]],数据引用!A:C,3,FALSE),"")</f>
        <v>幸运指环</v>
      </c>
      <c r="K392" t="s">
        <v>1199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font-size:12;"&gt;幸运指环&lt;/text&gt;&lt;text transform="matrix(1 0 0 1 0 10.3205)" style="fill:#FFFFFF; font-family:'FZXS12--GB1-0'; font-size:12;"&gt;幸运指环&lt;/text&gt;&lt;/svg&gt;</v>
      </c>
      <c r="P392" s="5"/>
    </row>
    <row r="393" spans="1:16" ht="14.25" customHeight="1">
      <c r="A393">
        <v>401</v>
      </c>
      <c r="B393">
        <v>0</v>
      </c>
      <c r="C393">
        <v>0</v>
      </c>
      <c r="E393" t="s">
        <v>2570</v>
      </c>
      <c r="F393">
        <v>6</v>
      </c>
      <c r="G393" s="1" t="s">
        <v>366</v>
      </c>
      <c r="H393" s="16" t="s">
        <v>3025</v>
      </c>
      <c r="I393" s="18"/>
      <c r="J393" t="str">
        <f>IF(LEN(VLOOKUP(表1[[#This Row],[id]],数据引用!A:C,3,FALSE))&gt;0,VLOOKUP(表1[[#This Row],[id]],数据引用!A:C,3,FALSE),"")</f>
        <v>黄金指环</v>
      </c>
      <c r="K393" t="s">
        <v>1199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font-size:12;"&gt;黄金指环&lt;/text&gt;&lt;text transform="matrix(1 0 0 1 0 10.3205)" style="fill:#FFFFFF; font-family:'FZXS12--GB1-0'; font-size:12;"&gt;黄金指环&lt;/text&gt;&lt;/svg&gt;</v>
      </c>
      <c r="P393" s="5"/>
    </row>
    <row r="394" spans="1:16" ht="14.25" customHeight="1">
      <c r="A394">
        <v>402</v>
      </c>
      <c r="B394">
        <v>0</v>
      </c>
      <c r="C394">
        <v>0</v>
      </c>
      <c r="E394" t="s">
        <v>2570</v>
      </c>
      <c r="F394">
        <v>6</v>
      </c>
      <c r="G394" s="1" t="s">
        <v>367</v>
      </c>
      <c r="H394" s="16" t="s">
        <v>3026</v>
      </c>
      <c r="I394" s="18"/>
      <c r="J394" t="str">
        <f>IF(LEN(VLOOKUP(表1[[#This Row],[id]],数据引用!A:C,3,FALSE))&gt;0,VLOOKUP(表1[[#This Row],[id]],数据引用!A:C,3,FALSE),"")</f>
        <v>相位指环</v>
      </c>
      <c r="K394" t="s">
        <v>1199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font-size:12;"&gt;相位指环&lt;/text&gt;&lt;text transform="matrix(1 0 0 1 0 10.3205)" style="fill:#FFFFFF; font-family:'FZXS12--GB1-0'; font-size:12;"&gt;相位指环&lt;/text&gt;&lt;/svg&gt;</v>
      </c>
      <c r="P394" s="5"/>
    </row>
    <row r="395" spans="1:16" ht="14.25" customHeight="1">
      <c r="A395">
        <v>403</v>
      </c>
      <c r="B395">
        <v>0</v>
      </c>
      <c r="C395">
        <v>0</v>
      </c>
      <c r="E395" t="s">
        <v>2570</v>
      </c>
      <c r="F395">
        <v>6</v>
      </c>
      <c r="G395" s="1" t="s">
        <v>368</v>
      </c>
      <c r="H395" s="16" t="s">
        <v>3027</v>
      </c>
      <c r="I395" s="18"/>
      <c r="J395" t="str">
        <f>IF(LEN(VLOOKUP(表1[[#This Row],[id]],数据引用!A:C,3,FALSE))&gt;0,VLOOKUP(表1[[#This Row],[id]],数据引用!A:C,3,FALSE),"")</f>
        <v>回复指环</v>
      </c>
      <c r="K395" t="s">
        <v>1199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font-size:12;"&gt;回复指环&lt;/text&gt;&lt;text transform="matrix(1 0 0 1 0 10.3205)" style="fill:#FFFFFF; font-family:'FZXS12--GB1-0'; font-size:12;"&gt;回复指环&lt;/text&gt;&lt;/svg&gt;</v>
      </c>
      <c r="P395" s="5"/>
    </row>
    <row r="396" spans="1:16" ht="14.25" customHeight="1">
      <c r="A396">
        <v>404</v>
      </c>
      <c r="B396">
        <v>0</v>
      </c>
      <c r="C396">
        <v>0</v>
      </c>
      <c r="E396" t="s">
        <v>2570</v>
      </c>
      <c r="F396">
        <v>6</v>
      </c>
      <c r="G396" s="1" t="s">
        <v>369</v>
      </c>
      <c r="H396" s="16" t="s">
        <v>3028</v>
      </c>
      <c r="I396" s="18"/>
      <c r="J396" t="str">
        <f>IF(LEN(VLOOKUP(表1[[#This Row],[id]],数据引用!A:C,3,FALSE))&gt;0,VLOOKUP(表1[[#This Row],[id]],数据引用!A:C,3,FALSE),"")</f>
        <v>保护指环</v>
      </c>
      <c r="K396" t="s">
        <v>1199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font-size:12;"&gt;保护指环&lt;/text&gt;&lt;text transform="matrix(1 0 0 1 0 10.3205)" style="fill:#FFFFFF; font-family:'FZXS12--GB1-0'; font-size:12;"&gt;保护指环&lt;/text&gt;&lt;/svg&gt;</v>
      </c>
      <c r="P396" s="5"/>
    </row>
    <row r="397" spans="1:16" ht="14.25" customHeight="1">
      <c r="A397">
        <v>405</v>
      </c>
      <c r="B397">
        <v>0</v>
      </c>
      <c r="C397">
        <v>0</v>
      </c>
      <c r="E397" t="s">
        <v>2570</v>
      </c>
      <c r="F397">
        <v>6</v>
      </c>
      <c r="G397" s="1" t="s">
        <v>370</v>
      </c>
      <c r="H397" s="16" t="s">
        <v>3029</v>
      </c>
      <c r="I397" s="18"/>
      <c r="J397" t="str">
        <f>IF(LEN(VLOOKUP(表1[[#This Row],[id]],数据引用!A:C,3,FALSE))&gt;0,VLOOKUP(表1[[#This Row],[id]],数据引用!A:C,3,FALSE),"")</f>
        <v>护盾指环</v>
      </c>
      <c r="K397" t="s">
        <v>1199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font-size:12;"&gt;护盾指环&lt;/text&gt;&lt;text transform="matrix(1 0 0 1 0 10.3205)" style="fill:#FFFFFF; font-family:'FZXS12--GB1-0'; font-size:12;"&gt;护盾指环&lt;/text&gt;&lt;/svg&gt;</v>
      </c>
      <c r="P397" s="5"/>
    </row>
    <row r="398" spans="1:16" ht="14.25" customHeight="1">
      <c r="A398">
        <v>406</v>
      </c>
      <c r="B398">
        <v>0</v>
      </c>
      <c r="C398">
        <v>0</v>
      </c>
      <c r="E398" t="s">
        <v>2570</v>
      </c>
      <c r="F398">
        <v>6</v>
      </c>
      <c r="G398" s="1" t="s">
        <v>371</v>
      </c>
      <c r="H398" s="16" t="s">
        <v>3030</v>
      </c>
      <c r="I398" s="18"/>
      <c r="J398" t="str">
        <f>IF(LEN(VLOOKUP(表1[[#This Row],[id]],数据引用!A:C,3,FALSE))&gt;0,VLOOKUP(表1[[#This Row],[id]],数据引用!A:C,3,FALSE),"")</f>
        <v>转换指环</v>
      </c>
      <c r="K398" t="s">
        <v>1199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font-size:12;"&gt;转换指环&lt;/text&gt;&lt;text transform="matrix(1 0 0 1 0 10.3205)" style="fill:#FFFFFF; font-family:'FZXS12--GB1-0'; font-size:12;"&gt;转换指环&lt;/text&gt;&lt;/svg&gt;</v>
      </c>
      <c r="P398" s="5"/>
    </row>
    <row r="399" spans="1:16" ht="14.25" customHeight="1">
      <c r="A399">
        <v>407</v>
      </c>
      <c r="B399">
        <v>0</v>
      </c>
      <c r="C399">
        <v>0</v>
      </c>
      <c r="E399" t="s">
        <v>2570</v>
      </c>
      <c r="F399">
        <v>6</v>
      </c>
      <c r="G399" s="1" t="s">
        <v>372</v>
      </c>
      <c r="H399" s="16" t="s">
        <v>3031</v>
      </c>
      <c r="I399" s="18"/>
      <c r="J399" t="str">
        <f>IF(LEN(VLOOKUP(表1[[#This Row],[id]],数据引用!A:C,3,FALSE))&gt;0,VLOOKUP(表1[[#This Row],[id]],数据引用!A:C,3,FALSE),"")</f>
        <v>奇迹指环</v>
      </c>
      <c r="K399" t="s">
        <v>1199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font-size:12;"&gt;奇迹指环&lt;/text&gt;&lt;text transform="matrix(1 0 0 1 0 10.3205)" style="fill:#FFFFFF; font-family:'FZXS12--GB1-0'; font-size:12;"&gt;奇迹指环&lt;/text&gt;&lt;/svg&gt;</v>
      </c>
      <c r="P399" s="5"/>
    </row>
    <row r="400" spans="1:16" ht="14.25" customHeight="1">
      <c r="A400">
        <v>408</v>
      </c>
      <c r="B400">
        <v>0</v>
      </c>
      <c r="C400">
        <v>0</v>
      </c>
      <c r="E400" t="s">
        <v>2570</v>
      </c>
      <c r="F400">
        <v>6</v>
      </c>
      <c r="G400" s="1" t="s">
        <v>373</v>
      </c>
      <c r="H400" s="16" t="s">
        <v>3032</v>
      </c>
      <c r="I400" s="18"/>
      <c r="J400" t="str">
        <f>IF(LEN(VLOOKUP(表1[[#This Row],[id]],数据引用!A:C,3,FALSE))&gt;0,VLOOKUP(表1[[#This Row],[id]],数据引用!A:C,3,FALSE),"")</f>
        <v>地震卷轴</v>
      </c>
      <c r="K400" t="s">
        <v>1199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font-size:12;"&gt;地震卷轴&lt;/text&gt;&lt;text transform="matrix(1 0 0 1 0 10.3205)" style="fill:#FFFFFF; font-family:'FZXS12--GB1-0'; font-size:12;"&gt;地震卷轴&lt;/text&gt;&lt;/svg&gt;</v>
      </c>
      <c r="P400" s="5"/>
    </row>
    <row r="401" spans="1:16" ht="14.25" customHeight="1">
      <c r="A401">
        <v>409</v>
      </c>
      <c r="B401">
        <v>0</v>
      </c>
      <c r="C401">
        <v>0</v>
      </c>
      <c r="E401" t="s">
        <v>2570</v>
      </c>
      <c r="F401">
        <v>6</v>
      </c>
      <c r="G401" s="1" t="s">
        <v>374</v>
      </c>
      <c r="H401" s="16" t="s">
        <v>3033</v>
      </c>
      <c r="I401" s="18"/>
      <c r="J401" t="str">
        <f>IF(LEN(VLOOKUP(表1[[#This Row],[id]],数据引用!A:C,3,FALSE))&gt;0,VLOOKUP(表1[[#This Row],[id]],数据引用!A:C,3,FALSE),"")</f>
        <v>恐惧卷轴</v>
      </c>
      <c r="K401" t="s">
        <v>1199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font-size:12;"&gt;恐惧卷轴&lt;/text&gt;&lt;text transform="matrix(1 0 0 1 0 10.3205)" style="fill:#FFFFFF; font-family:'FZXS12--GB1-0'; font-size:12;"&gt;恐惧卷轴&lt;/text&gt;&lt;/svg&gt;</v>
      </c>
      <c r="P401" s="5"/>
    </row>
    <row r="402" spans="1:16" ht="14.25" customHeight="1">
      <c r="A402">
        <v>410</v>
      </c>
      <c r="B402">
        <v>0</v>
      </c>
      <c r="C402">
        <v>0</v>
      </c>
      <c r="E402" t="s">
        <v>2570</v>
      </c>
      <c r="F402">
        <v>6</v>
      </c>
      <c r="G402" s="1" t="s">
        <v>375</v>
      </c>
      <c r="H402" s="16" t="s">
        <v>3034</v>
      </c>
      <c r="I402" s="18"/>
      <c r="J402" t="str">
        <f>IF(LEN(VLOOKUP(表1[[#This Row],[id]],数据引用!A:C,3,FALSE))&gt;0,VLOOKUP(表1[[#This Row],[id]],数据引用!A:C,3,FALSE),"")</f>
        <v>火球卷轴</v>
      </c>
      <c r="K402" t="s">
        <v>1199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font-size:12;"&gt;火球卷轴&lt;/text&gt;&lt;text transform="matrix(1 0 0 1 0 10.3205)" style="fill:#FFFFFF; font-family:'FZXS12--GB1-0'; font-size:12;"&gt;火球卷轴&lt;/text&gt;&lt;/svg&gt;</v>
      </c>
      <c r="P402" s="5"/>
    </row>
    <row r="403" spans="1:16" ht="14.25" customHeight="1">
      <c r="A403">
        <v>411</v>
      </c>
      <c r="B403">
        <v>0</v>
      </c>
      <c r="C403">
        <v>0</v>
      </c>
      <c r="E403" t="s">
        <v>2570</v>
      </c>
      <c r="F403">
        <v>6</v>
      </c>
      <c r="G403" s="1" t="s">
        <v>376</v>
      </c>
      <c r="H403" s="16" t="s">
        <v>3035</v>
      </c>
      <c r="I403" s="18"/>
      <c r="J403" t="str">
        <f>IF(LEN(VLOOKUP(表1[[#This Row],[id]],数据引用!A:C,3,FALSE))&gt;0,VLOOKUP(表1[[#This Row],[id]],数据引用!A:C,3,FALSE),"")</f>
        <v>冰冻卷轴</v>
      </c>
      <c r="K403" t="s">
        <v>1199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font-size:12;"&gt;冰冻卷轴&lt;/text&gt;&lt;text transform="matrix(1 0 0 1 0 10.3205)" style="fill:#FFFFFF; font-family:'FZXS12--GB1-0'; font-size:12;"&gt;冰冻卷轴&lt;/text&gt;&lt;/svg&gt;</v>
      </c>
      <c r="P403" s="5"/>
    </row>
    <row r="404" spans="1:16" ht="14.25" customHeight="1">
      <c r="A404">
        <v>412</v>
      </c>
      <c r="B404">
        <v>0</v>
      </c>
      <c r="C404">
        <v>0</v>
      </c>
      <c r="E404" t="s">
        <v>2570</v>
      </c>
      <c r="F404">
        <v>6</v>
      </c>
      <c r="G404" s="1" t="s">
        <v>377</v>
      </c>
      <c r="H404" s="16" t="s">
        <v>3036</v>
      </c>
      <c r="I404" s="18"/>
      <c r="J404" t="str">
        <f>IF(LEN(VLOOKUP(表1[[#This Row],[id]],数据引用!A:C,3,FALSE))&gt;0,VLOOKUP(表1[[#This Row],[id]],数据引用!A:C,3,FALSE),"")</f>
        <v>巨人卷轴</v>
      </c>
      <c r="K404" t="s">
        <v>1199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font-size:12;"&gt;巨人卷轴&lt;/text&gt;&lt;text transform="matrix(1 0 0 1 0 10.3205)" style="fill:#FFFFFF; font-family:'FZXS12--GB1-0'; font-size:12;"&gt;巨人卷轴&lt;/text&gt;&lt;/svg&gt;</v>
      </c>
      <c r="P404" s="5"/>
    </row>
    <row r="405" spans="1:16" ht="14.25" customHeight="1">
      <c r="A405">
        <v>413</v>
      </c>
      <c r="B405">
        <v>0</v>
      </c>
      <c r="C405">
        <v>0</v>
      </c>
      <c r="E405" t="s">
        <v>2570</v>
      </c>
      <c r="F405">
        <v>6</v>
      </c>
      <c r="G405" s="1" t="s">
        <v>378</v>
      </c>
      <c r="H405" s="16" t="s">
        <v>3037</v>
      </c>
      <c r="I405" s="18"/>
      <c r="J405" t="str">
        <f>IF(LEN(VLOOKUP(表1[[#This Row],[id]],数据引用!A:C,3,FALSE))&gt;0,VLOOKUP(表1[[#This Row],[id]],数据引用!A:C,3,FALSE),"")</f>
        <v>财富卷轴</v>
      </c>
      <c r="K405" t="s">
        <v>1199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font-size:12;"&gt;财富卷轴&lt;/text&gt;&lt;text transform="matrix(1 0 0 1 0 10.3205)" style="fill:#FFFFFF; font-family:'FZXS12--GB1-0'; font-size:12;"&gt;财富卷轴&lt;/text&gt;&lt;/svg&gt;</v>
      </c>
      <c r="P405" s="5"/>
    </row>
    <row r="406" spans="1:16" ht="14.25" customHeight="1">
      <c r="A406">
        <v>414</v>
      </c>
      <c r="B406">
        <v>0</v>
      </c>
      <c r="C406">
        <v>0</v>
      </c>
      <c r="E406" t="s">
        <v>2570</v>
      </c>
      <c r="F406">
        <v>6</v>
      </c>
      <c r="G406" s="1" t="s">
        <v>379</v>
      </c>
      <c r="H406" s="16" t="s">
        <v>3038</v>
      </c>
      <c r="I406" s="18"/>
      <c r="J406" t="str">
        <f>IF(LEN(VLOOKUP(表1[[#This Row],[id]],数据引用!A:C,3,FALSE))&gt;0,VLOOKUP(表1[[#This Row],[id]],数据引用!A:C,3,FALSE),"")</f>
        <v>护盾卷轴</v>
      </c>
      <c r="K406" t="s">
        <v>1199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font-size:12;"&gt;护盾卷轴&lt;/text&gt;&lt;text transform="matrix(1 0 0 1 0 10.3205)" style="fill:#FFFFFF; font-family:'FZXS12--GB1-0'; font-size:12;"&gt;护盾卷轴&lt;/text&gt;&lt;/svg&gt;</v>
      </c>
      <c r="P406" s="5"/>
    </row>
    <row r="407" spans="1:16" ht="14.25" customHeight="1">
      <c r="A407">
        <v>415</v>
      </c>
      <c r="B407">
        <v>0</v>
      </c>
      <c r="C407">
        <v>0</v>
      </c>
      <c r="E407" t="s">
        <v>2570</v>
      </c>
      <c r="F407">
        <v>6</v>
      </c>
      <c r="G407" s="1" t="s">
        <v>380</v>
      </c>
      <c r="H407" s="16" t="s">
        <v>3039</v>
      </c>
      <c r="I407" s="18"/>
      <c r="J407" t="str">
        <f>IF(LEN(VLOOKUP(表1[[#This Row],[id]],数据引用!A:C,3,FALSE))&gt;0,VLOOKUP(表1[[#This Row],[id]],数据引用!A:C,3,FALSE),"")</f>
        <v>武器附魔卷轴</v>
      </c>
      <c r="K407" t="s">
        <v>1199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font-size:12;"&gt;武器附魔卷轴&lt;/text&gt;&lt;text transform="matrix(1 0 0 1 0 10.3205)" style="fill:#FFFFFF; font-family:'FZXS12--GB1-0'; font-size:12;"&gt;武器附魔卷轴&lt;/text&gt;&lt;/svg&gt;</v>
      </c>
      <c r="P407" s="5"/>
    </row>
    <row r="408" spans="1:16" ht="14.25" customHeight="1">
      <c r="A408">
        <v>416</v>
      </c>
      <c r="B408">
        <v>0</v>
      </c>
      <c r="C408">
        <v>0</v>
      </c>
      <c r="E408" t="s">
        <v>2570</v>
      </c>
      <c r="F408">
        <v>6</v>
      </c>
      <c r="G408" s="1" t="s">
        <v>381</v>
      </c>
      <c r="H408" s="16" t="s">
        <v>3040</v>
      </c>
      <c r="I408" s="18"/>
      <c r="J408" t="str">
        <f>IF(LEN(VLOOKUP(表1[[#This Row],[id]],数据引用!A:C,3,FALSE))&gt;0,VLOOKUP(表1[[#This Row],[id]],数据引用!A:C,3,FALSE),"")</f>
        <v>需求卷轴</v>
      </c>
      <c r="K408" t="s">
        <v>1199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font-size:12;"&gt;需求卷轴&lt;/text&gt;&lt;text transform="matrix(1 0 0 1 0 10.3205)" style="fill:#FFFFFF; font-family:'FZXS12--GB1-0'; font-size:12;"&gt;需求卷轴&lt;/text&gt;&lt;/svg&gt;</v>
      </c>
      <c r="P408" s="5"/>
    </row>
    <row r="409" spans="1:16" ht="14.25" customHeight="1">
      <c r="A409">
        <v>417</v>
      </c>
      <c r="B409">
        <v>0</v>
      </c>
      <c r="C409">
        <v>0</v>
      </c>
      <c r="E409" t="s">
        <v>2570</v>
      </c>
      <c r="F409">
        <v>6</v>
      </c>
      <c r="G409" s="1" t="s">
        <v>382</v>
      </c>
      <c r="H409" s="16" t="s">
        <v>3041</v>
      </c>
      <c r="I409" s="18"/>
      <c r="J409" t="str">
        <f>IF(LEN(VLOOKUP(表1[[#This Row],[id]],数据引用!A:C,3,FALSE))&gt;0,VLOOKUP(表1[[#This Row],[id]],数据引用!A:C,3,FALSE),"")</f>
        <v>转化卷轴</v>
      </c>
      <c r="K409" t="s">
        <v>1199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font-size:12;"&gt;转化卷轴&lt;/text&gt;&lt;text transform="matrix(1 0 0 1 0 10.3205)" style="fill:#FFFFFF; font-family:'FZXS12--GB1-0'; font-size:12;"&gt;转化卷轴&lt;/text&gt;&lt;/svg&gt;</v>
      </c>
      <c r="P409" s="5"/>
    </row>
    <row r="410" spans="1:16" ht="14.25" customHeight="1">
      <c r="A410">
        <v>418</v>
      </c>
      <c r="B410">
        <v>0</v>
      </c>
      <c r="C410">
        <v>0</v>
      </c>
      <c r="E410" t="s">
        <v>2570</v>
      </c>
      <c r="F410">
        <v>6</v>
      </c>
      <c r="G410" s="1" t="s">
        <v>383</v>
      </c>
      <c r="H410" s="16" t="s">
        <v>3042</v>
      </c>
      <c r="I410" s="18"/>
      <c r="J410" t="str">
        <f>IF(LEN(VLOOKUP(表1[[#This Row],[id]],数据引用!A:C,3,FALSE))&gt;0,VLOOKUP(表1[[#This Row],[id]],数据引用!A:C,3,FALSE),"")</f>
        <v>水晶铲</v>
      </c>
      <c r="K410" t="s">
        <v>1199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font-size:12;"&gt;水晶铲&lt;/text&gt;&lt;text transform="matrix(1 0 0 1 0 10.3205)" style="fill:#FFFFFF; font-family:'FZXS12--GB1-0'; font-size:12;"&gt;水晶铲&lt;/text&gt;&lt;/svg&gt;</v>
      </c>
      <c r="P410" s="5"/>
    </row>
    <row r="411" spans="1:16" ht="14.25" customHeight="1">
      <c r="A411">
        <v>419</v>
      </c>
      <c r="B411">
        <v>0</v>
      </c>
      <c r="C411">
        <v>0</v>
      </c>
      <c r="E411" t="s">
        <v>2570</v>
      </c>
      <c r="F411">
        <v>6</v>
      </c>
      <c r="G411" s="1" t="s">
        <v>384</v>
      </c>
      <c r="H411" s="16" t="s">
        <v>3043</v>
      </c>
      <c r="I411" s="18"/>
      <c r="J411" t="str">
        <f>IF(LEN(VLOOKUP(表1[[#This Row],[id]],数据引用!A:C,3,FALSE))&gt;0,VLOOKUP(表1[[#This Row],[id]],数据引用!A:C,3,FALSE),"")</f>
        <v>钛金铲</v>
      </c>
      <c r="K411" t="s">
        <v>1199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font-size:12;"&gt;钛金铲&lt;/text&gt;&lt;text transform="matrix(1 0 0 1 0 10.3205)" style="fill:#FFFFFF; font-family:'FZXS12--GB1-0'; font-size:12;"&gt;钛金铲&lt;/text&gt;&lt;/svg&gt;</v>
      </c>
      <c r="P411" s="5"/>
    </row>
    <row r="412" spans="1:16" ht="14.25" customHeight="1">
      <c r="A412">
        <v>420</v>
      </c>
      <c r="B412">
        <v>0</v>
      </c>
      <c r="C412">
        <v>0</v>
      </c>
      <c r="E412" t="s">
        <v>2570</v>
      </c>
      <c r="F412">
        <v>6</v>
      </c>
      <c r="G412" s="1" t="s">
        <v>385</v>
      </c>
      <c r="H412" s="16" t="s">
        <v>3044</v>
      </c>
      <c r="I412" s="18"/>
      <c r="J412" t="str">
        <f>IF(LEN(VLOOKUP(表1[[#This Row],[id]],数据引用!A:C,3,FALSE))&gt;0,VLOOKUP(表1[[#This Row],[id]],数据引用!A:C,3,FALSE),"")</f>
        <v>血铲</v>
      </c>
      <c r="K412" t="s">
        <v>1199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412" s="5"/>
    </row>
    <row r="413" spans="1:16" ht="14.25" customHeight="1">
      <c r="A413">
        <v>421</v>
      </c>
      <c r="B413">
        <v>0</v>
      </c>
      <c r="C413">
        <v>0</v>
      </c>
      <c r="E413" t="s">
        <v>2570</v>
      </c>
      <c r="F413">
        <v>6</v>
      </c>
      <c r="G413" s="1" t="s">
        <v>386</v>
      </c>
      <c r="H413" s="16" t="s">
        <v>3045</v>
      </c>
      <c r="I413" s="18"/>
      <c r="J413" t="str">
        <f>IF(LEN(VLOOKUP(表1[[#This Row],[id]],数据引用!A:C,3,FALSE))&gt;0,VLOOKUP(表1[[#This Row],[id]],数据引用!A:C,3,FALSE),"")</f>
        <v>黑曜石铲</v>
      </c>
      <c r="K413" t="s">
        <v>1199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font-size:12;"&gt;黑曜石铲&lt;/text&gt;&lt;text transform="matrix(1 0 0 1 0 10.3205)" style="fill:#FFFFFF; font-family:'FZXS12--GB1-0'; font-size:12;"&gt;黑曜石铲&lt;/text&gt;&lt;/svg&gt;</v>
      </c>
      <c r="P413" s="5"/>
    </row>
    <row r="414" spans="1:16" ht="14.25" customHeight="1">
      <c r="A414">
        <v>422</v>
      </c>
      <c r="B414">
        <v>0</v>
      </c>
      <c r="C414">
        <v>0</v>
      </c>
      <c r="E414" t="s">
        <v>2570</v>
      </c>
      <c r="F414">
        <v>6</v>
      </c>
      <c r="G414" s="1" t="s">
        <v>387</v>
      </c>
      <c r="H414" s="16" t="s">
        <v>3046</v>
      </c>
      <c r="I414" s="18"/>
      <c r="J414" t="str">
        <f>IF(LEN(VLOOKUP(表1[[#This Row],[id]],数据引用!A:C,3,FALSE))&gt;0,VLOOKUP(表1[[#This Row],[id]],数据引用!A:C,3,FALSE),"")</f>
        <v>玻璃铲</v>
      </c>
      <c r="K414" t="s">
        <v>1199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font-size:12;"&gt;玻璃铲&lt;/text&gt;&lt;text transform="matrix(1 0 0 1 0 10.3205)" style="fill:#FFFFFF; font-family:'FZXS12--GB1-0'; font-size:12;"&gt;玻璃铲&lt;/text&gt;&lt;/svg&gt;</v>
      </c>
      <c r="P414" s="5"/>
    </row>
    <row r="415" spans="1:16" ht="14.25" customHeight="1">
      <c r="A415">
        <v>423</v>
      </c>
      <c r="B415">
        <v>0</v>
      </c>
      <c r="C415">
        <v>0</v>
      </c>
      <c r="E415" t="s">
        <v>2570</v>
      </c>
      <c r="F415">
        <v>6</v>
      </c>
      <c r="G415" s="1" t="s">
        <v>388</v>
      </c>
      <c r="H415" s="16" t="s">
        <v>3047</v>
      </c>
      <c r="I415" s="18"/>
      <c r="J415" t="str">
        <f>IF(LEN(VLOOKUP(表1[[#This Row],[id]],数据引用!A:C,3,FALSE))&gt;0,VLOOKUP(表1[[#This Row],[id]],数据引用!A:C,3,FALSE),"")</f>
        <v>玻璃碎片</v>
      </c>
      <c r="K415" t="s">
        <v>1199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15" s="5"/>
    </row>
    <row r="416" spans="1:16" ht="14.25" customHeight="1">
      <c r="A416">
        <v>424</v>
      </c>
      <c r="B416">
        <v>0</v>
      </c>
      <c r="C416">
        <v>0</v>
      </c>
      <c r="E416" t="s">
        <v>2570</v>
      </c>
      <c r="F416">
        <v>6</v>
      </c>
      <c r="G416" s="1" t="s">
        <v>389</v>
      </c>
      <c r="H416" s="16" t="s">
        <v>3048</v>
      </c>
      <c r="I416" s="18"/>
      <c r="J416" t="str">
        <f>IF(LEN(VLOOKUP(表1[[#This Row],[id]],数据引用!A:C,3,FALSE))&gt;0,VLOOKUP(表1[[#This Row],[id]],数据引用!A:C,3,FALSE),"")</f>
        <v>铲子</v>
      </c>
      <c r="K416" t="s">
        <v>1199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font-size:12;"&gt;铲子&lt;/text&gt;&lt;text transform="matrix(1 0 0 1 0 10.3205)" style="fill:#FFFFFF; font-family:'FZXS12--GB1-0'; font-size:12;"&gt;铲子&lt;/text&gt;&lt;/svg&gt;</v>
      </c>
      <c r="P416" s="5"/>
    </row>
    <row r="417" spans="1:16" ht="14.25" customHeight="1">
      <c r="A417">
        <v>425</v>
      </c>
      <c r="B417">
        <v>0</v>
      </c>
      <c r="C417">
        <v>0</v>
      </c>
      <c r="E417" t="s">
        <v>2570</v>
      </c>
      <c r="F417">
        <v>6</v>
      </c>
      <c r="G417" s="1" t="s">
        <v>390</v>
      </c>
      <c r="H417" s="16" t="s">
        <v>3049</v>
      </c>
      <c r="I417" s="18"/>
      <c r="J417" t="str">
        <f>IF(LEN(VLOOKUP(表1[[#This Row],[id]],数据引用!A:C,3,FALSE))&gt;0,VLOOKUP(表1[[#This Row],[id]],数据引用!A:C,3,FALSE),"")</f>
        <v>镐</v>
      </c>
      <c r="K417" t="s">
        <v>1199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font-size:12;"&gt;镐&lt;/text&gt;&lt;text transform="matrix(1 0 0 1 0 10.3205)" style="fill:#FFFFFF; font-family:'FZXS12--GB1-0'; font-size:12;"&gt;镐&lt;/text&gt;&lt;/svg&gt;</v>
      </c>
      <c r="P417" s="5"/>
    </row>
    <row r="418" spans="1:16" ht="14.25" customHeight="1">
      <c r="A418">
        <v>426</v>
      </c>
      <c r="B418">
        <v>0</v>
      </c>
      <c r="C418">
        <v>0</v>
      </c>
      <c r="E418" t="s">
        <v>2570</v>
      </c>
      <c r="F418">
        <v>6</v>
      </c>
      <c r="G418" s="1" t="s">
        <v>391</v>
      </c>
      <c r="H418" s="16" t="s">
        <v>3050</v>
      </c>
      <c r="I418" s="18"/>
      <c r="J418" t="str">
        <f>IF(LEN(VLOOKUP(表1[[#This Row],[id]],数据引用!A:C,3,FALSE))&gt;0,VLOOKUP(表1[[#This Row],[id]],数据引用!A:C,3,FALSE),"")</f>
        <v>火球术</v>
      </c>
      <c r="K418" t="s">
        <v>1199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418" s="5"/>
    </row>
    <row r="419" spans="1:16" ht="14.25" customHeight="1">
      <c r="A419">
        <v>427</v>
      </c>
      <c r="B419">
        <v>0</v>
      </c>
      <c r="C419">
        <v>0</v>
      </c>
      <c r="E419" t="s">
        <v>2570</v>
      </c>
      <c r="F419">
        <v>6</v>
      </c>
      <c r="G419" s="1" t="s">
        <v>392</v>
      </c>
      <c r="H419" s="16" t="s">
        <v>3051</v>
      </c>
      <c r="I419" s="18"/>
      <c r="J419" t="str">
        <f>IF(LEN(VLOOKUP(表1[[#This Row],[id]],数据引用!A:C,3,FALSE))&gt;0,VLOOKUP(表1[[#This Row],[id]],数据引用!A:C,3,FALSE),"")</f>
        <v>冰冻术</v>
      </c>
      <c r="K419" t="s">
        <v>1199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P419" s="5"/>
    </row>
    <row r="420" spans="1:16" ht="14.25" customHeight="1">
      <c r="A420">
        <v>428</v>
      </c>
      <c r="B420">
        <v>0</v>
      </c>
      <c r="C420">
        <v>0</v>
      </c>
      <c r="E420" t="s">
        <v>2570</v>
      </c>
      <c r="F420">
        <v>6</v>
      </c>
      <c r="G420" s="1" t="s">
        <v>393</v>
      </c>
      <c r="H420" s="16" t="s">
        <v>3052</v>
      </c>
      <c r="I420" s="18"/>
      <c r="J420" t="str">
        <f>IF(LEN(VLOOKUP(表1[[#This Row],[id]],数据引用!A:C,3,FALSE))&gt;0,VLOOKUP(表1[[#This Row],[id]],数据引用!A:C,3,FALSE),"")</f>
        <v>治疗术</v>
      </c>
      <c r="K420" t="s">
        <v>1199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P420" s="5"/>
    </row>
    <row r="421" spans="1:16" ht="14.25" customHeight="1">
      <c r="A421">
        <v>429</v>
      </c>
      <c r="B421">
        <v>0</v>
      </c>
      <c r="C421">
        <v>0</v>
      </c>
      <c r="E421" t="s">
        <v>2570</v>
      </c>
      <c r="F421">
        <v>6</v>
      </c>
      <c r="G421" s="1" t="s">
        <v>394</v>
      </c>
      <c r="H421" s="16" t="s">
        <v>3053</v>
      </c>
      <c r="I421" s="18"/>
      <c r="J421" t="str">
        <f>IF(LEN(VLOOKUP(表1[[#This Row],[id]],数据引用!A:C,3,FALSE))&gt;0,VLOOKUP(表1[[#This Row],[id]],数据引用!A:C,3,FALSE),"")</f>
        <v>爆破术</v>
      </c>
      <c r="K421" t="s">
        <v>1199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421" s="5"/>
    </row>
    <row r="422" spans="1:16" ht="14.25" customHeight="1">
      <c r="A422">
        <v>430</v>
      </c>
      <c r="B422">
        <v>0</v>
      </c>
      <c r="C422">
        <v>0</v>
      </c>
      <c r="E422" t="s">
        <v>2570</v>
      </c>
      <c r="F422">
        <v>6</v>
      </c>
      <c r="G422" s="1" t="s">
        <v>395</v>
      </c>
      <c r="H422" s="16" t="s">
        <v>3054</v>
      </c>
      <c r="I422" s="18"/>
      <c r="J422" t="str">
        <f>IF(LEN(VLOOKUP(表1[[#This Row],[id]],数据引用!A:C,3,FALSE))&gt;0,VLOOKUP(表1[[#This Row],[id]],数据引用!A:C,3,FALSE),"")</f>
        <v>圣盾术</v>
      </c>
      <c r="K422" t="s">
        <v>1199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P422" s="5"/>
    </row>
    <row r="423" spans="1:16" ht="14.25" customHeight="1">
      <c r="A423">
        <v>431</v>
      </c>
      <c r="B423">
        <v>0</v>
      </c>
      <c r="C423">
        <v>0</v>
      </c>
      <c r="E423" t="s">
        <v>2570</v>
      </c>
      <c r="F423">
        <v>6</v>
      </c>
      <c r="G423" s="1" t="s">
        <v>396</v>
      </c>
      <c r="H423" s="16" t="s">
        <v>3055</v>
      </c>
      <c r="I423" s="18"/>
      <c r="J423" t="str">
        <f>IF(LEN(VLOOKUP(表1[[#This Row],[id]],数据引用!A:C,3,FALSE))&gt;0,VLOOKUP(表1[[#This Row],[id]],数据引用!A:C,3,FALSE),"")</f>
        <v>炼金术</v>
      </c>
      <c r="K423" t="s">
        <v>1199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font-size:12;"&gt;炼金术&lt;/text&gt;&lt;text transform="matrix(1 0 0 1 0 10.3205)" style="fill:#FFFFFF; font-family:'FZXS12--GB1-0'; font-size:12;"&gt;炼金术&lt;/text&gt;&lt;/svg&gt;</v>
      </c>
      <c r="P423" s="5"/>
    </row>
    <row r="424" spans="1:16" ht="14.25" customHeight="1">
      <c r="A424">
        <v>432</v>
      </c>
      <c r="B424">
        <v>0</v>
      </c>
      <c r="C424">
        <v>0</v>
      </c>
      <c r="E424" t="s">
        <v>2570</v>
      </c>
      <c r="F424">
        <v>6</v>
      </c>
      <c r="G424" s="1" t="s">
        <v>397</v>
      </c>
      <c r="H424" s="16" t="s">
        <v>3056</v>
      </c>
      <c r="I424" s="18"/>
      <c r="J424" t="str">
        <f>IF(LEN(VLOOKUP(表1[[#This Row],[id]],数据引用!A:C,3,FALSE))&gt;0,VLOOKUP(表1[[#This Row],[id]],数据引用!A:C,3,FALSE),"")</f>
        <v>诅咒术</v>
      </c>
      <c r="K424" t="s">
        <v>1199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font-size:12;"&gt;诅咒术&lt;/text&gt;&lt;text transform="matrix(1 0 0 1 0 10.3205)" style="fill:#FFFFFF; font-family:'FZXS12--GB1-0'; font-size:12;"&gt;诅咒术&lt;/text&gt;&lt;/svg&gt;</v>
      </c>
      <c r="P424" s="5"/>
    </row>
    <row r="425" spans="1:16" ht="14.25" customHeight="1">
      <c r="A425">
        <v>433</v>
      </c>
      <c r="B425">
        <v>0</v>
      </c>
      <c r="C425">
        <v>0</v>
      </c>
      <c r="E425" t="s">
        <v>2570</v>
      </c>
      <c r="F425">
        <v>6</v>
      </c>
      <c r="G425" s="1" t="s">
        <v>398</v>
      </c>
      <c r="H425" s="16" t="s">
        <v>3057</v>
      </c>
      <c r="I425" s="18"/>
      <c r="J425" t="str">
        <f>IF(LEN(VLOOKUP(表1[[#This Row],[id]],数据引用!A:C,3,FALSE))&gt;0,VLOOKUP(表1[[#This Row],[id]],数据引用!A:C,3,FALSE),"")</f>
        <v>火炬</v>
      </c>
      <c r="K425" t="s">
        <v>1199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font-size:12;"&gt;火炬&lt;/text&gt;&lt;text transform="matrix(1 0 0 1 0 10.3205)" style="fill:#FFFFFF; font-family:'FZXS12--GB1-0'; font-size:12;"&gt;火炬&lt;/text&gt;&lt;/svg&gt;</v>
      </c>
      <c r="P425" s="5"/>
    </row>
    <row r="426" spans="1:16" ht="14.25" customHeight="1">
      <c r="A426">
        <v>434</v>
      </c>
      <c r="B426">
        <v>0</v>
      </c>
      <c r="C426">
        <v>0</v>
      </c>
      <c r="E426" t="s">
        <v>2570</v>
      </c>
      <c r="F426">
        <v>6</v>
      </c>
      <c r="G426" s="1" t="s">
        <v>399</v>
      </c>
      <c r="H426" s="16" t="s">
        <v>3058</v>
      </c>
      <c r="I426" s="18"/>
      <c r="J426" t="str">
        <f>IF(LEN(VLOOKUP(表1[[#This Row],[id]],数据引用!A:C,3,FALSE))&gt;0,VLOOKUP(表1[[#This Row],[id]],数据引用!A:C,3,FALSE),"")</f>
        <v>明亮火炬</v>
      </c>
      <c r="K426" t="s">
        <v>1199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font-size:12;"&gt;明亮火炬&lt;/text&gt;&lt;text transform="matrix(1 0 0 1 0 10.3205)" style="fill:#FFFFFF; font-family:'FZXS12--GB1-0'; font-size:12;"&gt;明亮火炬&lt;/text&gt;&lt;/svg&gt;</v>
      </c>
      <c r="P426" s="5"/>
    </row>
    <row r="427" spans="1:16" ht="14.25" customHeight="1">
      <c r="A427">
        <v>435</v>
      </c>
      <c r="B427">
        <v>0</v>
      </c>
      <c r="C427">
        <v>0</v>
      </c>
      <c r="E427" t="s">
        <v>2570</v>
      </c>
      <c r="F427">
        <v>6</v>
      </c>
      <c r="G427" s="1" t="s">
        <v>400</v>
      </c>
      <c r="H427" s="16" t="s">
        <v>3059</v>
      </c>
      <c r="I427" s="18"/>
      <c r="J427" t="str">
        <f>IF(LEN(VLOOKUP(表1[[#This Row],[id]],数据引用!A:C,3,FALSE))&gt;0,VLOOKUP(表1[[#This Row],[id]],数据引用!A:C,3,FALSE),"")</f>
        <v>辉赫火炬</v>
      </c>
      <c r="K427" t="s">
        <v>1199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font-size:12;"&gt;辉赫火炬&lt;/text&gt;&lt;text transform="matrix(1 0 0 1 0 10.3205)" style="fill:#FFFFFF; font-family:'FZXS12--GB1-0'; font-size:12;"&gt;辉赫火炬&lt;/text&gt;&lt;/svg&gt;</v>
      </c>
      <c r="P427" s="5"/>
    </row>
    <row r="428" spans="1:16" ht="14.25" customHeight="1">
      <c r="A428">
        <v>436</v>
      </c>
      <c r="B428">
        <v>0</v>
      </c>
      <c r="C428">
        <v>0</v>
      </c>
      <c r="E428" t="s">
        <v>2570</v>
      </c>
      <c r="F428">
        <v>6</v>
      </c>
      <c r="G428" s="1" t="s">
        <v>401</v>
      </c>
      <c r="H428" s="16" t="s">
        <v>3060</v>
      </c>
      <c r="I428" s="18"/>
      <c r="J428" t="str">
        <f>IF(LEN(VLOOKUP(表1[[#This Row],[id]],数据引用!A:C,3,FALSE))&gt;0,VLOOKUP(表1[[#This Row],[id]],数据引用!A:C,3,FALSE),"")</f>
        <v>先知火炬</v>
      </c>
      <c r="K428" t="s">
        <v>1199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font-size:12;"&gt;先知火炬&lt;/text&gt;&lt;text transform="matrix(1 0 0 1 0 10.3205)" style="fill:#FFFFFF; font-family:'FZXS12--GB1-0'; font-size:12;"&gt;先知火炬&lt;/text&gt;&lt;/svg&gt;</v>
      </c>
      <c r="P428" s="5"/>
    </row>
    <row r="429" spans="1:16" ht="14.25" customHeight="1">
      <c r="A429">
        <v>437</v>
      </c>
      <c r="B429">
        <v>0</v>
      </c>
      <c r="C429">
        <v>0</v>
      </c>
      <c r="E429" t="s">
        <v>2570</v>
      </c>
      <c r="F429">
        <v>6</v>
      </c>
      <c r="G429" s="1" t="s">
        <v>402</v>
      </c>
      <c r="H429" s="16" t="s">
        <v>3061</v>
      </c>
      <c r="I429" s="18"/>
      <c r="J429" t="str">
        <f>IF(LEN(VLOOKUP(表1[[#This Row],[id]],数据引用!A:C,3,FALSE))&gt;0,VLOOKUP(表1[[#This Row],[id]],数据引用!A:C,3,FALSE),"")</f>
        <v>玻璃火炬</v>
      </c>
      <c r="K429" t="s">
        <v>1199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font-size:12;"&gt;玻璃火炬&lt;/text&gt;&lt;text transform="matrix(1 0 0 1 0 10.3205)" style="fill:#FFFFFF; font-family:'FZXS12--GB1-0'; font-size:12;"&gt;玻璃火炬&lt;/text&gt;&lt;/svg&gt;</v>
      </c>
      <c r="P429" s="5"/>
    </row>
    <row r="430" spans="1:16" ht="14.25" customHeight="1">
      <c r="A430">
        <v>438</v>
      </c>
      <c r="B430">
        <v>0</v>
      </c>
      <c r="C430">
        <v>0</v>
      </c>
      <c r="E430" t="s">
        <v>2570</v>
      </c>
      <c r="F430">
        <v>6</v>
      </c>
      <c r="G430" s="1" t="s">
        <v>403</v>
      </c>
      <c r="H430" s="16" t="s">
        <v>3062</v>
      </c>
      <c r="I430" s="18"/>
      <c r="J430" t="str">
        <f>IF(LEN(VLOOKUP(表1[[#This Row],[id]],数据引用!A:C,3,FALSE))&gt;0,VLOOKUP(表1[[#This Row],[id]],数据引用!A:C,3,FALSE),"")</f>
        <v>地狱火炬</v>
      </c>
      <c r="K430" t="s">
        <v>1199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font-size:12;"&gt;地狱火炬&lt;/text&gt;&lt;text transform="matrix(1 0 0 1 0 10.3205)" style="fill:#FFFFFF; font-family:'FZXS12--GB1-0'; font-size:12;"&gt;地狱火炬&lt;/text&gt;&lt;/svg&gt;</v>
      </c>
      <c r="P430" s="5"/>
    </row>
    <row r="431" spans="1:16" ht="14.25" customHeight="1">
      <c r="A431">
        <v>439</v>
      </c>
      <c r="B431">
        <v>0</v>
      </c>
      <c r="C431">
        <v>0</v>
      </c>
      <c r="E431" t="s">
        <v>2570</v>
      </c>
      <c r="F431">
        <v>6</v>
      </c>
      <c r="G431" s="1" t="s">
        <v>404</v>
      </c>
      <c r="H431" s="16" t="s">
        <v>3063</v>
      </c>
      <c r="I431" s="18"/>
      <c r="J431" t="str">
        <f>IF(LEN(VLOOKUP(表1[[#This Row],[id]],数据引用!A:C,3,FALSE))&gt;0,VLOOKUP(表1[[#This Row],[id]],数据引用!A:C,3,FALSE),"")</f>
        <v>黑曜石火炬</v>
      </c>
      <c r="K431" t="s">
        <v>1199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font-size:12;"&gt;黑曜石火炬&lt;/text&gt;&lt;text transform="matrix(1 0 0 1 0 10.3205)" style="fill:#FFFFFF; font-family:'FZXS12--GB1-0'; font-size:12;"&gt;黑曜石火炬&lt;/text&gt;&lt;/svg&gt;</v>
      </c>
      <c r="P431" s="5"/>
    </row>
    <row r="432" spans="1:16" ht="14.25" customHeight="1">
      <c r="A432">
        <v>440</v>
      </c>
      <c r="B432">
        <v>0</v>
      </c>
      <c r="C432">
        <v>0</v>
      </c>
      <c r="E432" t="s">
        <v>2570</v>
      </c>
      <c r="F432">
        <v>6</v>
      </c>
      <c r="G432" s="1" t="s">
        <v>405</v>
      </c>
      <c r="H432" s="16" t="s">
        <v>3064</v>
      </c>
      <c r="I432" s="18"/>
      <c r="J432" t="str">
        <f>IF(LEN(VLOOKUP(表1[[#This Row],[id]],数据引用!A:C,3,FALSE))&gt;0,VLOOKUP(表1[[#This Row],[id]],数据引用!A:C,3,FALSE),"")</f>
        <v>花</v>
      </c>
      <c r="K432" t="s">
        <v>1199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font-size:12;"&gt;花&lt;/text&gt;&lt;text transform="matrix(1 0 0 1 0 10.3205)" style="fill:#FFFFFF; font-family:'FZXS12--GB1-0'; font-size:12;"&gt;花&lt;/text&gt;&lt;/svg&gt;</v>
      </c>
      <c r="P432" s="5"/>
    </row>
    <row r="433" spans="1:16" ht="14.25" customHeight="1">
      <c r="A433">
        <v>441</v>
      </c>
      <c r="B433">
        <v>0</v>
      </c>
      <c r="C433">
        <v>0</v>
      </c>
      <c r="E433" t="s">
        <v>2570</v>
      </c>
      <c r="F433">
        <v>6</v>
      </c>
      <c r="G433" s="1" t="s">
        <v>406</v>
      </c>
      <c r="H433" s="16" t="s">
        <v>3065</v>
      </c>
      <c r="I433" s="18"/>
      <c r="J433" t="str">
        <f>IF(LEN(VLOOKUP(表1[[#This Row],[id]],数据引用!A:C,3,FALSE))&gt;0,VLOOKUP(表1[[#This Row],[id]],数据引用!A:C,3,FALSE),"")</f>
        <v>黄金鲁特琴</v>
      </c>
      <c r="K433" t="s">
        <v>1199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433" s="5"/>
    </row>
    <row r="434" spans="1:16" ht="14.25" customHeight="1">
      <c r="A434">
        <v>442</v>
      </c>
      <c r="B434">
        <v>0</v>
      </c>
      <c r="C434">
        <v>0</v>
      </c>
      <c r="E434" t="s">
        <v>2570</v>
      </c>
      <c r="F434">
        <v>6</v>
      </c>
      <c r="G434" s="1" t="s">
        <v>407</v>
      </c>
      <c r="H434" s="16" t="s">
        <v>3066</v>
      </c>
      <c r="I434" s="18"/>
      <c r="J434" t="str">
        <f>IF(LEN(VLOOKUP(表1[[#This Row],[id]],数据引用!A:C,3,FALSE))&gt;0,VLOOKUP(表1[[#This Row],[id]],数据引用!A:C,3,FALSE),"")</f>
        <v>匕首</v>
      </c>
      <c r="K434" t="s">
        <v>1199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font-size:12;"&gt;匕首&lt;/text&gt;&lt;text transform="matrix(1 0 0 1 0 10.3205)" style="fill:#FFFFFF; font-family:'FZXS12--GB1-0'; font-size:12;"&gt;匕首&lt;/text&gt;&lt;/svg&gt;</v>
      </c>
      <c r="P434" s="5"/>
    </row>
    <row r="435" spans="1:16" ht="14.25" customHeight="1">
      <c r="A435">
        <v>443</v>
      </c>
      <c r="B435">
        <v>0</v>
      </c>
      <c r="C435">
        <v>0</v>
      </c>
      <c r="E435" t="s">
        <v>2570</v>
      </c>
      <c r="F435">
        <v>6</v>
      </c>
      <c r="G435" s="1" t="s">
        <v>388</v>
      </c>
      <c r="H435" s="16" t="s">
        <v>3067</v>
      </c>
      <c r="I435" s="18"/>
      <c r="J435" t="str">
        <f>IF(LEN(VLOOKUP(表1[[#This Row],[id]],数据引用!A:C,3,FALSE))&gt;0,VLOOKUP(表1[[#This Row],[id]],数据引用!A:C,3,FALSE),"")</f>
        <v>玻璃碎片</v>
      </c>
      <c r="K435" t="s">
        <v>1199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P435" s="5"/>
    </row>
    <row r="436" spans="1:16" ht="14.25" customHeight="1">
      <c r="A436">
        <v>444</v>
      </c>
      <c r="B436">
        <v>0</v>
      </c>
      <c r="C436">
        <v>0</v>
      </c>
      <c r="E436" t="s">
        <v>2570</v>
      </c>
      <c r="F436">
        <v>6</v>
      </c>
      <c r="G436" s="1" t="s">
        <v>408</v>
      </c>
      <c r="H436" s="16" t="s">
        <v>3068</v>
      </c>
      <c r="I436" s="18"/>
      <c r="J436" t="str">
        <f>IF(LEN(VLOOKUP(表1[[#This Row],[id]],数据引用!A:C,3,FALSE))&gt;0,VLOOKUP(表1[[#This Row],[id]],数据引用!A:C,3,FALSE),"")</f>
        <v>钛金匕首</v>
      </c>
      <c r="K436" t="s">
        <v>1199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font-size:12;"&gt;钛金匕首&lt;/text&gt;&lt;text transform="matrix(1 0 0 1 0 10.3205)" style="fill:#FFFFFF; font-family:'FZXS12--GB1-0'; font-size:12;"&gt;钛金匕首&lt;/text&gt;&lt;/svg&gt;</v>
      </c>
      <c r="P436" s="5"/>
    </row>
    <row r="437" spans="1:16" ht="14.25" customHeight="1">
      <c r="A437">
        <v>445</v>
      </c>
      <c r="B437">
        <v>0</v>
      </c>
      <c r="C437">
        <v>0</v>
      </c>
      <c r="E437" t="s">
        <v>2570</v>
      </c>
      <c r="F437">
        <v>6</v>
      </c>
      <c r="G437" s="1" t="s">
        <v>409</v>
      </c>
      <c r="H437" s="16" t="s">
        <v>3069</v>
      </c>
      <c r="I437" s="18"/>
      <c r="J437" t="str">
        <f>IF(LEN(VLOOKUP(表1[[#This Row],[id]],数据引用!A:C,3,FALSE))&gt;0,VLOOKUP(表1[[#This Row],[id]],数据引用!A:C,3,FALSE),"")</f>
        <v>黑曜石匕首</v>
      </c>
      <c r="K437" t="s">
        <v>1199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font-size:12;"&gt;黑曜石匕首&lt;/text&gt;&lt;text transform="matrix(1 0 0 1 0 10.3205)" style="fill:#FFFFFF; font-family:'FZXS12--GB1-0'; font-size:12;"&gt;黑曜石匕首&lt;/text&gt;&lt;/svg&gt;</v>
      </c>
      <c r="P437" s="5"/>
    </row>
    <row r="438" spans="1:16" ht="14.25" customHeight="1">
      <c r="A438">
        <v>446</v>
      </c>
      <c r="B438">
        <v>0</v>
      </c>
      <c r="C438">
        <v>0</v>
      </c>
      <c r="E438" t="s">
        <v>2570</v>
      </c>
      <c r="F438">
        <v>6</v>
      </c>
      <c r="G438" s="1" t="s">
        <v>410</v>
      </c>
      <c r="H438" s="16" t="s">
        <v>3070</v>
      </c>
      <c r="I438" s="18"/>
      <c r="J438" t="str">
        <f>IF(LEN(VLOOKUP(表1[[#This Row],[id]],数据引用!A:C,3,FALSE))&gt;0,VLOOKUP(表1[[#This Row],[id]],数据引用!A:C,3,FALSE),"")</f>
        <v>黄金匕首</v>
      </c>
      <c r="K438" t="s">
        <v>1199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font-size:12;"&gt;黄金匕首&lt;/text&gt;&lt;text transform="matrix(1 0 0 1 0 10.3205)" style="fill:#FFFFFF; font-family:'FZXS12--GB1-0'; font-size:12;"&gt;黄金匕首&lt;/text&gt;&lt;/svg&gt;</v>
      </c>
      <c r="P438" s="5"/>
    </row>
    <row r="439" spans="1:16" ht="14.25" customHeight="1">
      <c r="A439">
        <v>447</v>
      </c>
      <c r="B439">
        <v>0</v>
      </c>
      <c r="C439">
        <v>0</v>
      </c>
      <c r="E439" t="s">
        <v>2570</v>
      </c>
      <c r="F439">
        <v>6</v>
      </c>
      <c r="G439" s="1" t="s">
        <v>411</v>
      </c>
      <c r="H439" s="16" t="s">
        <v>3071</v>
      </c>
      <c r="I439" s="18"/>
      <c r="J439" t="str">
        <f>IF(LEN(VLOOKUP(表1[[#This Row],[id]],数据引用!A:C,3,FALSE))&gt;0,VLOOKUP(表1[[#This Row],[id]],数据引用!A:C,3,FALSE),"")</f>
        <v>鲜血匕首</v>
      </c>
      <c r="K439" t="s">
        <v>1199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font-size:12;"&gt;鲜血匕首&lt;/text&gt;&lt;text transform="matrix(1 0 0 1 0 10.3205)" style="fill:#FFFFFF; font-family:'FZXS12--GB1-0'; font-size:12;"&gt;鲜血匕首&lt;/text&gt;&lt;/svg&gt;</v>
      </c>
      <c r="P439" s="5"/>
    </row>
    <row r="440" spans="1:16" ht="14.25" customHeight="1">
      <c r="A440">
        <v>448</v>
      </c>
      <c r="B440">
        <v>0</v>
      </c>
      <c r="C440">
        <v>0</v>
      </c>
      <c r="E440" t="s">
        <v>2570</v>
      </c>
      <c r="F440">
        <v>6</v>
      </c>
      <c r="G440" s="1" t="s">
        <v>412</v>
      </c>
      <c r="H440" s="16" t="s">
        <v>3072</v>
      </c>
      <c r="I440" s="18"/>
      <c r="J440" t="str">
        <f>IF(LEN(VLOOKUP(表1[[#This Row],[id]],数据引用!A:C,3,FALSE))&gt;0,VLOOKUP(表1[[#This Row],[id]],数据引用!A:C,3,FALSE),"")</f>
        <v>玻璃匕首</v>
      </c>
      <c r="K440" t="s">
        <v>1199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font-size:12;"&gt;玻璃匕首&lt;/text&gt;&lt;text transform="matrix(1 0 0 1 0 10.3205)" style="fill:#FFFFFF; font-family:'FZXS12--GB1-0'; font-size:12;"&gt;玻璃匕首&lt;/text&gt;&lt;/svg&gt;</v>
      </c>
      <c r="P440" s="5"/>
    </row>
    <row r="441" spans="1:16" ht="14.25" customHeight="1">
      <c r="A441">
        <v>449</v>
      </c>
      <c r="B441">
        <v>0</v>
      </c>
      <c r="C441">
        <v>0</v>
      </c>
      <c r="E441" t="s">
        <v>2570</v>
      </c>
      <c r="F441">
        <v>6</v>
      </c>
      <c r="G441" s="1" t="s">
        <v>413</v>
      </c>
      <c r="H441" s="16" t="s">
        <v>3073</v>
      </c>
      <c r="I441" s="18"/>
      <c r="J441" t="str">
        <f>IF(LEN(VLOOKUP(表1[[#This Row],[id]],数据引用!A:C,3,FALSE))&gt;0,VLOOKUP(表1[[#This Row],[id]],数据引用!A:C,3,FALSE),"")</f>
        <v>宝石匕首</v>
      </c>
      <c r="K441" t="s">
        <v>1199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font-size:12;"&gt;宝石匕首&lt;/text&gt;&lt;text transform="matrix(1 0 0 1 0 10.3205)" style="fill:#FFFFFF; font-family:'FZXS12--GB1-0'; font-size:12;"&gt;宝石匕首&lt;/text&gt;&lt;/svg&gt;</v>
      </c>
      <c r="P441" s="5"/>
    </row>
    <row r="442" spans="1:16" ht="14.25" customHeight="1">
      <c r="A442">
        <v>450</v>
      </c>
      <c r="B442">
        <v>0</v>
      </c>
      <c r="C442">
        <v>0</v>
      </c>
      <c r="E442" t="s">
        <v>2570</v>
      </c>
      <c r="F442">
        <v>6</v>
      </c>
      <c r="G442" s="1" t="s">
        <v>414</v>
      </c>
      <c r="H442" s="16" t="s">
        <v>3074</v>
      </c>
      <c r="I442" s="18"/>
      <c r="J442" t="str">
        <f>IF(LEN(VLOOKUP(表1[[#This Row],[id]],数据引用!A:C,3,FALSE))&gt;0,VLOOKUP(表1[[#This Row],[id]],数据引用!A:C,3,FALSE),"")</f>
        <v>冰霜匕首</v>
      </c>
      <c r="K442" t="s">
        <v>1199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font-size:12;"&gt;冰霜匕首&lt;/text&gt;&lt;text transform="matrix(1 0 0 1 0 10.3205)" style="fill:#FFFFFF; font-family:'FZXS12--GB1-0'; font-size:12;"&gt;冰霜匕首&lt;/text&gt;&lt;/svg&gt;</v>
      </c>
      <c r="P442" s="5"/>
    </row>
    <row r="443" spans="1:16" ht="14.25" customHeight="1">
      <c r="A443">
        <v>451</v>
      </c>
      <c r="B443">
        <v>0</v>
      </c>
      <c r="C443">
        <v>0</v>
      </c>
      <c r="E443" t="s">
        <v>2570</v>
      </c>
      <c r="F443">
        <v>6</v>
      </c>
      <c r="G443" s="1" t="s">
        <v>415</v>
      </c>
      <c r="H443" s="16" t="s">
        <v>3075</v>
      </c>
      <c r="I443" s="18"/>
      <c r="J443" t="str">
        <f>IF(LEN(VLOOKUP(表1[[#This Row],[id]],数据引用!A:C,3,FALSE))&gt;0,VLOOKUP(表1[[#This Row],[id]],数据引用!A:C,3,FALSE),"")</f>
        <v>相位匕首</v>
      </c>
      <c r="K443" t="s">
        <v>1199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font-size:12;"&gt;相位匕首&lt;/text&gt;&lt;text transform="matrix(1 0 0 1 0 10.3205)" style="fill:#FFFFFF; font-family:'FZXS12--GB1-0'; font-size:12;"&gt;相位匕首&lt;/text&gt;&lt;/svg&gt;</v>
      </c>
      <c r="P443" s="5"/>
    </row>
    <row r="444" spans="1:16" ht="14.25" customHeight="1">
      <c r="A444">
        <v>452</v>
      </c>
      <c r="B444">
        <v>0</v>
      </c>
      <c r="C444">
        <v>0</v>
      </c>
      <c r="E444" t="s">
        <v>2570</v>
      </c>
      <c r="F444">
        <v>6</v>
      </c>
      <c r="G444" s="1" t="s">
        <v>416</v>
      </c>
      <c r="H444" s="16" t="s">
        <v>3076</v>
      </c>
      <c r="I444" s="18"/>
      <c r="J444" t="str">
        <f>IF(LEN(VLOOKUP(表1[[#This Row],[id]],数据引用!A:C,3,FALSE))&gt;0,VLOOKUP(表1[[#This Row],[id]],数据引用!A:C,3,FALSE),"")</f>
        <v>大剑</v>
      </c>
      <c r="K444" t="s">
        <v>1199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font-size:12;"&gt;大剑&lt;/text&gt;&lt;text transform="matrix(1 0 0 1 0 10.3205)" style="fill:#FFFFFF; font-family:'FZXS12--GB1-0'; font-size:12;"&gt;大剑&lt;/text&gt;&lt;/svg&gt;</v>
      </c>
      <c r="P444" s="5"/>
    </row>
    <row r="445" spans="1:16" ht="14.25" customHeight="1">
      <c r="A445">
        <v>453</v>
      </c>
      <c r="B445">
        <v>0</v>
      </c>
      <c r="C445">
        <v>0</v>
      </c>
      <c r="E445" t="s">
        <v>2570</v>
      </c>
      <c r="F445">
        <v>6</v>
      </c>
      <c r="G445" s="1" t="s">
        <v>1364</v>
      </c>
      <c r="H445" s="16" t="s">
        <v>3077</v>
      </c>
      <c r="I445" s="18"/>
      <c r="J445" t="str">
        <f>IF(LEN(VLOOKUP(表1[[#This Row],[id]],数据引用!A:C,3,FALSE))&gt;0,VLOOKUP(表1[[#This Row],[id]],数据引用!A:C,3,FALSE),"")</f>
        <v>钛金大剑</v>
      </c>
      <c r="K445" t="s">
        <v>1199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font-size:12;"&gt;钛金大剑&lt;/text&gt;&lt;text transform="matrix(1 0 0 1 0 10.3205)" style="fill:#FFFFFF; font-family:'FZXS12--GB1-0'; font-size:12;"&gt;钛金大剑&lt;/text&gt;&lt;/svg&gt;</v>
      </c>
      <c r="P445" s="5"/>
    </row>
    <row r="446" spans="1:16" ht="14.25" customHeight="1">
      <c r="A446">
        <v>454</v>
      </c>
      <c r="B446">
        <v>0</v>
      </c>
      <c r="C446">
        <v>0</v>
      </c>
      <c r="E446" t="s">
        <v>2570</v>
      </c>
      <c r="F446">
        <v>6</v>
      </c>
      <c r="G446" s="1" t="s">
        <v>417</v>
      </c>
      <c r="H446" s="16" t="s">
        <v>3078</v>
      </c>
      <c r="I446" s="18"/>
      <c r="J446" t="str">
        <f>IF(LEN(VLOOKUP(表1[[#This Row],[id]],数据引用!A:C,3,FALSE))&gt;0,VLOOKUP(表1[[#This Row],[id]],数据引用!A:C,3,FALSE),"")</f>
        <v>黑曜石大剑</v>
      </c>
      <c r="K446" t="s">
        <v>1199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font-size:12;"&gt;黑曜石大剑&lt;/text&gt;&lt;text transform="matrix(1 0 0 1 0 10.3205)" style="fill:#FFFFFF; font-family:'FZXS12--GB1-0'; font-size:12;"&gt;黑曜石大剑&lt;/text&gt;&lt;/svg&gt;</v>
      </c>
      <c r="P446" s="5"/>
    </row>
    <row r="447" spans="1:16" ht="14.25" customHeight="1">
      <c r="A447">
        <v>455</v>
      </c>
      <c r="B447">
        <v>0</v>
      </c>
      <c r="C447">
        <v>0</v>
      </c>
      <c r="E447" t="s">
        <v>2570</v>
      </c>
      <c r="F447">
        <v>6</v>
      </c>
      <c r="G447" s="1" t="s">
        <v>418</v>
      </c>
      <c r="H447" s="16" t="s">
        <v>3079</v>
      </c>
      <c r="I447" s="18"/>
      <c r="J447" t="str">
        <f>IF(LEN(VLOOKUP(表1[[#This Row],[id]],数据引用!A:C,3,FALSE))&gt;0,VLOOKUP(表1[[#This Row],[id]],数据引用!A:C,3,FALSE),"")</f>
        <v>黄金大剑</v>
      </c>
      <c r="K447" t="s">
        <v>1199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font-size:12;"&gt;黄金大剑&lt;/text&gt;&lt;text transform="matrix(1 0 0 1 0 10.3205)" style="fill:#FFFFFF; font-family:'FZXS12--GB1-0'; font-size:12;"&gt;黄金大剑&lt;/text&gt;&lt;/svg&gt;</v>
      </c>
      <c r="P447" s="5"/>
    </row>
    <row r="448" spans="1:16" ht="14.25" customHeight="1">
      <c r="A448">
        <v>456</v>
      </c>
      <c r="B448">
        <v>0</v>
      </c>
      <c r="C448">
        <v>0</v>
      </c>
      <c r="E448" t="s">
        <v>2570</v>
      </c>
      <c r="F448">
        <v>6</v>
      </c>
      <c r="G448" s="1" t="s">
        <v>419</v>
      </c>
      <c r="H448" s="16" t="s">
        <v>3080</v>
      </c>
      <c r="I448" s="18"/>
      <c r="J448" t="str">
        <f>IF(LEN(VLOOKUP(表1[[#This Row],[id]],数据引用!A:C,3,FALSE))&gt;0,VLOOKUP(表1[[#This Row],[id]],数据引用!A:C,3,FALSE),"")</f>
        <v>鲜血大剑</v>
      </c>
      <c r="K448" t="s">
        <v>1199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font-size:12;"&gt;鲜血大剑&lt;/text&gt;&lt;text transform="matrix(1 0 0 1 0 10.3205)" style="fill:#FFFFFF; font-family:'FZXS12--GB1-0'; font-size:12;"&gt;鲜血大剑&lt;/text&gt;&lt;/svg&gt;</v>
      </c>
      <c r="P448" s="5"/>
    </row>
    <row r="449" spans="1:16" ht="14.25" customHeight="1">
      <c r="A449">
        <v>457</v>
      </c>
      <c r="B449">
        <v>0</v>
      </c>
      <c r="C449">
        <v>0</v>
      </c>
      <c r="E449" t="s">
        <v>2570</v>
      </c>
      <c r="F449">
        <v>6</v>
      </c>
      <c r="G449" s="1" t="s">
        <v>420</v>
      </c>
      <c r="H449" s="16" t="s">
        <v>3081</v>
      </c>
      <c r="I449" s="18"/>
      <c r="J449" t="str">
        <f>IF(LEN(VLOOKUP(表1[[#This Row],[id]],数据引用!A:C,3,FALSE))&gt;0,VLOOKUP(表1[[#This Row],[id]],数据引用!A:C,3,FALSE),"")</f>
        <v>玻璃大剑</v>
      </c>
      <c r="K449" t="s">
        <v>1199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font-size:12;"&gt;玻璃大剑&lt;/text&gt;&lt;text transform="matrix(1 0 0 1 0 10.3205)" style="fill:#FFFFFF; font-family:'FZXS12--GB1-0'; font-size:12;"&gt;玻璃大剑&lt;/text&gt;&lt;/svg&gt;</v>
      </c>
      <c r="P449" s="5"/>
    </row>
    <row r="450" spans="1:16" ht="14.25" customHeight="1">
      <c r="A450">
        <v>458</v>
      </c>
      <c r="B450">
        <v>0</v>
      </c>
      <c r="C450">
        <v>0</v>
      </c>
      <c r="E450" t="s">
        <v>2570</v>
      </c>
      <c r="F450">
        <v>6</v>
      </c>
      <c r="G450" s="1" t="s">
        <v>421</v>
      </c>
      <c r="H450" s="16" t="s">
        <v>3082</v>
      </c>
      <c r="I450" s="18"/>
      <c r="J450" t="str">
        <f>IF(LEN(VLOOKUP(表1[[#This Row],[id]],数据引用!A:C,3,FALSE))&gt;0,VLOOKUP(表1[[#This Row],[id]],数据引用!A:C,3,FALSE),"")</f>
        <v>长剑</v>
      </c>
      <c r="K450" t="s">
        <v>1199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font-size:12;"&gt;长剑&lt;/text&gt;&lt;text transform="matrix(1 0 0 1 0 10.3205)" style="fill:#FFFFFF; font-family:'FZXS12--GB1-0'; font-size:12;"&gt;长剑&lt;/text&gt;&lt;/svg&gt;</v>
      </c>
      <c r="P450" s="5"/>
    </row>
    <row r="451" spans="1:16" ht="14.25" customHeight="1">
      <c r="A451">
        <v>459</v>
      </c>
      <c r="B451">
        <v>0</v>
      </c>
      <c r="C451">
        <v>0</v>
      </c>
      <c r="E451" t="s">
        <v>2570</v>
      </c>
      <c r="F451">
        <v>6</v>
      </c>
      <c r="G451" s="1" t="s">
        <v>422</v>
      </c>
      <c r="H451" s="16" t="s">
        <v>3083</v>
      </c>
      <c r="I451" s="18"/>
      <c r="J451" t="str">
        <f>IF(LEN(VLOOKUP(表1[[#This Row],[id]],数据引用!A:C,3,FALSE))&gt;0,VLOOKUP(表1[[#This Row],[id]],数据引用!A:C,3,FALSE),"")</f>
        <v>钛金长剑</v>
      </c>
      <c r="K451" t="s">
        <v>1199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font-size:12;"&gt;钛金长剑&lt;/text&gt;&lt;text transform="matrix(1 0 0 1 0 10.3205)" style="fill:#FFFFFF; font-family:'FZXS12--GB1-0'; font-size:12;"&gt;钛金长剑&lt;/text&gt;&lt;/svg&gt;</v>
      </c>
      <c r="P451" s="5"/>
    </row>
    <row r="452" spans="1:16" ht="14.25" customHeight="1">
      <c r="A452">
        <v>460</v>
      </c>
      <c r="B452">
        <v>0</v>
      </c>
      <c r="C452">
        <v>0</v>
      </c>
      <c r="E452" t="s">
        <v>2570</v>
      </c>
      <c r="F452">
        <v>6</v>
      </c>
      <c r="G452" s="1" t="s">
        <v>423</v>
      </c>
      <c r="H452" s="16" t="s">
        <v>3084</v>
      </c>
      <c r="I452" s="18"/>
      <c r="J452" t="str">
        <f>IF(LEN(VLOOKUP(表1[[#This Row],[id]],数据引用!A:C,3,FALSE))&gt;0,VLOOKUP(表1[[#This Row],[id]],数据引用!A:C,3,FALSE),"")</f>
        <v>黑曜石长剑</v>
      </c>
      <c r="K452" t="s">
        <v>1199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font-size:12;"&gt;黑曜石长剑&lt;/text&gt;&lt;text transform="matrix(1 0 0 1 0 10.3205)" style="fill:#FFFFFF; font-family:'FZXS12--GB1-0'; font-size:12;"&gt;黑曜石长剑&lt;/text&gt;&lt;/svg&gt;</v>
      </c>
      <c r="P452" s="5"/>
    </row>
    <row r="453" spans="1:16" ht="14.25" customHeight="1">
      <c r="A453">
        <v>461</v>
      </c>
      <c r="B453">
        <v>0</v>
      </c>
      <c r="C453">
        <v>0</v>
      </c>
      <c r="E453" t="s">
        <v>2570</v>
      </c>
      <c r="F453">
        <v>6</v>
      </c>
      <c r="G453" s="1" t="s">
        <v>424</v>
      </c>
      <c r="H453" s="16" t="s">
        <v>3085</v>
      </c>
      <c r="I453" s="18"/>
      <c r="J453" t="str">
        <f>IF(LEN(VLOOKUP(表1[[#This Row],[id]],数据引用!A:C,3,FALSE))&gt;0,VLOOKUP(表1[[#This Row],[id]],数据引用!A:C,3,FALSE),"")</f>
        <v>黄金长剑</v>
      </c>
      <c r="K453" t="s">
        <v>1199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font-size:12;"&gt;黄金长剑&lt;/text&gt;&lt;text transform="matrix(1 0 0 1 0 10.3205)" style="fill:#FFFFFF; font-family:'FZXS12--GB1-0'; font-size:12;"&gt;黄金长剑&lt;/text&gt;&lt;/svg&gt;</v>
      </c>
      <c r="P453" s="5"/>
    </row>
    <row r="454" spans="1:16" ht="14.25" customHeight="1">
      <c r="A454">
        <v>462</v>
      </c>
      <c r="B454">
        <v>0</v>
      </c>
      <c r="C454">
        <v>0</v>
      </c>
      <c r="E454" t="s">
        <v>2570</v>
      </c>
      <c r="F454">
        <v>6</v>
      </c>
      <c r="G454" s="1" t="s">
        <v>425</v>
      </c>
      <c r="H454" s="16" t="s">
        <v>3086</v>
      </c>
      <c r="I454" s="18"/>
      <c r="J454" t="str">
        <f>IF(LEN(VLOOKUP(表1[[#This Row],[id]],数据引用!A:C,3,FALSE))&gt;0,VLOOKUP(表1[[#This Row],[id]],数据引用!A:C,3,FALSE),"")</f>
        <v>鲜血长剑</v>
      </c>
      <c r="K454" t="s">
        <v>1199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font-size:12;"&gt;鲜血长剑&lt;/text&gt;&lt;text transform="matrix(1 0 0 1 0 10.3205)" style="fill:#FFFFFF; font-family:'FZXS12--GB1-0'; font-size:12;"&gt;鲜血长剑&lt;/text&gt;&lt;/svg&gt;</v>
      </c>
      <c r="P454" s="5"/>
    </row>
    <row r="455" spans="1:16" ht="14.25" customHeight="1">
      <c r="A455">
        <v>463</v>
      </c>
      <c r="B455">
        <v>0</v>
      </c>
      <c r="C455">
        <v>0</v>
      </c>
      <c r="E455" t="s">
        <v>2570</v>
      </c>
      <c r="F455">
        <v>6</v>
      </c>
      <c r="G455" s="1" t="s">
        <v>426</v>
      </c>
      <c r="H455" s="16" t="s">
        <v>3087</v>
      </c>
      <c r="I455" s="18"/>
      <c r="J455" t="str">
        <f>IF(LEN(VLOOKUP(表1[[#This Row],[id]],数据引用!A:C,3,FALSE))&gt;0,VLOOKUP(表1[[#This Row],[id]],数据引用!A:C,3,FALSE),"")</f>
        <v>玻璃长剑</v>
      </c>
      <c r="K455" t="s">
        <v>1199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font-size:12;"&gt;玻璃长剑&lt;/text&gt;&lt;text transform="matrix(1 0 0 1 0 10.3205)" style="fill:#FFFFFF; font-family:'FZXS12--GB1-0'; font-size:12;"&gt;玻璃长剑&lt;/text&gt;&lt;/svg&gt;</v>
      </c>
      <c r="P455" s="5"/>
    </row>
    <row r="456" spans="1:16" ht="14.25" customHeight="1">
      <c r="A456">
        <v>464</v>
      </c>
      <c r="B456">
        <v>0</v>
      </c>
      <c r="C456">
        <v>0</v>
      </c>
      <c r="E456" t="s">
        <v>2570</v>
      </c>
      <c r="F456">
        <v>6</v>
      </c>
      <c r="G456" s="1" t="s">
        <v>427</v>
      </c>
      <c r="H456" s="16" t="s">
        <v>3088</v>
      </c>
      <c r="I456" s="18"/>
      <c r="J456" t="str">
        <f>IF(LEN(VLOOKUP(表1[[#This Row],[id]],数据引用!A:C,3,FALSE))&gt;0,VLOOKUP(表1[[#This Row],[id]],数据引用!A:C,3,FALSE),"")</f>
        <v>鞭子</v>
      </c>
      <c r="K456" t="s">
        <v>1199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font-size:12;"&gt;鞭子&lt;/text&gt;&lt;text transform="matrix(1 0 0 1 0 10.3205)" style="fill:#FFFFFF; font-family:'FZXS12--GB1-0'; font-size:12;"&gt;鞭子&lt;/text&gt;&lt;/svg&gt;</v>
      </c>
      <c r="P456" s="5"/>
    </row>
    <row r="457" spans="1:16" ht="14.25" customHeight="1">
      <c r="A457">
        <v>465</v>
      </c>
      <c r="B457">
        <v>0</v>
      </c>
      <c r="C457">
        <v>0</v>
      </c>
      <c r="E457" t="s">
        <v>2570</v>
      </c>
      <c r="F457">
        <v>6</v>
      </c>
      <c r="G457" s="1" t="s">
        <v>428</v>
      </c>
      <c r="H457" s="16" t="s">
        <v>3089</v>
      </c>
      <c r="I457" s="18"/>
      <c r="J457" t="str">
        <f>IF(LEN(VLOOKUP(表1[[#This Row],[id]],数据引用!A:C,3,FALSE))&gt;0,VLOOKUP(表1[[#This Row],[id]],数据引用!A:C,3,FALSE),"")</f>
        <v>钛金鞭子</v>
      </c>
      <c r="K457" t="s">
        <v>1199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font-size:12;"&gt;钛金鞭子&lt;/text&gt;&lt;text transform="matrix(1 0 0 1 0 10.3205)" style="fill:#FFFFFF; font-family:'FZXS12--GB1-0'; font-size:12;"&gt;钛金鞭子&lt;/text&gt;&lt;/svg&gt;</v>
      </c>
      <c r="P457" s="5"/>
    </row>
    <row r="458" spans="1:16" ht="14.25" customHeight="1">
      <c r="A458">
        <v>466</v>
      </c>
      <c r="B458">
        <v>0</v>
      </c>
      <c r="C458">
        <v>0</v>
      </c>
      <c r="E458" t="s">
        <v>2570</v>
      </c>
      <c r="F458">
        <v>6</v>
      </c>
      <c r="G458" s="1" t="s">
        <v>429</v>
      </c>
      <c r="H458" s="16" t="s">
        <v>3090</v>
      </c>
      <c r="I458" s="18"/>
      <c r="J458" t="str">
        <f>IF(LEN(VLOOKUP(表1[[#This Row],[id]],数据引用!A:C,3,FALSE))&gt;0,VLOOKUP(表1[[#This Row],[id]],数据引用!A:C,3,FALSE),"")</f>
        <v>黑曜石鞭子</v>
      </c>
      <c r="K458" t="s">
        <v>1199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font-size:12;"&gt;黑曜石鞭子&lt;/text&gt;&lt;text transform="matrix(1 0 0 1 0 10.3205)" style="fill:#FFFFFF; font-family:'FZXS12--GB1-0'; font-size:12;"&gt;黑曜石鞭子&lt;/text&gt;&lt;/svg&gt;</v>
      </c>
      <c r="P458" s="5"/>
    </row>
    <row r="459" spans="1:16" ht="14.25" customHeight="1">
      <c r="A459">
        <v>467</v>
      </c>
      <c r="B459">
        <v>0</v>
      </c>
      <c r="C459">
        <v>0</v>
      </c>
      <c r="E459" t="s">
        <v>2570</v>
      </c>
      <c r="F459">
        <v>6</v>
      </c>
      <c r="G459" s="1" t="s">
        <v>430</v>
      </c>
      <c r="H459" s="16" t="s">
        <v>3091</v>
      </c>
      <c r="I459" s="18"/>
      <c r="J459" t="str">
        <f>IF(LEN(VLOOKUP(表1[[#This Row],[id]],数据引用!A:C,3,FALSE))&gt;0,VLOOKUP(表1[[#This Row],[id]],数据引用!A:C,3,FALSE),"")</f>
        <v>黄金鞭子</v>
      </c>
      <c r="K459" t="s">
        <v>1199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font-size:12;"&gt;黄金鞭子&lt;/text&gt;&lt;text transform="matrix(1 0 0 1 0 10.3205)" style="fill:#FFFFFF; font-family:'FZXS12--GB1-0'; font-size:12;"&gt;黄金鞭子&lt;/text&gt;&lt;/svg&gt;</v>
      </c>
      <c r="P459" s="5"/>
    </row>
    <row r="460" spans="1:16" ht="14.25" customHeight="1">
      <c r="A460">
        <v>468</v>
      </c>
      <c r="B460">
        <v>0</v>
      </c>
      <c r="C460">
        <v>0</v>
      </c>
      <c r="E460" t="s">
        <v>2570</v>
      </c>
      <c r="F460">
        <v>6</v>
      </c>
      <c r="G460" s="1" t="s">
        <v>431</v>
      </c>
      <c r="H460" s="16" t="s">
        <v>3092</v>
      </c>
      <c r="I460" s="18"/>
      <c r="J460" t="str">
        <f>IF(LEN(VLOOKUP(表1[[#This Row],[id]],数据引用!A:C,3,FALSE))&gt;0,VLOOKUP(表1[[#This Row],[id]],数据引用!A:C,3,FALSE),"")</f>
        <v>鲜血鞭子</v>
      </c>
      <c r="K460" t="s">
        <v>1199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font-size:12;"&gt;鲜血鞭子&lt;/text&gt;&lt;text transform="matrix(1 0 0 1 0 10.3205)" style="fill:#FFFFFF; font-family:'FZXS12--GB1-0'; font-size:12;"&gt;鲜血鞭子&lt;/text&gt;&lt;/svg&gt;</v>
      </c>
      <c r="P460" s="5"/>
    </row>
    <row r="461" spans="1:16" ht="14.25" customHeight="1">
      <c r="A461">
        <v>469</v>
      </c>
      <c r="B461">
        <v>0</v>
      </c>
      <c r="C461">
        <v>0</v>
      </c>
      <c r="E461" t="s">
        <v>2570</v>
      </c>
      <c r="F461">
        <v>6</v>
      </c>
      <c r="G461" s="1" t="s">
        <v>432</v>
      </c>
      <c r="H461" s="16" t="s">
        <v>3093</v>
      </c>
      <c r="I461" s="18"/>
      <c r="J461" t="str">
        <f>IF(LEN(VLOOKUP(表1[[#This Row],[id]],数据引用!A:C,3,FALSE))&gt;0,VLOOKUP(表1[[#This Row],[id]],数据引用!A:C,3,FALSE),"")</f>
        <v>玻璃鞭子</v>
      </c>
      <c r="K461" t="s">
        <v>1199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font-size:12;"&gt;玻璃鞭子&lt;/text&gt;&lt;text transform="matrix(1 0 0 1 0 10.3205)" style="fill:#FFFFFF; font-family:'FZXS12--GB1-0'; font-size:12;"&gt;玻璃鞭子&lt;/text&gt;&lt;/svg&gt;</v>
      </c>
      <c r="P461" s="5"/>
    </row>
    <row r="462" spans="1:16" ht="14.25" customHeight="1">
      <c r="A462">
        <v>470</v>
      </c>
      <c r="B462">
        <v>0</v>
      </c>
      <c r="C462">
        <v>0</v>
      </c>
      <c r="E462" t="s">
        <v>2570</v>
      </c>
      <c r="F462">
        <v>6</v>
      </c>
      <c r="G462" s="1" t="s">
        <v>433</v>
      </c>
      <c r="H462" s="16" t="s">
        <v>3094</v>
      </c>
      <c r="I462" s="18"/>
      <c r="J462" t="str">
        <f>IF(LEN(VLOOKUP(表1[[#This Row],[id]],数据引用!A:C,3,FALSE))&gt;0,VLOOKUP(表1[[#This Row],[id]],数据引用!A:C,3,FALSE),"")</f>
        <v>长矛</v>
      </c>
      <c r="K462" t="s">
        <v>1199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font-size:12;"&gt;长矛&lt;/text&gt;&lt;text transform="matrix(1 0 0 1 0 10.3205)" style="fill:#FFFFFF; font-family:'FZXS12--GB1-0'; font-size:12;"&gt;长矛&lt;/text&gt;&lt;/svg&gt;</v>
      </c>
      <c r="P462" s="5"/>
    </row>
    <row r="463" spans="1:16" ht="14.25" customHeight="1">
      <c r="A463">
        <v>471</v>
      </c>
      <c r="B463">
        <v>0</v>
      </c>
      <c r="C463">
        <v>0</v>
      </c>
      <c r="E463" t="s">
        <v>2570</v>
      </c>
      <c r="F463">
        <v>6</v>
      </c>
      <c r="G463" s="1" t="s">
        <v>434</v>
      </c>
      <c r="H463" s="16" t="s">
        <v>3095</v>
      </c>
      <c r="I463" s="18"/>
      <c r="J463" t="str">
        <f>IF(LEN(VLOOKUP(表1[[#This Row],[id]],数据引用!A:C,3,FALSE))&gt;0,VLOOKUP(表1[[#This Row],[id]],数据引用!A:C,3,FALSE),"")</f>
        <v>钛金长矛</v>
      </c>
      <c r="K463" t="s">
        <v>1199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font-size:12;"&gt;钛金长矛&lt;/text&gt;&lt;text transform="matrix(1 0 0 1 0 10.3205)" style="fill:#FFFFFF; font-family:'FZXS12--GB1-0'; font-size:12;"&gt;钛金长矛&lt;/text&gt;&lt;/svg&gt;</v>
      </c>
      <c r="P463" s="5"/>
    </row>
    <row r="464" spans="1:16" ht="14.25" customHeight="1">
      <c r="A464">
        <v>472</v>
      </c>
      <c r="B464">
        <v>0</v>
      </c>
      <c r="C464">
        <v>0</v>
      </c>
      <c r="E464" t="s">
        <v>2570</v>
      </c>
      <c r="F464">
        <v>6</v>
      </c>
      <c r="G464" s="1" t="s">
        <v>435</v>
      </c>
      <c r="H464" s="16" t="s">
        <v>3096</v>
      </c>
      <c r="I464" s="18"/>
      <c r="J464" t="str">
        <f>IF(LEN(VLOOKUP(表1[[#This Row],[id]],数据引用!A:C,3,FALSE))&gt;0,VLOOKUP(表1[[#This Row],[id]],数据引用!A:C,3,FALSE),"")</f>
        <v>黑曜石长矛</v>
      </c>
      <c r="K464" t="s">
        <v>1199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font-size:12;"&gt;黑曜石长矛&lt;/text&gt;&lt;text transform="matrix(1 0 0 1 0 10.3205)" style="fill:#FFFFFF; font-family:'FZXS12--GB1-0'; font-size:12;"&gt;黑曜石长矛&lt;/text&gt;&lt;/svg&gt;</v>
      </c>
      <c r="P464" s="5"/>
    </row>
    <row r="465" spans="1:16" ht="14.25" customHeight="1">
      <c r="A465">
        <v>473</v>
      </c>
      <c r="B465">
        <v>0</v>
      </c>
      <c r="C465">
        <v>0</v>
      </c>
      <c r="E465" t="s">
        <v>2570</v>
      </c>
      <c r="F465">
        <v>6</v>
      </c>
      <c r="G465" s="1" t="s">
        <v>436</v>
      </c>
      <c r="H465" s="16" t="s">
        <v>3097</v>
      </c>
      <c r="I465" s="18"/>
      <c r="J465" t="str">
        <f>IF(LEN(VLOOKUP(表1[[#This Row],[id]],数据引用!A:C,3,FALSE))&gt;0,VLOOKUP(表1[[#This Row],[id]],数据引用!A:C,3,FALSE),"")</f>
        <v>黄金长矛</v>
      </c>
      <c r="K465" t="s">
        <v>1199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font-size:12;"&gt;黄金长矛&lt;/text&gt;&lt;text transform="matrix(1 0 0 1 0 10.3205)" style="fill:#FFFFFF; font-family:'FZXS12--GB1-0'; font-size:12;"&gt;黄金长矛&lt;/text&gt;&lt;/svg&gt;</v>
      </c>
      <c r="P465" s="5"/>
    </row>
    <row r="466" spans="1:16" ht="14.25" customHeight="1">
      <c r="A466">
        <v>474</v>
      </c>
      <c r="B466">
        <v>0</v>
      </c>
      <c r="C466">
        <v>0</v>
      </c>
      <c r="E466" t="s">
        <v>2570</v>
      </c>
      <c r="F466">
        <v>6</v>
      </c>
      <c r="G466" s="1" t="s">
        <v>437</v>
      </c>
      <c r="H466" s="16" t="s">
        <v>3098</v>
      </c>
      <c r="I466" s="18"/>
      <c r="J466" t="str">
        <f>IF(LEN(VLOOKUP(表1[[#This Row],[id]],数据引用!A:C,3,FALSE))&gt;0,VLOOKUP(表1[[#This Row],[id]],数据引用!A:C,3,FALSE),"")</f>
        <v>鲜血长矛</v>
      </c>
      <c r="K466" t="s">
        <v>1199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font-size:12;"&gt;鲜血长矛&lt;/text&gt;&lt;text transform="matrix(1 0 0 1 0 10.3205)" style="fill:#FFFFFF; font-family:'FZXS12--GB1-0'; font-size:12;"&gt;鲜血长矛&lt;/text&gt;&lt;/svg&gt;</v>
      </c>
      <c r="P466" s="5"/>
    </row>
    <row r="467" spans="1:16" ht="14.25" customHeight="1">
      <c r="A467">
        <v>475</v>
      </c>
      <c r="B467">
        <v>0</v>
      </c>
      <c r="C467">
        <v>0</v>
      </c>
      <c r="E467" t="s">
        <v>2570</v>
      </c>
      <c r="F467">
        <v>6</v>
      </c>
      <c r="G467" s="1" t="s">
        <v>438</v>
      </c>
      <c r="H467" s="16" t="s">
        <v>3099</v>
      </c>
      <c r="I467" s="18"/>
      <c r="J467" t="str">
        <f>IF(LEN(VLOOKUP(表1[[#This Row],[id]],数据引用!A:C,3,FALSE))&gt;0,VLOOKUP(表1[[#This Row],[id]],数据引用!A:C,3,FALSE),"")</f>
        <v>玻璃长矛</v>
      </c>
      <c r="K467" t="s">
        <v>1199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font-size:12;"&gt;玻璃长矛&lt;/text&gt;&lt;text transform="matrix(1 0 0 1 0 10.3205)" style="fill:#FFFFFF; font-family:'FZXS12--GB1-0'; font-size:12;"&gt;玻璃长矛&lt;/text&gt;&lt;/svg&gt;</v>
      </c>
      <c r="P467" s="5"/>
    </row>
    <row r="468" spans="1:16" ht="14.25" customHeight="1">
      <c r="A468">
        <v>476</v>
      </c>
      <c r="B468">
        <v>0</v>
      </c>
      <c r="C468">
        <v>0</v>
      </c>
      <c r="E468" t="s">
        <v>2570</v>
      </c>
      <c r="F468">
        <v>6</v>
      </c>
      <c r="G468" s="1" t="s">
        <v>439</v>
      </c>
      <c r="H468" s="16" t="s">
        <v>3100</v>
      </c>
      <c r="I468" s="18"/>
      <c r="J468" t="str">
        <f>IF(LEN(VLOOKUP(表1[[#This Row],[id]],数据引用!A:C,3,FALSE))&gt;0,VLOOKUP(表1[[#This Row],[id]],数据引用!A:C,3,FALSE),"")</f>
        <v>刺剑</v>
      </c>
      <c r="K468" t="s">
        <v>1199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font-size:12;"&gt;刺剑&lt;/text&gt;&lt;text transform="matrix(1 0 0 1 0 10.3205)" style="fill:#FFFFFF; font-family:'FZXS12--GB1-0'; font-size:12;"&gt;刺剑&lt;/text&gt;&lt;/svg&gt;</v>
      </c>
      <c r="P468" s="5"/>
    </row>
    <row r="469" spans="1:16" ht="14.25" customHeight="1">
      <c r="A469">
        <v>477</v>
      </c>
      <c r="B469">
        <v>0</v>
      </c>
      <c r="C469">
        <v>0</v>
      </c>
      <c r="E469" t="s">
        <v>2570</v>
      </c>
      <c r="F469">
        <v>6</v>
      </c>
      <c r="G469" s="1" t="s">
        <v>440</v>
      </c>
      <c r="H469" s="16" t="s">
        <v>3101</v>
      </c>
      <c r="I469" s="18"/>
      <c r="J469" t="str">
        <f>IF(LEN(VLOOKUP(表1[[#This Row],[id]],数据引用!A:C,3,FALSE))&gt;0,VLOOKUP(表1[[#This Row],[id]],数据引用!A:C,3,FALSE),"")</f>
        <v>钛金刺剑</v>
      </c>
      <c r="K469" t="s">
        <v>1199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font-size:12;"&gt;钛金刺剑&lt;/text&gt;&lt;text transform="matrix(1 0 0 1 0 10.3205)" style="fill:#FFFFFF; font-family:'FZXS12--GB1-0'; font-size:12;"&gt;钛金刺剑&lt;/text&gt;&lt;/svg&gt;</v>
      </c>
      <c r="P469" s="5"/>
    </row>
    <row r="470" spans="1:16" ht="14.25" customHeight="1">
      <c r="A470">
        <v>478</v>
      </c>
      <c r="B470">
        <v>0</v>
      </c>
      <c r="C470">
        <v>0</v>
      </c>
      <c r="E470" t="s">
        <v>2570</v>
      </c>
      <c r="F470">
        <v>6</v>
      </c>
      <c r="G470" s="1" t="s">
        <v>441</v>
      </c>
      <c r="H470" s="16" t="s">
        <v>3102</v>
      </c>
      <c r="I470" s="18"/>
      <c r="J470" t="str">
        <f>IF(LEN(VLOOKUP(表1[[#This Row],[id]],数据引用!A:C,3,FALSE))&gt;0,VLOOKUP(表1[[#This Row],[id]],数据引用!A:C,3,FALSE),"")</f>
        <v>黑曜石刺剑</v>
      </c>
      <c r="K470" t="s">
        <v>1199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font-size:12;"&gt;黑曜石刺剑&lt;/text&gt;&lt;text transform="matrix(1 0 0 1 0 10.3205)" style="fill:#FFFFFF; font-family:'FZXS12--GB1-0'; font-size:12;"&gt;黑曜石刺剑&lt;/text&gt;&lt;/svg&gt;</v>
      </c>
      <c r="P470" s="5"/>
    </row>
    <row r="471" spans="1:16" ht="14.25" customHeight="1">
      <c r="A471">
        <v>479</v>
      </c>
      <c r="B471">
        <v>0</v>
      </c>
      <c r="C471">
        <v>0</v>
      </c>
      <c r="E471" t="s">
        <v>2570</v>
      </c>
      <c r="F471">
        <v>6</v>
      </c>
      <c r="G471" s="1" t="s">
        <v>442</v>
      </c>
      <c r="H471" s="16" t="s">
        <v>3103</v>
      </c>
      <c r="I471" s="18"/>
      <c r="J471" t="str">
        <f>IF(LEN(VLOOKUP(表1[[#This Row],[id]],数据引用!A:C,3,FALSE))&gt;0,VLOOKUP(表1[[#This Row],[id]],数据引用!A:C,3,FALSE),"")</f>
        <v>黄金刺剑</v>
      </c>
      <c r="K471" t="s">
        <v>1199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font-size:12;"&gt;黄金刺剑&lt;/text&gt;&lt;text transform="matrix(1 0 0 1 0 10.3205)" style="fill:#FFFFFF; font-family:'FZXS12--GB1-0'; font-size:12;"&gt;黄金刺剑&lt;/text&gt;&lt;/svg&gt;</v>
      </c>
      <c r="P471" s="5"/>
    </row>
    <row r="472" spans="1:16" ht="14.25" customHeight="1">
      <c r="A472">
        <v>480</v>
      </c>
      <c r="B472">
        <v>0</v>
      </c>
      <c r="C472">
        <v>0</v>
      </c>
      <c r="E472" t="s">
        <v>2570</v>
      </c>
      <c r="F472">
        <v>6</v>
      </c>
      <c r="G472" s="1" t="s">
        <v>443</v>
      </c>
      <c r="H472" s="16" t="s">
        <v>3104</v>
      </c>
      <c r="I472" s="18"/>
      <c r="J472" t="str">
        <f>IF(LEN(VLOOKUP(表1[[#This Row],[id]],数据引用!A:C,3,FALSE))&gt;0,VLOOKUP(表1[[#This Row],[id]],数据引用!A:C,3,FALSE),"")</f>
        <v>鲜血刺剑</v>
      </c>
      <c r="K472" t="s">
        <v>1199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font-size:12;"&gt;鲜血刺剑&lt;/text&gt;&lt;text transform="matrix(1 0 0 1 0 10.3205)" style="fill:#FFFFFF; font-family:'FZXS12--GB1-0'; font-size:12;"&gt;鲜血刺剑&lt;/text&gt;&lt;/svg&gt;</v>
      </c>
      <c r="P472" s="5"/>
    </row>
    <row r="473" spans="1:16" ht="14.25" customHeight="1">
      <c r="A473">
        <v>481</v>
      </c>
      <c r="B473">
        <v>0</v>
      </c>
      <c r="C473">
        <v>0</v>
      </c>
      <c r="E473" t="s">
        <v>2570</v>
      </c>
      <c r="F473">
        <v>6</v>
      </c>
      <c r="G473" s="1" t="s">
        <v>444</v>
      </c>
      <c r="H473" s="16" t="s">
        <v>3105</v>
      </c>
      <c r="I473" s="18"/>
      <c r="J473" t="str">
        <f>IF(LEN(VLOOKUP(表1[[#This Row],[id]],数据引用!A:C,3,FALSE))&gt;0,VLOOKUP(表1[[#This Row],[id]],数据引用!A:C,3,FALSE),"")</f>
        <v>玻璃刺剑</v>
      </c>
      <c r="K473" t="s">
        <v>1199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font-size:12;"&gt;玻璃刺剑&lt;/text&gt;&lt;text transform="matrix(1 0 0 1 0 10.3205)" style="fill:#FFFFFF; font-family:'FZXS12--GB1-0'; font-size:12;"&gt;玻璃刺剑&lt;/text&gt;&lt;/svg&gt;</v>
      </c>
      <c r="P473" s="5"/>
    </row>
    <row r="474" spans="1:16" ht="14.25" customHeight="1">
      <c r="A474">
        <v>482</v>
      </c>
      <c r="B474">
        <v>0</v>
      </c>
      <c r="C474">
        <v>0</v>
      </c>
      <c r="E474" t="s">
        <v>2570</v>
      </c>
      <c r="F474">
        <v>6</v>
      </c>
      <c r="G474" s="1" t="s">
        <v>445</v>
      </c>
      <c r="H474" s="16" t="s">
        <v>3106</v>
      </c>
      <c r="I474" s="18"/>
      <c r="J474" t="str">
        <f>IF(LEN(VLOOKUP(表1[[#This Row],[id]],数据引用!A:C,3,FALSE))&gt;0,VLOOKUP(表1[[#This Row],[id]],数据引用!A:C,3,FALSE),"")</f>
        <v>弓</v>
      </c>
      <c r="K474" t="s">
        <v>1199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font-size:12;"&gt;弓&lt;/text&gt;&lt;text transform="matrix(1 0 0 1 0 10.3205)" style="fill:#FFFFFF; font-family:'FZXS12--GB1-0'; font-size:12;"&gt;弓&lt;/text&gt;&lt;/svg&gt;</v>
      </c>
      <c r="P474" s="5"/>
    </row>
    <row r="475" spans="1:16" ht="14.25" customHeight="1">
      <c r="A475">
        <v>483</v>
      </c>
      <c r="B475">
        <v>0</v>
      </c>
      <c r="C475">
        <v>0</v>
      </c>
      <c r="E475" t="s">
        <v>2570</v>
      </c>
      <c r="F475">
        <v>6</v>
      </c>
      <c r="G475" s="1" t="s">
        <v>446</v>
      </c>
      <c r="H475" s="16" t="s">
        <v>3107</v>
      </c>
      <c r="I475" s="18"/>
      <c r="J475" t="str">
        <f>IF(LEN(VLOOKUP(表1[[#This Row],[id]],数据引用!A:C,3,FALSE))&gt;0,VLOOKUP(表1[[#This Row],[id]],数据引用!A:C,3,FALSE),"")</f>
        <v>钛金长弓</v>
      </c>
      <c r="K475" t="s">
        <v>1199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font-size:12;"&gt;钛金长弓&lt;/text&gt;&lt;text transform="matrix(1 0 0 1 0 10.3205)" style="fill:#FFFFFF; font-family:'FZXS12--GB1-0'; font-size:12;"&gt;钛金长弓&lt;/text&gt;&lt;/svg&gt;</v>
      </c>
      <c r="P475" s="5"/>
    </row>
    <row r="476" spans="1:16" ht="14.25" customHeight="1">
      <c r="A476">
        <v>484</v>
      </c>
      <c r="B476">
        <v>0</v>
      </c>
      <c r="C476">
        <v>0</v>
      </c>
      <c r="E476" t="s">
        <v>2570</v>
      </c>
      <c r="F476">
        <v>6</v>
      </c>
      <c r="G476" s="1" t="s">
        <v>447</v>
      </c>
      <c r="H476" s="16" t="s">
        <v>3108</v>
      </c>
      <c r="I476" s="18"/>
      <c r="J476" t="str">
        <f>IF(LEN(VLOOKUP(表1[[#This Row],[id]],数据引用!A:C,3,FALSE))&gt;0,VLOOKUP(表1[[#This Row],[id]],数据引用!A:C,3,FALSE),"")</f>
        <v>黑曜石长弓</v>
      </c>
      <c r="K476" t="s">
        <v>1199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font-size:12;"&gt;黑曜石长弓&lt;/text&gt;&lt;text transform="matrix(1 0 0 1 0 10.3205)" style="fill:#FFFFFF; font-family:'FZXS12--GB1-0'; font-size:12;"&gt;黑曜石长弓&lt;/text&gt;&lt;/svg&gt;</v>
      </c>
      <c r="P476" s="5"/>
    </row>
    <row r="477" spans="1:16" ht="14.25" customHeight="1">
      <c r="A477">
        <v>485</v>
      </c>
      <c r="B477">
        <v>0</v>
      </c>
      <c r="C477">
        <v>0</v>
      </c>
      <c r="E477" t="s">
        <v>2570</v>
      </c>
      <c r="F477">
        <v>6</v>
      </c>
      <c r="G477" s="1" t="s">
        <v>448</v>
      </c>
      <c r="H477" s="16" t="s">
        <v>3109</v>
      </c>
      <c r="I477" s="18"/>
      <c r="J477" t="str">
        <f>IF(LEN(VLOOKUP(表1[[#This Row],[id]],数据引用!A:C,3,FALSE))&gt;0,VLOOKUP(表1[[#This Row],[id]],数据引用!A:C,3,FALSE),"")</f>
        <v>黄金长弓</v>
      </c>
      <c r="K477" t="s">
        <v>1199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font-size:12;"&gt;黄金长弓&lt;/text&gt;&lt;text transform="matrix(1 0 0 1 0 10.3205)" style="fill:#FFFFFF; font-family:'FZXS12--GB1-0'; font-size:12;"&gt;黄金长弓&lt;/text&gt;&lt;/svg&gt;</v>
      </c>
      <c r="P477" s="5"/>
    </row>
    <row r="478" spans="1:16" ht="14.25" customHeight="1">
      <c r="A478">
        <v>486</v>
      </c>
      <c r="B478">
        <v>0</v>
      </c>
      <c r="C478">
        <v>0</v>
      </c>
      <c r="E478" t="s">
        <v>2570</v>
      </c>
      <c r="F478">
        <v>6</v>
      </c>
      <c r="G478" s="1" t="s">
        <v>449</v>
      </c>
      <c r="H478" s="16" t="s">
        <v>3110</v>
      </c>
      <c r="I478" s="18"/>
      <c r="J478" t="str">
        <f>IF(LEN(VLOOKUP(表1[[#This Row],[id]],数据引用!A:C,3,FALSE))&gt;0,VLOOKUP(表1[[#This Row],[id]],数据引用!A:C,3,FALSE),"")</f>
        <v>鲜血长弓</v>
      </c>
      <c r="K478" t="s">
        <v>1199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font-size:12;"&gt;鲜血长弓&lt;/text&gt;&lt;text transform="matrix(1 0 0 1 0 10.3205)" style="fill:#FFFFFF; font-family:'FZXS12--GB1-0'; font-size:12;"&gt;鲜血长弓&lt;/text&gt;&lt;/svg&gt;</v>
      </c>
      <c r="P478" s="5"/>
    </row>
    <row r="479" spans="1:16" ht="14.25" customHeight="1">
      <c r="A479">
        <v>487</v>
      </c>
      <c r="B479">
        <v>0</v>
      </c>
      <c r="C479">
        <v>0</v>
      </c>
      <c r="E479" t="s">
        <v>2570</v>
      </c>
      <c r="F479">
        <v>6</v>
      </c>
      <c r="G479" s="1" t="s">
        <v>450</v>
      </c>
      <c r="H479" s="16" t="s">
        <v>3111</v>
      </c>
      <c r="I479" s="18"/>
      <c r="J479" t="str">
        <f>IF(LEN(VLOOKUP(表1[[#This Row],[id]],数据引用!A:C,3,FALSE))&gt;0,VLOOKUP(表1[[#This Row],[id]],数据引用!A:C,3,FALSE),"")</f>
        <v>玻璃长弓</v>
      </c>
      <c r="K479" t="s">
        <v>1199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font-size:12;"&gt;玻璃长弓&lt;/text&gt;&lt;text transform="matrix(1 0 0 1 0 10.3205)" style="fill:#FFFFFF; font-family:'FZXS12--GB1-0'; font-size:12;"&gt;玻璃长弓&lt;/text&gt;&lt;/svg&gt;</v>
      </c>
      <c r="P479" s="5"/>
    </row>
    <row r="480" spans="1:16" ht="14.25" customHeight="1">
      <c r="A480">
        <v>488</v>
      </c>
      <c r="B480">
        <v>0</v>
      </c>
      <c r="C480">
        <v>0</v>
      </c>
      <c r="E480" t="s">
        <v>2570</v>
      </c>
      <c r="F480">
        <v>6</v>
      </c>
      <c r="G480" s="1" t="s">
        <v>451</v>
      </c>
      <c r="H480" s="16" t="s">
        <v>3112</v>
      </c>
      <c r="I480" s="18"/>
      <c r="J480" t="str">
        <f>IF(LEN(VLOOKUP(表1[[#This Row],[id]],数据引用!A:C,3,FALSE))&gt;0,VLOOKUP(表1[[#This Row],[id]],数据引用!A:C,3,FALSE),"")</f>
        <v>十字弩</v>
      </c>
      <c r="K480" t="s">
        <v>1199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font-size:12;"&gt;十字弩&lt;/text&gt;&lt;text transform="matrix(1 0 0 1 0 10.3205)" style="fill:#FFFFFF; font-family:'FZXS12--GB1-0'; font-size:12;"&gt;十字弩&lt;/text&gt;&lt;/svg&gt;</v>
      </c>
      <c r="P480" s="5"/>
    </row>
    <row r="481" spans="1:16" ht="14.25" customHeight="1">
      <c r="A481">
        <v>489</v>
      </c>
      <c r="B481">
        <v>0</v>
      </c>
      <c r="C481">
        <v>0</v>
      </c>
      <c r="E481" t="s">
        <v>2570</v>
      </c>
      <c r="F481">
        <v>6</v>
      </c>
      <c r="G481" s="1" t="s">
        <v>452</v>
      </c>
      <c r="H481" s="16" t="s">
        <v>3113</v>
      </c>
      <c r="I481" s="18"/>
      <c r="J481" t="str">
        <f>IF(LEN(VLOOKUP(表1[[#This Row],[id]],数据引用!A:C,3,FALSE))&gt;0,VLOOKUP(表1[[#This Row],[id]],数据引用!A:C,3,FALSE),"")</f>
        <v>钛金十字弩</v>
      </c>
      <c r="K481" t="s">
        <v>1199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font-size:12;"&gt;钛金十字弩&lt;/text&gt;&lt;text transform="matrix(1 0 0 1 0 10.3205)" style="fill:#FFFFFF; font-family:'FZXS12--GB1-0'; font-size:12;"&gt;钛金十字弩&lt;/text&gt;&lt;/svg&gt;</v>
      </c>
      <c r="P481" s="5"/>
    </row>
    <row r="482" spans="1:16" ht="14.25" customHeight="1">
      <c r="A482">
        <v>490</v>
      </c>
      <c r="B482">
        <v>0</v>
      </c>
      <c r="C482">
        <v>0</v>
      </c>
      <c r="E482" t="s">
        <v>2570</v>
      </c>
      <c r="F482">
        <v>6</v>
      </c>
      <c r="G482" s="1" t="s">
        <v>453</v>
      </c>
      <c r="H482" s="16" t="s">
        <v>3114</v>
      </c>
      <c r="I482" s="18"/>
      <c r="J482" t="str">
        <f>IF(LEN(VLOOKUP(表1[[#This Row],[id]],数据引用!A:C,3,FALSE))&gt;0,VLOOKUP(表1[[#This Row],[id]],数据引用!A:C,3,FALSE),"")</f>
        <v>黑曜石十字弩</v>
      </c>
      <c r="K482" t="s">
        <v>1199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font-size:12;"&gt;黑曜石十字弩&lt;/text&gt;&lt;text transform="matrix(1 0 0 1 0 10.3205)" style="fill:#FFFFFF; font-family:'FZXS12--GB1-0'; font-size:12;"&gt;黑曜石十字弩&lt;/text&gt;&lt;/svg&gt;</v>
      </c>
      <c r="P482" s="5"/>
    </row>
    <row r="483" spans="1:16" ht="14.25" customHeight="1">
      <c r="A483">
        <v>491</v>
      </c>
      <c r="B483">
        <v>0</v>
      </c>
      <c r="C483">
        <v>0</v>
      </c>
      <c r="E483" t="s">
        <v>2570</v>
      </c>
      <c r="F483">
        <v>6</v>
      </c>
      <c r="G483" s="1" t="s">
        <v>454</v>
      </c>
      <c r="H483" s="16" t="s">
        <v>3115</v>
      </c>
      <c r="I483" s="18"/>
      <c r="J483" t="str">
        <f>IF(LEN(VLOOKUP(表1[[#This Row],[id]],数据引用!A:C,3,FALSE))&gt;0,VLOOKUP(表1[[#This Row],[id]],数据引用!A:C,3,FALSE),"")</f>
        <v>黄金十字弩</v>
      </c>
      <c r="K483" t="s">
        <v>1199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font-size:12;"&gt;黄金十字弩&lt;/text&gt;&lt;text transform="matrix(1 0 0 1 0 10.3205)" style="fill:#FFFFFF; font-family:'FZXS12--GB1-0'; font-size:12;"&gt;黄金十字弩&lt;/text&gt;&lt;/svg&gt;</v>
      </c>
      <c r="P483" s="5"/>
    </row>
    <row r="484" spans="1:16" ht="14.25" customHeight="1">
      <c r="A484">
        <v>492</v>
      </c>
      <c r="B484">
        <v>0</v>
      </c>
      <c r="C484">
        <v>0</v>
      </c>
      <c r="E484" t="s">
        <v>2570</v>
      </c>
      <c r="F484">
        <v>6</v>
      </c>
      <c r="G484" s="1" t="s">
        <v>455</v>
      </c>
      <c r="H484" s="16" t="s">
        <v>3116</v>
      </c>
      <c r="I484" s="18"/>
      <c r="J484" t="str">
        <f>IF(LEN(VLOOKUP(表1[[#This Row],[id]],数据引用!A:C,3,FALSE))&gt;0,VLOOKUP(表1[[#This Row],[id]],数据引用!A:C,3,FALSE),"")</f>
        <v>鲜血十字弩</v>
      </c>
      <c r="K484" t="s">
        <v>1199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font-size:12;"&gt;鲜血十字弩&lt;/text&gt;&lt;text transform="matrix(1 0 0 1 0 10.3205)" style="fill:#FFFFFF; font-family:'FZXS12--GB1-0'; font-size:12;"&gt;鲜血十字弩&lt;/text&gt;&lt;/svg&gt;</v>
      </c>
      <c r="P484" s="5"/>
    </row>
    <row r="485" spans="1:16" ht="14.25" customHeight="1">
      <c r="A485">
        <v>493</v>
      </c>
      <c r="B485">
        <v>0</v>
      </c>
      <c r="C485">
        <v>0</v>
      </c>
      <c r="E485" t="s">
        <v>2570</v>
      </c>
      <c r="F485">
        <v>6</v>
      </c>
      <c r="G485" s="1" t="s">
        <v>456</v>
      </c>
      <c r="H485" s="16" t="s">
        <v>3117</v>
      </c>
      <c r="I485" s="18"/>
      <c r="J485" t="str">
        <f>IF(LEN(VLOOKUP(表1[[#This Row],[id]],数据引用!A:C,3,FALSE))&gt;0,VLOOKUP(表1[[#This Row],[id]],数据引用!A:C,3,FALSE),"")</f>
        <v>玻璃十字弩</v>
      </c>
      <c r="K485" t="s">
        <v>1199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font-size:12;"&gt;玻璃十字弩&lt;/text&gt;&lt;text transform="matrix(1 0 0 1 0 10.3205)" style="fill:#FFFFFF; font-family:'FZXS12--GB1-0'; font-size:12;"&gt;玻璃十字弩&lt;/text&gt;&lt;/svg&gt;</v>
      </c>
      <c r="P485" s="5"/>
    </row>
    <row r="486" spans="1:16" ht="14.25" customHeight="1">
      <c r="A486">
        <v>494</v>
      </c>
      <c r="B486">
        <v>0</v>
      </c>
      <c r="C486">
        <v>0</v>
      </c>
      <c r="E486" t="s">
        <v>2570</v>
      </c>
      <c r="F486">
        <v>6</v>
      </c>
      <c r="G486" s="1" t="s">
        <v>457</v>
      </c>
      <c r="H486" s="16" t="s">
        <v>3118</v>
      </c>
      <c r="I486" s="18"/>
      <c r="J486" t="str">
        <f>IF(LEN(VLOOKUP(表1[[#This Row],[id]],数据引用!A:C,3,FALSE))&gt;0,VLOOKUP(表1[[#This Row],[id]],数据引用!A:C,3,FALSE),"")</f>
        <v>流星锤</v>
      </c>
      <c r="K486" t="s">
        <v>1199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font-size:12;"&gt;流星锤&lt;/text&gt;&lt;text transform="matrix(1 0 0 1 0 10.3205)" style="fill:#FFFFFF; font-family:'FZXS12--GB1-0'; font-size:12;"&gt;流星锤&lt;/text&gt;&lt;/svg&gt;</v>
      </c>
      <c r="P486" s="5"/>
    </row>
    <row r="487" spans="1:16" ht="14.25" customHeight="1">
      <c r="A487">
        <v>495</v>
      </c>
      <c r="B487">
        <v>0</v>
      </c>
      <c r="C487">
        <v>0</v>
      </c>
      <c r="E487" t="s">
        <v>2570</v>
      </c>
      <c r="F487">
        <v>6</v>
      </c>
      <c r="G487" s="1" t="s">
        <v>458</v>
      </c>
      <c r="H487" s="16" t="s">
        <v>3119</v>
      </c>
      <c r="I487" s="18"/>
      <c r="J487" t="str">
        <f>IF(LEN(VLOOKUP(表1[[#This Row],[id]],数据引用!A:C,3,FALSE))&gt;0,VLOOKUP(表1[[#This Row],[id]],数据引用!A:C,3,FALSE),"")</f>
        <v>钛金流星锤</v>
      </c>
      <c r="K487" t="s">
        <v>1199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font-size:12;"&gt;钛金流星锤&lt;/text&gt;&lt;text transform="matrix(1 0 0 1 0 10.3205)" style="fill:#FFFFFF; font-family:'FZXS12--GB1-0'; font-size:12;"&gt;钛金流星锤&lt;/text&gt;&lt;/svg&gt;</v>
      </c>
      <c r="P487" s="5"/>
    </row>
    <row r="488" spans="1:16" ht="14.25" customHeight="1">
      <c r="A488">
        <v>496</v>
      </c>
      <c r="B488">
        <v>0</v>
      </c>
      <c r="C488">
        <v>0</v>
      </c>
      <c r="E488" t="s">
        <v>2570</v>
      </c>
      <c r="F488">
        <v>6</v>
      </c>
      <c r="G488" s="1" t="s">
        <v>459</v>
      </c>
      <c r="H488" s="16" t="s">
        <v>3120</v>
      </c>
      <c r="I488" s="18"/>
      <c r="J488" t="str">
        <f>IF(LEN(VLOOKUP(表1[[#This Row],[id]],数据引用!A:C,3,FALSE))&gt;0,VLOOKUP(表1[[#This Row],[id]],数据引用!A:C,3,FALSE),"")</f>
        <v>黑曜石流星锤</v>
      </c>
      <c r="K488" t="s">
        <v>1199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font-size:12;"&gt;黑曜石流星锤&lt;/text&gt;&lt;text transform="matrix(1 0 0 1 0 10.3205)" style="fill:#FFFFFF; font-family:'FZXS12--GB1-0'; font-size:12;"&gt;黑曜石流星锤&lt;/text&gt;&lt;/svg&gt;</v>
      </c>
      <c r="P488" s="5"/>
    </row>
    <row r="489" spans="1:16" ht="14.25" customHeight="1">
      <c r="A489">
        <v>497</v>
      </c>
      <c r="B489">
        <v>0</v>
      </c>
      <c r="C489">
        <v>0</v>
      </c>
      <c r="E489" t="s">
        <v>2570</v>
      </c>
      <c r="F489">
        <v>6</v>
      </c>
      <c r="G489" s="1" t="s">
        <v>460</v>
      </c>
      <c r="H489" s="16" t="s">
        <v>3121</v>
      </c>
      <c r="I489" s="18"/>
      <c r="J489" t="str">
        <f>IF(LEN(VLOOKUP(表1[[#This Row],[id]],数据引用!A:C,3,FALSE))&gt;0,VLOOKUP(表1[[#This Row],[id]],数据引用!A:C,3,FALSE),"")</f>
        <v>黄金流星锤</v>
      </c>
      <c r="K489" t="s">
        <v>1199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font-size:12;"&gt;黄金流星锤&lt;/text&gt;&lt;text transform="matrix(1 0 0 1 0 10.3205)" style="fill:#FFFFFF; font-family:'FZXS12--GB1-0'; font-size:12;"&gt;黄金流星锤&lt;/text&gt;&lt;/svg&gt;</v>
      </c>
      <c r="P489" s="5"/>
    </row>
    <row r="490" spans="1:16" ht="14.25" customHeight="1">
      <c r="A490">
        <v>498</v>
      </c>
      <c r="B490">
        <v>0</v>
      </c>
      <c r="C490">
        <v>0</v>
      </c>
      <c r="E490" t="s">
        <v>2570</v>
      </c>
      <c r="F490">
        <v>6</v>
      </c>
      <c r="G490" s="1" t="s">
        <v>461</v>
      </c>
      <c r="H490" s="16" t="s">
        <v>3122</v>
      </c>
      <c r="I490" s="18"/>
      <c r="J490" t="str">
        <f>IF(LEN(VLOOKUP(表1[[#This Row],[id]],数据引用!A:C,3,FALSE))&gt;0,VLOOKUP(表1[[#This Row],[id]],数据引用!A:C,3,FALSE),"")</f>
        <v>鲜血流星锤</v>
      </c>
      <c r="K490" t="s">
        <v>1199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font-size:12;"&gt;鲜血流星锤&lt;/text&gt;&lt;text transform="matrix(1 0 0 1 0 10.3205)" style="fill:#FFFFFF; font-family:'FZXS12--GB1-0'; font-size:12;"&gt;鲜血流星锤&lt;/text&gt;&lt;/svg&gt;</v>
      </c>
      <c r="P490" s="5"/>
    </row>
    <row r="491" spans="1:16" ht="14.25" customHeight="1">
      <c r="A491">
        <v>499</v>
      </c>
      <c r="B491">
        <v>0</v>
      </c>
      <c r="C491">
        <v>0</v>
      </c>
      <c r="E491" t="s">
        <v>2570</v>
      </c>
      <c r="F491">
        <v>6</v>
      </c>
      <c r="G491" s="1" t="s">
        <v>462</v>
      </c>
      <c r="H491" s="16" t="s">
        <v>3123</v>
      </c>
      <c r="I491" s="18"/>
      <c r="J491" t="str">
        <f>IF(LEN(VLOOKUP(表1[[#This Row],[id]],数据引用!A:C,3,FALSE))&gt;0,VLOOKUP(表1[[#This Row],[id]],数据引用!A:C,3,FALSE),"")</f>
        <v>玻璃流星锤</v>
      </c>
      <c r="K491" t="s">
        <v>1199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font-size:12;"&gt;玻璃流星锤&lt;/text&gt;&lt;text transform="matrix(1 0 0 1 0 10.3205)" style="fill:#FFFFFF; font-family:'FZXS12--GB1-0'; font-size:12;"&gt;玻璃流星锤&lt;/text&gt;&lt;/svg&gt;</v>
      </c>
      <c r="P491" s="5"/>
    </row>
    <row r="492" spans="1:16" ht="14.25" customHeight="1">
      <c r="A492">
        <v>500</v>
      </c>
      <c r="B492">
        <v>0</v>
      </c>
      <c r="C492">
        <v>0</v>
      </c>
      <c r="E492" t="s">
        <v>2570</v>
      </c>
      <c r="F492">
        <v>6</v>
      </c>
      <c r="G492" s="1" t="s">
        <v>463</v>
      </c>
      <c r="H492" s="16" t="s">
        <v>3124</v>
      </c>
      <c r="I492" s="18"/>
      <c r="J492" t="str">
        <f>IF(LEN(VLOOKUP(表1[[#This Row],[id]],数据引用!A:C,3,FALSE))&gt;0,VLOOKUP(表1[[#This Row],[id]],数据引用!A:C,3,FALSE),"")</f>
        <v>九尾鞭</v>
      </c>
      <c r="K492" t="s">
        <v>1199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font-size:12;"&gt;九尾鞭&lt;/text&gt;&lt;text transform="matrix(1 0 0 1 0 10.3205)" style="fill:#FFFFFF; font-family:'FZXS12--GB1-0'; font-size:12;"&gt;九尾鞭&lt;/text&gt;&lt;/svg&gt;</v>
      </c>
      <c r="P492" s="5"/>
    </row>
    <row r="493" spans="1:16" ht="14.25" customHeight="1">
      <c r="A493">
        <v>501</v>
      </c>
      <c r="B493">
        <v>0</v>
      </c>
      <c r="C493">
        <v>0</v>
      </c>
      <c r="E493" t="s">
        <v>2570</v>
      </c>
      <c r="F493">
        <v>6</v>
      </c>
      <c r="G493" s="1" t="s">
        <v>464</v>
      </c>
      <c r="H493" s="16" t="s">
        <v>3125</v>
      </c>
      <c r="I493" s="18"/>
      <c r="J493" t="str">
        <f>IF(LEN(VLOOKUP(表1[[#This Row],[id]],数据引用!A:C,3,FALSE))&gt;0,VLOOKUP(表1[[#This Row],[id]],数据引用!A:C,3,FALSE),"")</f>
        <v>钛金九尾鞭</v>
      </c>
      <c r="K493" t="s">
        <v>1199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font-size:12;"&gt;钛金九尾鞭&lt;/text&gt;&lt;text transform="matrix(1 0 0 1 0 10.3205)" style="fill:#FFFFFF; font-family:'FZXS12--GB1-0'; font-size:12;"&gt;钛金九尾鞭&lt;/text&gt;&lt;/svg&gt;</v>
      </c>
      <c r="P493" s="5"/>
    </row>
    <row r="494" spans="1:16" ht="14.25" customHeight="1">
      <c r="A494">
        <v>502</v>
      </c>
      <c r="B494">
        <v>0</v>
      </c>
      <c r="C494">
        <v>0</v>
      </c>
      <c r="E494" t="s">
        <v>2570</v>
      </c>
      <c r="F494">
        <v>6</v>
      </c>
      <c r="G494" s="1" t="s">
        <v>465</v>
      </c>
      <c r="H494" s="16" t="s">
        <v>3126</v>
      </c>
      <c r="I494" s="18"/>
      <c r="J494" t="str">
        <f>IF(LEN(VLOOKUP(表1[[#This Row],[id]],数据引用!A:C,3,FALSE))&gt;0,VLOOKUP(表1[[#This Row],[id]],数据引用!A:C,3,FALSE),"")</f>
        <v>黑曜石九尾鞭</v>
      </c>
      <c r="K494" t="s">
        <v>1199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font-size:12;"&gt;黑曜石九尾鞭&lt;/text&gt;&lt;text transform="matrix(1 0 0 1 0 10.3205)" style="fill:#FFFFFF; font-family:'FZXS12--GB1-0'; font-size:12;"&gt;黑曜石九尾鞭&lt;/text&gt;&lt;/svg&gt;</v>
      </c>
      <c r="P494" s="5"/>
    </row>
    <row r="495" spans="1:16" ht="14.25" customHeight="1">
      <c r="A495">
        <v>503</v>
      </c>
      <c r="B495">
        <v>0</v>
      </c>
      <c r="C495">
        <v>0</v>
      </c>
      <c r="E495" t="s">
        <v>2570</v>
      </c>
      <c r="F495">
        <v>6</v>
      </c>
      <c r="G495" s="1" t="s">
        <v>466</v>
      </c>
      <c r="H495" s="16" t="s">
        <v>3127</v>
      </c>
      <c r="I495" s="18"/>
      <c r="J495" t="str">
        <f>IF(LEN(VLOOKUP(表1[[#This Row],[id]],数据引用!A:C,3,FALSE))&gt;0,VLOOKUP(表1[[#This Row],[id]],数据引用!A:C,3,FALSE),"")</f>
        <v>黄金九尾鞭</v>
      </c>
      <c r="K495" t="s">
        <v>1199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font-size:12;"&gt;黄金九尾鞭&lt;/text&gt;&lt;text transform="matrix(1 0 0 1 0 10.3205)" style="fill:#FFFFFF; font-family:'FZXS12--GB1-0'; font-size:12;"&gt;黄金九尾鞭&lt;/text&gt;&lt;/svg&gt;</v>
      </c>
      <c r="P495" s="5"/>
    </row>
    <row r="496" spans="1:16" ht="14.25" customHeight="1">
      <c r="A496">
        <v>504</v>
      </c>
      <c r="B496">
        <v>0</v>
      </c>
      <c r="C496">
        <v>0</v>
      </c>
      <c r="E496" t="s">
        <v>2570</v>
      </c>
      <c r="F496">
        <v>6</v>
      </c>
      <c r="G496" s="1" t="s">
        <v>467</v>
      </c>
      <c r="H496" s="16" t="s">
        <v>3128</v>
      </c>
      <c r="I496" s="18"/>
      <c r="J496" t="str">
        <f>IF(LEN(VLOOKUP(表1[[#This Row],[id]],数据引用!A:C,3,FALSE))&gt;0,VLOOKUP(表1[[#This Row],[id]],数据引用!A:C,3,FALSE),"")</f>
        <v>鲜血九尾鞭</v>
      </c>
      <c r="K496" t="s">
        <v>1199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font-size:12;"&gt;鲜血九尾鞭&lt;/text&gt;&lt;text transform="matrix(1 0 0 1 0 10.3205)" style="fill:#FFFFFF; font-family:'FZXS12--GB1-0'; font-size:12;"&gt;鲜血九尾鞭&lt;/text&gt;&lt;/svg&gt;</v>
      </c>
      <c r="P496" s="5"/>
    </row>
    <row r="497" spans="1:16" ht="14.25" customHeight="1">
      <c r="A497">
        <v>505</v>
      </c>
      <c r="B497">
        <v>0</v>
      </c>
      <c r="C497">
        <v>0</v>
      </c>
      <c r="E497" t="s">
        <v>2570</v>
      </c>
      <c r="F497">
        <v>6</v>
      </c>
      <c r="G497" s="1" t="s">
        <v>468</v>
      </c>
      <c r="H497" s="16" t="s">
        <v>3129</v>
      </c>
      <c r="I497" s="18"/>
      <c r="J497" t="str">
        <f>IF(LEN(VLOOKUP(表1[[#This Row],[id]],数据引用!A:C,3,FALSE))&gt;0,VLOOKUP(表1[[#This Row],[id]],数据引用!A:C,3,FALSE),"")</f>
        <v>玻璃九尾鞭</v>
      </c>
      <c r="K497" t="s">
        <v>1199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font-size:12;"&gt;玻璃九尾鞭&lt;/text&gt;&lt;text transform="matrix(1 0 0 1 0 10.3205)" style="fill:#FFFFFF; font-family:'FZXS12--GB1-0'; font-size:12;"&gt;玻璃九尾鞭&lt;/text&gt;&lt;/svg&gt;</v>
      </c>
      <c r="P497" s="5"/>
    </row>
    <row r="498" spans="1:16" ht="14.25" customHeight="1">
      <c r="A498">
        <v>506</v>
      </c>
      <c r="B498">
        <v>0</v>
      </c>
      <c r="C498">
        <v>0</v>
      </c>
      <c r="E498" t="s">
        <v>2570</v>
      </c>
      <c r="F498">
        <v>6</v>
      </c>
      <c r="G498" s="1" t="s">
        <v>469</v>
      </c>
      <c r="H498" s="16" t="s">
        <v>3130</v>
      </c>
      <c r="I498" s="18"/>
      <c r="J498" t="str">
        <f>IF(LEN(VLOOKUP(表1[[#This Row],[id]],数据引用!A:C,3,FALSE))&gt;0,VLOOKUP(表1[[#This Row],[id]],数据引用!A:C,3,FALSE),"")</f>
        <v>霰弹枪</v>
      </c>
      <c r="K498" t="s">
        <v>1199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font-size:12;"&gt;霰弹枪&lt;/text&gt;&lt;text transform="matrix(1 0 0 1 0 10.3205)" style="fill:#FFFFFF; font-family:'FZXS12--GB1-0'; font-size:12;"&gt;霰弹枪&lt;/text&gt;&lt;/svg&gt;</v>
      </c>
      <c r="P498" s="5"/>
    </row>
    <row r="499" spans="1:16" ht="14.25" customHeight="1">
      <c r="A499">
        <v>507</v>
      </c>
      <c r="B499">
        <v>0</v>
      </c>
      <c r="C499">
        <v>0</v>
      </c>
      <c r="E499" t="s">
        <v>2570</v>
      </c>
      <c r="F499">
        <v>6</v>
      </c>
      <c r="G499" s="1" t="s">
        <v>470</v>
      </c>
      <c r="H499" s="16" t="s">
        <v>3131</v>
      </c>
      <c r="I499" s="18"/>
      <c r="J499" t="str">
        <f>IF(LEN(VLOOKUP(表1[[#This Row],[id]],数据引用!A:C,3,FALSE))&gt;0,VLOOKUP(表1[[#This Row],[id]],数据引用!A:C,3,FALSE),"")</f>
        <v>来复枪</v>
      </c>
      <c r="K499" t="s">
        <v>1199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font-size:12;"&gt;来复枪&lt;/text&gt;&lt;text transform="matrix(1 0 0 1 0 10.3205)" style="fill:#FFFFFF; font-family:'FZXS12--GB1-0'; font-size:12;"&gt;来复枪&lt;/text&gt;&lt;/svg&gt;</v>
      </c>
      <c r="P499" s="5"/>
    </row>
    <row r="500" spans="1:16" ht="14.25" customHeight="1">
      <c r="A500">
        <v>508</v>
      </c>
      <c r="B500">
        <v>0</v>
      </c>
      <c r="C500">
        <v>0</v>
      </c>
      <c r="E500" t="s">
        <v>2570</v>
      </c>
      <c r="F500">
        <v>6</v>
      </c>
      <c r="G500" s="1" t="s">
        <v>471</v>
      </c>
      <c r="H500" s="16" t="s">
        <v>3132</v>
      </c>
      <c r="I500" s="18"/>
      <c r="J500" t="str">
        <f>IF(LEN(VLOOKUP(表1[[#This Row],[id]],数据引用!A:C,3,FALSE))&gt;0,VLOOKUP(表1[[#This Row],[id]],数据引用!A:C,3,FALSE),"")</f>
        <v>+1防御</v>
      </c>
      <c r="K500" t="s">
        <v>1199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font-size:12;"&gt;+1防御&lt;/text&gt;&lt;text transform="matrix(1 0 0 1 0 10.3205)" style="fill:#FFFFFF; font-family:'FZXS12--GB1-0'; font-size:12;"&gt;+1防御&lt;/text&gt;&lt;/svg&gt;</v>
      </c>
      <c r="P500" s="5"/>
    </row>
    <row r="501" spans="1:16" ht="14.25" customHeight="1">
      <c r="A501">
        <v>509</v>
      </c>
      <c r="B501">
        <v>0</v>
      </c>
      <c r="C501">
        <v>0</v>
      </c>
      <c r="E501" t="s">
        <v>2570</v>
      </c>
      <c r="F501">
        <v>6</v>
      </c>
      <c r="G501" s="1" t="s">
        <v>472</v>
      </c>
      <c r="H501" s="16" t="s">
        <v>3133</v>
      </c>
      <c r="I501" s="18"/>
      <c r="J501" t="str">
        <f>IF(LEN(VLOOKUP(表1[[#This Row],[id]],数据引用!A:C,3,FALSE))&gt;0,VLOOKUP(表1[[#This Row],[id]],数据引用!A:C,3,FALSE),"")</f>
        <v>+2防御，沉重</v>
      </c>
      <c r="K501" t="s">
        <v>1199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font-size:12;"&gt;+2防御，沉重&lt;/text&gt;&lt;text transform="matrix(1 0 0 1 0 10.3205)" style="fill:#FFFFFF; font-family:'FZXS12--GB1-0'; font-size:12;"&gt;+2防御，沉重&lt;/text&gt;&lt;/svg&gt;</v>
      </c>
      <c r="P501" s="5"/>
    </row>
    <row r="502" spans="1:16" ht="14.25" customHeight="1">
      <c r="A502">
        <v>510</v>
      </c>
      <c r="B502">
        <v>0</v>
      </c>
      <c r="C502">
        <v>0</v>
      </c>
      <c r="E502" t="s">
        <v>2570</v>
      </c>
      <c r="F502">
        <v>6</v>
      </c>
      <c r="G502" s="1" t="s">
        <v>473</v>
      </c>
      <c r="H502" s="16" t="s">
        <v>3134</v>
      </c>
      <c r="I502" s="18"/>
      <c r="J502" t="str">
        <f>IF(LEN(VLOOKUP(表1[[#This Row],[id]],数据引用!A:C,3,FALSE))&gt;0,VLOOKUP(表1[[#This Row],[id]],数据引用!A:C,3,FALSE),"")</f>
        <v>+0.5防御</v>
      </c>
      <c r="K502" t="s">
        <v>1199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font-size:12;"&gt;+0.5防御&lt;/text&gt;&lt;text transform="matrix(1 0 0 1 0 10.3205)" style="fill:#FFFFFF; font-family:'FZXS12--GB1-0'; font-size:12;"&gt;+0.5防御&lt;/text&gt;&lt;/svg&gt;</v>
      </c>
      <c r="P502" s="5"/>
    </row>
    <row r="503" spans="1:16" ht="14.25" customHeight="1">
      <c r="A503">
        <v>511</v>
      </c>
      <c r="B503">
        <v>0</v>
      </c>
      <c r="C503">
        <v>0</v>
      </c>
      <c r="E503" t="s">
        <v>2570</v>
      </c>
      <c r="F503">
        <v>6</v>
      </c>
      <c r="G503" s="1" t="s">
        <v>474</v>
      </c>
      <c r="H503" s="16" t="s">
        <v>3135</v>
      </c>
      <c r="I503" s="18"/>
      <c r="J503" t="str">
        <f>IF(LEN(VLOOKUP(表1[[#This Row],[id]],数据引用!A:C,3,FALSE))&gt;0,VLOOKUP(表1[[#This Row],[id]],数据引用!A:C,3,FALSE),"")</f>
        <v>+1.5防御</v>
      </c>
      <c r="K503" t="s">
        <v>1199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font-size:12;"&gt;+1.5防御&lt;/text&gt;&lt;text transform="matrix(1 0 0 1 0 10.3205)" style="fill:#FFFFFF; font-family:'FZXS12--GB1-0'; font-size:12;"&gt;+1.5防御&lt;/text&gt;&lt;/svg&gt;</v>
      </c>
      <c r="P503" s="5"/>
    </row>
    <row r="504" spans="1:16" ht="14.25" customHeight="1">
      <c r="A504">
        <v>513</v>
      </c>
      <c r="B504">
        <v>0</v>
      </c>
      <c r="C504">
        <v>0</v>
      </c>
      <c r="E504" t="s">
        <v>2570</v>
      </c>
      <c r="F504">
        <v>6</v>
      </c>
      <c r="G504" s="1" t="s">
        <v>475</v>
      </c>
      <c r="H504" s="16" t="s">
        <v>3136</v>
      </c>
      <c r="I504" s="18"/>
      <c r="J504" t="str">
        <f>IF(LEN(VLOOKUP(表1[[#This Row],[id]],数据引用!A:C,3,FALSE))&gt;0,VLOOKUP(表1[[#This Row],[id]],数据引用!A:C,3,FALSE),"")</f>
        <v>造成并承受2倍伤害</v>
      </c>
      <c r="K504" t="s">
        <v>1199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font-size:12;"&gt;造成并承受2倍伤害&lt;/text&gt;&lt;text transform="matrix(1 0 0 1 0 10.3205)" style="fill:#FFFFFF; font-family:'FZXS12--GB1-0'; font-size:12;"&gt;造成并承受2倍伤害&lt;/text&gt;&lt;/svg&gt;</v>
      </c>
      <c r="P504" s="5"/>
    </row>
    <row r="505" spans="1:16" ht="14.25" customHeight="1">
      <c r="A505">
        <v>514</v>
      </c>
      <c r="B505">
        <v>0</v>
      </c>
      <c r="C505">
        <v>0</v>
      </c>
      <c r="E505" t="s">
        <v>2570</v>
      </c>
      <c r="F505">
        <v>6</v>
      </c>
      <c r="G505" s="1" t="s">
        <v>476</v>
      </c>
      <c r="H505" s="16" t="s">
        <v>3137</v>
      </c>
      <c r="I505" s="18"/>
      <c r="J505" t="str">
        <f>IF(LEN(VLOOKUP(表1[[#This Row],[id]],数据引用!A:C,3,FALSE))&gt;0,VLOOKUP(表1[[#This Row],[id]],数据引用!A:C,3,FALSE),"")</f>
        <v>抵御1次攻击</v>
      </c>
      <c r="K505" t="s">
        <v>1199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font-size:12;"&gt;抵御1次攻击&lt;/text&gt;&lt;text transform="matrix(1 0 0 1 0 10.3205)" style="fill:#FFFFFF; font-family:'FZXS12--GB1-0'; font-size:12;"&gt;抵御1次攻击&lt;/text&gt;&lt;/svg&gt;</v>
      </c>
      <c r="P505" s="5"/>
    </row>
    <row r="506" spans="1:16" ht="14.25" customHeight="1">
      <c r="A506">
        <v>515</v>
      </c>
      <c r="B506">
        <v>0</v>
      </c>
      <c r="C506">
        <v>0</v>
      </c>
      <c r="E506" t="s">
        <v>2570</v>
      </c>
      <c r="F506">
        <v>6</v>
      </c>
      <c r="G506" s="1" t="s">
        <v>477</v>
      </c>
      <c r="H506" s="16" t="s">
        <v>3138</v>
      </c>
      <c r="I506" s="18"/>
      <c r="J506" t="str">
        <f>IF(LEN(VLOOKUP(表1[[#This Row],[id]],数据引用!A:C,3,FALSE))&gt;0,VLOOKUP(表1[[#This Row],[id]],数据引用!A:C,3,FALSE),"")</f>
        <v>金币倍率将强化防御</v>
      </c>
      <c r="K506" t="s">
        <v>1199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font-size:12;"&gt;金币倍率将强化防御&lt;/text&gt;&lt;text transform="matrix(1 0 0 1 0 10.3205)" style="fill:#FFFFFF; font-family:'FZXS12--GB1-0'; font-size:12;"&gt;金币倍率将强化防御&lt;/text&gt;&lt;/svg&gt;</v>
      </c>
      <c r="P506" s="5"/>
    </row>
    <row r="507" spans="1:16" ht="14.25" customHeight="1">
      <c r="A507">
        <v>516</v>
      </c>
      <c r="B507">
        <v>0</v>
      </c>
      <c r="C507">
        <v>0</v>
      </c>
      <c r="E507" t="s">
        <v>2570</v>
      </c>
      <c r="F507">
        <v>6</v>
      </c>
      <c r="G507" s="1" t="s">
        <v>478</v>
      </c>
      <c r="H507" s="16" t="s">
        <v>3139</v>
      </c>
      <c r="I507" s="18"/>
      <c r="J507" t="str">
        <f>IF(LEN(VLOOKUP(表1[[#This Row],[id]],数据引用!A:C,3,FALSE))&gt;0,VLOOKUP(表1[[#This Row],[id]],数据引用!A:C,3,FALSE),"")</f>
        <v>停止移动不会丢失金币倍率</v>
      </c>
      <c r="K507" t="s">
        <v>1199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font-size:12;"&gt;停止移动不会丢失金币倍率&lt;/text&gt;&lt;text transform="matrix(1 0 0 1 0 10.3205)" style="fill:#FFFFFF; font-family:'FZXS12--GB1-0'; font-size:12;"&gt;停止移动不会丢失金币倍率&lt;/text&gt;&lt;/svg&gt;</v>
      </c>
      <c r="P507" s="5"/>
    </row>
    <row r="508" spans="1:16" ht="14.25" customHeight="1">
      <c r="A508">
        <v>517</v>
      </c>
      <c r="B508">
        <v>0</v>
      </c>
      <c r="C508">
        <v>0</v>
      </c>
      <c r="E508" t="s">
        <v>2570</v>
      </c>
      <c r="F508">
        <v>6</v>
      </c>
      <c r="G508" s="1" t="s">
        <v>479</v>
      </c>
      <c r="H508" s="16" t="s">
        <v>3140</v>
      </c>
      <c r="I508" s="18"/>
      <c r="J508" t="str">
        <f>IF(LEN(VLOOKUP(表1[[#This Row],[id]],数据引用!A:C,3,FALSE))&gt;0,VLOOKUP(表1[[#This Row],[id]],数据引用!A:C,3,FALSE),"")</f>
        <v>双倍时间</v>
      </c>
      <c r="K508" t="s">
        <v>1199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font-size:12;"&gt;双倍时间&lt;/text&gt;&lt;text transform="matrix(1 0 0 1 0 10.3205)" style="fill:#FFFFFF; font-family:'FZXS12--GB1-0'; font-size:12;"&gt;双倍时间&lt;/text&gt;&lt;/svg&gt;</v>
      </c>
      <c r="P508" s="5"/>
    </row>
    <row r="509" spans="1:16" ht="14.25" customHeight="1">
      <c r="A509">
        <v>518</v>
      </c>
      <c r="B509">
        <v>0</v>
      </c>
      <c r="C509">
        <v>0</v>
      </c>
      <c r="E509" t="s">
        <v>2570</v>
      </c>
      <c r="F509">
        <v>6</v>
      </c>
      <c r="G509" s="1" t="s">
        <v>480</v>
      </c>
      <c r="H509" s="16" t="s">
        <v>3141</v>
      </c>
      <c r="I509" s="18"/>
      <c r="J509" t="str">
        <f>IF(LEN(VLOOKUP(表1[[#This Row],[id]],数据引用!A:C,3,FALSE))&gt;0,VLOOKUP(表1[[#This Row],[id]],数据引用!A:C,3,FALSE),"")</f>
        <v>漂浮</v>
      </c>
      <c r="K509" t="s">
        <v>1199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font-size:12;"&gt;漂浮&lt;/text&gt;&lt;text transform="matrix(1 0 0 1 0 10.3205)" style="fill:#FFFFFF; font-family:'FZXS12--GB1-0'; font-size:12;"&gt;漂浮&lt;/text&gt;&lt;/svg&gt;</v>
      </c>
      <c r="P509" s="5"/>
    </row>
    <row r="510" spans="1:16" ht="14.25" customHeight="1">
      <c r="A510">
        <v>519</v>
      </c>
      <c r="B510">
        <v>0</v>
      </c>
      <c r="C510">
        <v>0</v>
      </c>
      <c r="E510" t="s">
        <v>2570</v>
      </c>
      <c r="F510">
        <v>6</v>
      </c>
      <c r="G510" s="1" t="s">
        <v>481</v>
      </c>
      <c r="H510" s="16" t="s">
        <v>3142</v>
      </c>
      <c r="I510" s="18"/>
      <c r="J510" t="str">
        <f>IF(LEN(VLOOKUP(表1[[#This Row],[id]],数据引用!A:C,3,FALSE))&gt;0,VLOOKUP(表1[[#This Row],[id]],数据引用!A:C,3,FALSE),"")</f>
        <v>免疫部分地形效果</v>
      </c>
      <c r="K510" t="s">
        <v>1199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font-size:12;"&gt;免疫部分地形效果&lt;/text&gt;&lt;text transform="matrix(1 0 0 1 0 10.3205)" style="fill:#FFFFFF; font-family:'FZXS12--GB1-0'; font-size:12;"&gt;免疫部分地形效果&lt;/text&gt;&lt;/svg&gt;</v>
      </c>
      <c r="P510" s="5"/>
    </row>
    <row r="511" spans="1:16" ht="14.25" customHeight="1">
      <c r="A511">
        <v>520</v>
      </c>
      <c r="B511">
        <v>0</v>
      </c>
      <c r="C511">
        <v>0</v>
      </c>
      <c r="E511" t="s">
        <v>2570</v>
      </c>
      <c r="F511">
        <v>6</v>
      </c>
      <c r="G511" s="1" t="s">
        <v>482</v>
      </c>
      <c r="H511" s="16" t="s">
        <v>3143</v>
      </c>
      <c r="I511" s="18"/>
      <c r="J511" t="str">
        <f>IF(LEN(VLOOKUP(表1[[#This Row],[id]],数据引用!A:C,3,FALSE))&gt;0,VLOOKUP(表1[[#This Row],[id]],数据引用!A:C,3,FALSE),"")</f>
        <v>免疫陷阱/冰面效果</v>
      </c>
      <c r="K511" t="s">
        <v>1199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font-size:12;"&gt;免疫陷阱/冰面效果&lt;/text&gt;&lt;text transform="matrix(1 0 0 1 0 10.3205)" style="fill:#FFFFFF; font-family:'FZXS12--GB1-0'; font-size:12;"&gt;免疫陷阱/冰面效果&lt;/text&gt;&lt;/svg&gt;</v>
      </c>
      <c r="P511" s="5"/>
    </row>
    <row r="512" spans="1:16" ht="14.25" customHeight="1">
      <c r="A512">
        <v>521</v>
      </c>
      <c r="B512">
        <v>0</v>
      </c>
      <c r="C512">
        <v>0</v>
      </c>
      <c r="E512" t="s">
        <v>2570</v>
      </c>
      <c r="F512">
        <v>6</v>
      </c>
      <c r="G512" s="1" t="s">
        <v>483</v>
      </c>
      <c r="H512" s="16" t="s">
        <v>3144</v>
      </c>
      <c r="I512" s="18"/>
      <c r="J512" t="str">
        <f>IF(LEN(VLOOKUP(表1[[#This Row],[id]],数据引用!A:C,3,FALSE))&gt;0,VLOOKUP(表1[[#This Row],[id]],数据引用!A:C,3,FALSE),"")</f>
        <v>每次移动2格</v>
      </c>
      <c r="K512" t="s">
        <v>1199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font-size:12;"&gt;每次移动2格&lt;/text&gt;&lt;text transform="matrix(1 0 0 1 0 10.3205)" style="fill:#FFFFFF; font-family:'FZXS12--GB1-0'; font-size:12;"&gt;每次移动2格&lt;/text&gt;&lt;/svg&gt;</v>
      </c>
      <c r="P512" s="5"/>
    </row>
    <row r="513" spans="1:16" ht="14.25" customHeight="1">
      <c r="A513">
        <v>522</v>
      </c>
      <c r="B513">
        <v>0</v>
      </c>
      <c r="C513">
        <v>0</v>
      </c>
      <c r="E513" t="s">
        <v>2570</v>
      </c>
      <c r="F513">
        <v>6</v>
      </c>
      <c r="G513" s="1" t="s">
        <v>484</v>
      </c>
      <c r="H513" s="16" t="s">
        <v>3145</v>
      </c>
      <c r="I513" s="18"/>
      <c r="J513" t="str">
        <f>IF(LEN(VLOOKUP(表1[[#This Row],[id]],数据引用!A:C,3,FALSE))&gt;0,VLOOKUP(表1[[#This Row],[id]],数据引用!A:C,3,FALSE),"")</f>
        <v>每次移动2格并攻击</v>
      </c>
      <c r="K513" t="s">
        <v>1199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font-size:12;"&gt;每次移动2格并攻击&lt;/text&gt;&lt;text transform="matrix(1 0 0 1 0 10.3205)" style="fill:#FFFFFF; font-family:'FZXS12--GB1-0'; font-size:12;"&gt;每次移动2格并攻击&lt;/text&gt;&lt;/svg&gt;</v>
      </c>
      <c r="P513" s="5"/>
    </row>
    <row r="514" spans="1:16" ht="14.25" customHeight="1">
      <c r="A514">
        <v>523</v>
      </c>
      <c r="B514">
        <v>0</v>
      </c>
      <c r="C514">
        <v>0</v>
      </c>
      <c r="E514" t="s">
        <v>2570</v>
      </c>
      <c r="F514">
        <v>6</v>
      </c>
      <c r="G514" s="1" t="s">
        <v>485</v>
      </c>
      <c r="H514" s="16" t="s">
        <v>3146</v>
      </c>
      <c r="I514" s="18"/>
      <c r="J514" t="str">
        <f>IF(LEN(VLOOKUP(表1[[#This Row],[id]],数据引用!A:C,3,FALSE))&gt;0,VLOOKUP(表1[[#This Row],[id]],数据引用!A:C,3,FALSE),"")</f>
        <v>移动时对前方造成伤害</v>
      </c>
      <c r="K514" t="s">
        <v>1199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font-size:12;"&gt;移动时对前方造成伤害&lt;/text&gt;&lt;text transform="matrix(1 0 0 1 0 10.3205)" style="fill:#FFFFFF; font-family:'FZXS12--GB1-0'; font-size:12;"&gt;移动时对前方造成伤害&lt;/text&gt;&lt;/svg&gt;</v>
      </c>
      <c r="P514" s="5"/>
    </row>
    <row r="515" spans="1:16" ht="14.25" customHeight="1">
      <c r="A515">
        <v>524</v>
      </c>
      <c r="B515">
        <v>0</v>
      </c>
      <c r="C515">
        <v>0</v>
      </c>
      <c r="E515" t="s">
        <v>2570</v>
      </c>
      <c r="F515">
        <v>6</v>
      </c>
      <c r="G515" s="1" t="s">
        <v>486</v>
      </c>
      <c r="H515" s="16" t="s">
        <v>3147</v>
      </c>
      <c r="I515" s="18"/>
      <c r="J515" t="str">
        <f>IF(LEN(VLOOKUP(表1[[#This Row],[id]],数据引用!A:C,3,FALSE))&gt;0,VLOOKUP(表1[[#This Row],[id]],数据引用!A:C,3,FALSE),"")</f>
        <v>+1 伤害</v>
      </c>
      <c r="K515" t="s">
        <v>1199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伤害&lt;/text&gt;&lt;text transform="matrix(1 0 0 1 0 10.3205)" style="fill:#FFFFFF; font-family:'FZXS12--GB1-0'; font-size:12;"&gt;+1 伤害&lt;/text&gt;&lt;/svg&gt;</v>
      </c>
      <c r="P515" s="5"/>
    </row>
    <row r="516" spans="1:16" ht="14.25" customHeight="1">
      <c r="A516">
        <v>525</v>
      </c>
      <c r="B516">
        <v>0</v>
      </c>
      <c r="C516">
        <v>0</v>
      </c>
      <c r="E516" t="s">
        <v>2570</v>
      </c>
      <c r="F516">
        <v>6</v>
      </c>
      <c r="G516" s="1" t="s">
        <v>487</v>
      </c>
      <c r="H516" s="16" t="s">
        <v>3148</v>
      </c>
      <c r="I516" s="18"/>
      <c r="J516" t="str">
        <f>IF(LEN(VLOOKUP(表1[[#This Row],[id]],数据引用!A:C,3,FALSE))&gt;0,VLOOKUP(表1[[#This Row],[id]],数据引用!A:C,3,FALSE),"")</f>
        <v>回复 1 生命</v>
      </c>
      <c r="K516" t="s">
        <v>1199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1 生命&lt;/text&gt;&lt;text transform="matrix(1 0 0 1 0 10.3205)" style="fill:#FFFFFF; font-family:'FZXS12--GB1-0'; font-size:12;"&gt;回复 1 生命&lt;/text&gt;&lt;/svg&gt;</v>
      </c>
      <c r="P516" s="5"/>
    </row>
    <row r="517" spans="1:16" ht="14.25" customHeight="1">
      <c r="A517">
        <v>526</v>
      </c>
      <c r="B517">
        <v>0</v>
      </c>
      <c r="C517">
        <v>0</v>
      </c>
      <c r="E517" t="s">
        <v>2570</v>
      </c>
      <c r="F517">
        <v>6</v>
      </c>
      <c r="G517" s="1" t="s">
        <v>488</v>
      </c>
      <c r="H517" s="16" t="s">
        <v>3149</v>
      </c>
      <c r="I517" s="18"/>
      <c r="J517" t="str">
        <f>IF(LEN(VLOOKUP(表1[[#This Row],[id]],数据引用!A:C,3,FALSE))&gt;0,VLOOKUP(表1[[#This Row],[id]],数据引用!A:C,3,FALSE),"")</f>
        <v>回复 2 生命</v>
      </c>
      <c r="K517" t="s">
        <v>1199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2 生命&lt;/text&gt;&lt;text transform="matrix(1 0 0 1 0 10.3205)" style="fill:#FFFFFF; font-family:'FZXS12--GB1-0'; font-size:12;"&gt;回复 2 生命&lt;/text&gt;&lt;/svg&gt;</v>
      </c>
      <c r="P517" s="5"/>
    </row>
    <row r="518" spans="1:16" ht="14.25" customHeight="1">
      <c r="A518">
        <v>527</v>
      </c>
      <c r="B518">
        <v>0</v>
      </c>
      <c r="C518">
        <v>0</v>
      </c>
      <c r="E518" t="s">
        <v>2570</v>
      </c>
      <c r="F518">
        <v>6</v>
      </c>
      <c r="G518" s="1" t="s">
        <v>489</v>
      </c>
      <c r="H518" s="16" t="s">
        <v>3150</v>
      </c>
      <c r="I518" s="18"/>
      <c r="J518" t="str">
        <f>IF(LEN(VLOOKUP(表1[[#This Row],[id]],数据引用!A:C,3,FALSE))&gt;0,VLOOKUP(表1[[#This Row],[id]],数据引用!A:C,3,FALSE),"")</f>
        <v>回复 3 生命</v>
      </c>
      <c r="K518" t="s">
        <v>1199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3 生命&lt;/text&gt;&lt;text transform="matrix(1 0 0 1 0 10.3205)" style="fill:#FFFFFF; font-family:'FZXS12--GB1-0'; font-size:12;"&gt;回复 3 生命&lt;/text&gt;&lt;/svg&gt;</v>
      </c>
      <c r="P518" s="5"/>
    </row>
    <row r="519" spans="1:16" ht="14.25" customHeight="1">
      <c r="A519">
        <v>528</v>
      </c>
      <c r="B519">
        <v>0</v>
      </c>
      <c r="C519">
        <v>0</v>
      </c>
      <c r="E519" t="s">
        <v>2570</v>
      </c>
      <c r="F519">
        <v>6</v>
      </c>
      <c r="G519" s="1" t="s">
        <v>490</v>
      </c>
      <c r="H519" s="16" t="s">
        <v>3151</v>
      </c>
      <c r="I519" s="18"/>
      <c r="J519" t="str">
        <f>IF(LEN(VLOOKUP(表1[[#This Row],[id]],数据引用!A:C,3,FALSE))&gt;0,VLOOKUP(表1[[#This Row],[id]],数据引用!A:C,3,FALSE),"")</f>
        <v>回复 4 生命</v>
      </c>
      <c r="K519" t="s">
        <v>1199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4 生命&lt;/text&gt;&lt;text transform="matrix(1 0 0 1 0 10.3205)" style="fill:#FFFFFF; font-family:'FZXS12--GB1-0'; font-size:12;"&gt;回复 4 生命&lt;/text&gt;&lt;/svg&gt;</v>
      </c>
      <c r="P519" s="5"/>
    </row>
    <row r="520" spans="1:16" ht="14.25" customHeight="1">
      <c r="A520">
        <v>529</v>
      </c>
      <c r="B520">
        <v>0</v>
      </c>
      <c r="C520">
        <v>0</v>
      </c>
      <c r="E520" t="s">
        <v>2570</v>
      </c>
      <c r="F520">
        <v>6</v>
      </c>
      <c r="G520" s="1" t="s">
        <v>491</v>
      </c>
      <c r="H520" s="16" t="s">
        <v>3152</v>
      </c>
      <c r="I520" s="18"/>
      <c r="J520" t="str">
        <f>IF(LEN(VLOOKUP(表1[[#This Row],[id]],数据引用!A:C,3,FALSE))&gt;0,VLOOKUP(表1[[#This Row],[id]],数据引用!A:C,3,FALSE),"")</f>
        <v>吸收周围的敌人回血</v>
      </c>
      <c r="K520" t="s">
        <v>1199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font-size:12;"&gt;吸收周围的敌人回血&lt;/text&gt;&lt;text transform="matrix(1 0 0 1 0 10.3205)" style="fill:#FFFFFF; font-family:'FZXS12--GB1-0'; font-size:12;"&gt;吸收周围的敌人回血&lt;/text&gt;&lt;/svg&gt;</v>
      </c>
      <c r="P520" s="5"/>
    </row>
    <row r="521" spans="1:16" ht="14.25" customHeight="1">
      <c r="A521">
        <v>530</v>
      </c>
      <c r="B521">
        <v>0</v>
      </c>
      <c r="C521">
        <v>0</v>
      </c>
      <c r="E521" t="s">
        <v>2570</v>
      </c>
      <c r="F521">
        <v>6</v>
      </c>
      <c r="G521" s="1" t="s">
        <v>266</v>
      </c>
      <c r="H521" s="16" t="s">
        <v>3153</v>
      </c>
      <c r="I521" s="18"/>
      <c r="J521" t="str">
        <f>IF(LEN(VLOOKUP(表1[[#This Row],[id]],数据引用!A:C,3,FALSE))&gt;0,VLOOKUP(表1[[#This Row],[id]],数据引用!A:C,3,FALSE),"")</f>
        <v>变大</v>
      </c>
      <c r="K521" t="s">
        <v>1199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P521" s="5"/>
    </row>
    <row r="522" spans="1:16" ht="14.25" customHeight="1">
      <c r="A522">
        <v>531</v>
      </c>
      <c r="B522">
        <v>0</v>
      </c>
      <c r="C522">
        <v>0</v>
      </c>
      <c r="E522" t="s">
        <v>2570</v>
      </c>
      <c r="F522">
        <v>6</v>
      </c>
      <c r="G522" s="1" t="s">
        <v>492</v>
      </c>
      <c r="H522" s="16" t="s">
        <v>3154</v>
      </c>
      <c r="I522" s="18"/>
      <c r="J522" t="str">
        <f>IF(LEN(VLOOKUP(表1[[#This Row],[id]],数据引用!A:C,3,FALSE))&gt;0,VLOOKUP(表1[[#This Row],[id]],数据引用!A:C,3,FALSE),"")</f>
        <v>可以原地踏步，提升伤害</v>
      </c>
      <c r="K522" t="s">
        <v>1199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font-size:12;"&gt;可以原地踏步，提升伤害&lt;/text&gt;&lt;text transform="matrix(1 0 0 1 0 10.3205)" style="fill:#FFFFFF; font-family:'FZXS12--GB1-0'; font-size:12;"&gt;可以原地踏步，提升伤害&lt;/text&gt;&lt;/svg&gt;</v>
      </c>
      <c r="P522" s="5"/>
    </row>
    <row r="523" spans="1:16" ht="14.25" customHeight="1">
      <c r="A523">
        <v>532</v>
      </c>
      <c r="B523">
        <v>0</v>
      </c>
      <c r="C523">
        <v>0</v>
      </c>
      <c r="E523" t="s">
        <v>2570</v>
      </c>
      <c r="F523">
        <v>6</v>
      </c>
      <c r="G523" s="1" t="s">
        <v>493</v>
      </c>
      <c r="H523" s="16" t="s">
        <v>3155</v>
      </c>
      <c r="I523" s="18"/>
      <c r="J523" t="str">
        <f>IF(LEN(VLOOKUP(表1[[#This Row],[id]],数据引用!A:C,3,FALSE))&gt;0,VLOOKUP(表1[[#This Row],[id]],数据引用!A:C,3,FALSE),"")</f>
        <v>以生命值换取伤害</v>
      </c>
      <c r="K523" t="s">
        <v>1199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font-size:12;"&gt;以生命值换取伤害&lt;/text&gt;&lt;text transform="matrix(1 0 0 1 0 10.3205)" style="fill:#FFFFFF; font-family:'FZXS12--GB1-0'; font-size:12;"&gt;以生命值换取伤害&lt;/text&gt;&lt;/svg&gt;</v>
      </c>
      <c r="P523" s="5"/>
    </row>
    <row r="524" spans="1:16" ht="14.25" customHeight="1">
      <c r="A524">
        <v>533</v>
      </c>
      <c r="B524">
        <v>0</v>
      </c>
      <c r="C524">
        <v>0</v>
      </c>
      <c r="E524" t="s">
        <v>2570</v>
      </c>
      <c r="F524">
        <v>6</v>
      </c>
      <c r="G524" s="1" t="s">
        <v>494</v>
      </c>
      <c r="H524" s="16" t="s">
        <v>3156</v>
      </c>
      <c r="I524" s="18"/>
      <c r="J524" t="str">
        <f>IF(LEN(VLOOKUP(表1[[#This Row],[id]],数据引用!A:C,3,FALSE))&gt;0,VLOOKUP(表1[[#This Row],[id]],数据引用!A:C,3,FALSE),"")</f>
        <v>一定时间内无视节拍</v>
      </c>
      <c r="K524" t="s">
        <v>1199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font-size:12;"&gt;一定时间内无视节拍&lt;/text&gt;&lt;text transform="matrix(1 0 0 1 0 10.3205)" style="fill:#FFFFFF; font-family:'FZXS12--GB1-0'; font-size:12;"&gt;一定时间内无视节拍&lt;/text&gt;&lt;/svg&gt;</v>
      </c>
      <c r="P524" s="5"/>
    </row>
    <row r="525" spans="1:16" ht="14.25" customHeight="1">
      <c r="A525">
        <v>534</v>
      </c>
      <c r="B525">
        <v>0</v>
      </c>
      <c r="C525">
        <v>0</v>
      </c>
      <c r="E525" t="s">
        <v>2570</v>
      </c>
      <c r="F525">
        <v>6</v>
      </c>
      <c r="G525" s="1" t="s">
        <v>495</v>
      </c>
      <c r="H525" s="16" t="s">
        <v>3157</v>
      </c>
      <c r="I525" s="18"/>
      <c r="J525" t="str">
        <f>IF(LEN(VLOOKUP(表1[[#This Row],[id]],数据引用!A:C,3,FALSE))&gt;0,VLOOKUP(表1[[#This Row],[id]],数据引用!A:C,3,FALSE),"")</f>
        <v>吸血攻击</v>
      </c>
      <c r="K525" t="s">
        <v>1199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font-size:12;"&gt;吸血攻击&lt;/text&gt;&lt;text transform="matrix(1 0 0 1 0 10.3205)" style="fill:#FFFFFF; font-family:'FZXS12--GB1-0'; font-size:12;"&gt;吸血攻击&lt;/text&gt;&lt;/svg&gt;</v>
      </c>
      <c r="P525" s="5"/>
    </row>
    <row r="526" spans="1:16" ht="14.25" customHeight="1">
      <c r="A526">
        <v>535</v>
      </c>
      <c r="B526">
        <v>0</v>
      </c>
      <c r="C526">
        <v>0</v>
      </c>
      <c r="E526" t="s">
        <v>2570</v>
      </c>
      <c r="F526">
        <v>6</v>
      </c>
      <c r="G526" s="1" t="s">
        <v>496</v>
      </c>
      <c r="H526" s="16" t="s">
        <v>3158</v>
      </c>
      <c r="I526" s="18"/>
      <c r="J526" t="str">
        <f>IF(LEN(VLOOKUP(表1[[#This Row],[id]],数据引用!A:C,3,FALSE))&gt;0,VLOOKUP(表1[[#This Row],[id]],数据引用!A:C,3,FALSE),"")</f>
        <v>双倍金币 + 丢失金币</v>
      </c>
      <c r="K526" t="s">
        <v>1199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font-size:12;"&gt;双倍金币 + 丢失金币&lt;/text&gt;&lt;text transform="matrix(1 0 0 1 0 10.3205)" style="fill:#FFFFFF; font-family:'FZXS12--GB1-0'; font-size:12;"&gt;双倍金币 + 丢失金币&lt;/text&gt;&lt;/svg&gt;</v>
      </c>
      <c r="P526" s="5"/>
    </row>
    <row r="527" spans="1:16" ht="14.25" customHeight="1">
      <c r="A527">
        <v>536</v>
      </c>
      <c r="B527">
        <v>0</v>
      </c>
      <c r="C527">
        <v>0</v>
      </c>
      <c r="E527" t="s">
        <v>2570</v>
      </c>
      <c r="F527">
        <v>6</v>
      </c>
      <c r="G527" s="1" t="s">
        <v>497</v>
      </c>
      <c r="H527" s="16" t="s">
        <v>3159</v>
      </c>
      <c r="I527" s="18"/>
      <c r="J527" t="str">
        <f>IF(LEN(VLOOKUP(表1[[#This Row],[id]],数据引用!A:C,3,FALSE))&gt;0,VLOOKUP(表1[[#This Row],[id]],数据引用!A:C,3,FALSE),"")</f>
        <v>被攻击传送</v>
      </c>
      <c r="K527" t="s">
        <v>1199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font-size:12;"&gt;被攻击传送&lt;/text&gt;&lt;text transform="matrix(1 0 0 1 0 10.3205)" style="fill:#FFFFFF; font-family:'FZXS12--GB1-0'; font-size:12;"&gt;被攻击传送&lt;/text&gt;&lt;/svg&gt;</v>
      </c>
      <c r="P527" s="5"/>
    </row>
    <row r="528" spans="1:16" ht="14.25" customHeight="1">
      <c r="A528">
        <v>537</v>
      </c>
      <c r="B528">
        <v>0</v>
      </c>
      <c r="C528">
        <v>0</v>
      </c>
      <c r="E528" t="s">
        <v>2570</v>
      </c>
      <c r="F528">
        <v>6</v>
      </c>
      <c r="G528" s="1" t="s">
        <v>498</v>
      </c>
      <c r="H528" s="16" t="s">
        <v>3160</v>
      </c>
      <c r="I528" s="18"/>
      <c r="J528" t="str">
        <f>IF(LEN(VLOOKUP(表1[[#This Row],[id]],数据引用!A:C,3,FALSE))&gt;0,VLOOKUP(表1[[#This Row],[id]],数据引用!A:C,3,FALSE),"")</f>
        <v>可以看到所有敌人</v>
      </c>
      <c r="K528" t="s">
        <v>1199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font-size:12;"&gt;可以看到所有敌人&lt;/text&gt;&lt;text transform="matrix(1 0 0 1 0 10.3205)" style="fill:#FFFFFF; font-family:'FZXS12--GB1-0'; font-size:12;"&gt;可以看到所有敌人&lt;/text&gt;&lt;/svg&gt;</v>
      </c>
      <c r="P528" s="5"/>
    </row>
    <row r="529" spans="1:16" ht="14.25" customHeight="1">
      <c r="A529">
        <v>538</v>
      </c>
      <c r="B529">
        <v>0</v>
      </c>
      <c r="C529">
        <v>0</v>
      </c>
      <c r="E529" t="s">
        <v>2570</v>
      </c>
      <c r="F529">
        <v>6</v>
      </c>
      <c r="G529" s="1" t="s">
        <v>499</v>
      </c>
      <c r="H529" s="16" t="s">
        <v>3161</v>
      </c>
      <c r="I529" s="18"/>
      <c r="J529" t="str">
        <f>IF(LEN(VLOOKUP(表1[[#This Row],[id]],数据引用!A:C,3,FALSE))&gt;0,VLOOKUP(表1[[#This Row],[id]],数据引用!A:C,3,FALSE),"")</f>
        <v>边走边挖</v>
      </c>
      <c r="K529" t="s">
        <v>1199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font-size:12;"&gt;边走边挖&lt;/text&gt;&lt;text transform="matrix(1 0 0 1 0 10.3205)" style="fill:#FFFFFF; font-family:'FZXS12--GB1-0'; font-size:12;"&gt;边走边挖&lt;/text&gt;&lt;/svg&gt;</v>
      </c>
      <c r="P529" s="5"/>
    </row>
    <row r="530" spans="1:16" ht="14.25" customHeight="1">
      <c r="A530">
        <v>539</v>
      </c>
      <c r="B530">
        <v>0</v>
      </c>
      <c r="C530">
        <v>0</v>
      </c>
      <c r="E530" t="s">
        <v>2570</v>
      </c>
      <c r="F530">
        <v>6</v>
      </c>
      <c r="G530" s="1" t="s">
        <v>500</v>
      </c>
      <c r="H530" s="16" t="s">
        <v>3162</v>
      </c>
      <c r="I530" s="18"/>
      <c r="J530" t="str">
        <f>IF(LEN(VLOOKUP(表1[[#This Row],[id]],数据引用!A:C,3,FALSE))&gt;0,VLOOKUP(表1[[#This Row],[id]],数据引用!A:C,3,FALSE),"")</f>
        <v>可以看到所有物品</v>
      </c>
      <c r="K530" t="s">
        <v>1199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font-size:12;"&gt;可以看到所有物品&lt;/text&gt;&lt;text transform="matrix(1 0 0 1 0 10.3205)" style="fill:#FFFFFF; font-family:'FZXS12--GB1-0'; font-size:12;"&gt;可以看到所有物品&lt;/text&gt;&lt;/svg&gt;</v>
      </c>
      <c r="P530" s="5"/>
    </row>
    <row r="531" spans="1:16" ht="14.25" customHeight="1">
      <c r="A531">
        <v>540</v>
      </c>
      <c r="B531">
        <v>0</v>
      </c>
      <c r="C531">
        <v>0</v>
      </c>
      <c r="E531" t="s">
        <v>2570</v>
      </c>
      <c r="F531">
        <v>6</v>
      </c>
      <c r="G531" s="1" t="s">
        <v>501</v>
      </c>
      <c r="H531" s="16" t="s">
        <v>3163</v>
      </c>
      <c r="I531" s="18"/>
      <c r="J531" t="str">
        <f>IF(LEN(VLOOKUP(表1[[#This Row],[id]],数据引用!A:C,3,FALSE))&gt;0,VLOOKUP(表1[[#This Row],[id]],数据引用!A:C,3,FALSE),"")</f>
        <v>潜行</v>
      </c>
      <c r="K531" t="s">
        <v>1199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font-size:12;"&gt;潜行&lt;/text&gt;&lt;text transform="matrix(1 0 0 1 0 10.3205)" style="fill:#FFFFFF; font-family:'FZXS12--GB1-0'; font-size:12;"&gt;潜行&lt;/text&gt;&lt;/svg&gt;</v>
      </c>
      <c r="P531" s="5"/>
    </row>
    <row r="532" spans="1:16" ht="14.25" customHeight="1">
      <c r="A532">
        <v>541</v>
      </c>
      <c r="B532">
        <v>0</v>
      </c>
      <c r="C532">
        <v>0</v>
      </c>
      <c r="E532" t="s">
        <v>2570</v>
      </c>
      <c r="F532">
        <v>6</v>
      </c>
      <c r="G532" s="1" t="s">
        <v>502</v>
      </c>
      <c r="H532" s="16" t="s">
        <v>3164</v>
      </c>
      <c r="I532" s="18"/>
      <c r="J532" t="str">
        <f>IF(LEN(VLOOKUP(表1[[#This Row],[id]],数据引用!A:C,3,FALSE))&gt;0,VLOOKUP(表1[[#This Row],[id]],数据引用!A:C,3,FALSE),"")</f>
        <v>双倍伤害，虚弱</v>
      </c>
      <c r="K532" t="s">
        <v>1199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font-size:12;"&gt;双倍伤害，虚弱&lt;/text&gt;&lt;text transform="matrix(1 0 0 1 0 10.3205)" style="fill:#FFFFFF; font-family:'FZXS12--GB1-0'; font-size:12;"&gt;双倍伤害，虚弱&lt;/text&gt;&lt;/svg&gt;</v>
      </c>
      <c r="P532" s="5"/>
    </row>
    <row r="533" spans="1:16" ht="14.25" customHeight="1">
      <c r="A533">
        <v>542</v>
      </c>
      <c r="B533">
        <v>0</v>
      </c>
      <c r="C533">
        <v>0</v>
      </c>
      <c r="E533" t="s">
        <v>2570</v>
      </c>
      <c r="F533">
        <v>6</v>
      </c>
      <c r="G533" s="1" t="s">
        <v>503</v>
      </c>
      <c r="H533" s="16" t="s">
        <v>3165</v>
      </c>
      <c r="I533" s="18"/>
      <c r="J533" t="str">
        <f>IF(LEN(VLOOKUP(表1[[#This Row],[id]],数据引用!A:C,3,FALSE))&gt;0,VLOOKUP(表1[[#This Row],[id]],数据引用!A:C,3,FALSE),"")</f>
        <v>爆炸免疫，+3 炸弹</v>
      </c>
      <c r="K533" t="s">
        <v>1199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font-size:12;"&gt;爆炸免疫，+3 炸弹&lt;/text&gt;&lt;text transform="matrix(1 0 0 1 0 10.3205)" style="fill:#FFFFFF; font-family:'FZXS12--GB1-0'; font-size:12;"&gt;爆炸免疫，+3 炸弹&lt;/text&gt;&lt;/svg&gt;</v>
      </c>
      <c r="P533" s="5"/>
    </row>
    <row r="534" spans="1:16" ht="14.25" customHeight="1">
      <c r="A534">
        <v>543</v>
      </c>
      <c r="B534">
        <v>0</v>
      </c>
      <c r="C534">
        <v>0</v>
      </c>
      <c r="E534" t="s">
        <v>2570</v>
      </c>
      <c r="F534">
        <v>6</v>
      </c>
      <c r="G534" s="1" t="s">
        <v>504</v>
      </c>
      <c r="H534" s="16" t="s">
        <v>3166</v>
      </c>
      <c r="I534" s="18"/>
      <c r="J534" t="str">
        <f>IF(LEN(VLOOKUP(表1[[#This Row],[id]],数据引用!A:C,3,FALSE))&gt;0,VLOOKUP(表1[[#This Row],[id]],数据引用!A:C,3,FALSE),"")</f>
        <v>+1 伤害，看不清敌人</v>
      </c>
      <c r="K534" t="s">
        <v>1199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伤害，看不清敌人&lt;/text&gt;&lt;text transform="matrix(1 0 0 1 0 10.3205)" style="fill:#FFFFFF; font-family:'FZXS12--GB1-0'; font-size:12;"&gt;+1 伤害，看不清敌人&lt;/text&gt;&lt;/svg&gt;</v>
      </c>
      <c r="P534" s="5"/>
    </row>
    <row r="535" spans="1:16" ht="14.25" customHeight="1">
      <c r="A535">
        <v>544</v>
      </c>
      <c r="B535">
        <v>0</v>
      </c>
      <c r="C535">
        <v>0</v>
      </c>
      <c r="E535" t="s">
        <v>2570</v>
      </c>
      <c r="F535">
        <v>6</v>
      </c>
      <c r="G535" s="1" t="s">
        <v>505</v>
      </c>
      <c r="H535" s="16" t="s">
        <v>3167</v>
      </c>
      <c r="I535" s="18"/>
      <c r="J535" t="str">
        <f>IF(LEN(VLOOKUP(表1[[#This Row],[id]],数据引用!A:C,3,FALSE))&gt;0,VLOOKUP(表1[[#This Row],[id]],数据引用!A:C,3,FALSE),"")</f>
        <v>+1 背包空间</v>
      </c>
      <c r="K535" t="s">
        <v>1199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背包空间&lt;/text&gt;&lt;text transform="matrix(1 0 0 1 0 10.3205)" style="fill:#FFFFFF; font-family:'FZXS12--GB1-0'; font-size:12;"&gt;+1 背包空间&lt;/text&gt;&lt;/svg&gt;</v>
      </c>
      <c r="P535" s="5"/>
    </row>
    <row r="536" spans="1:16" ht="14.25" customHeight="1">
      <c r="A536">
        <v>545</v>
      </c>
      <c r="B536">
        <v>0</v>
      </c>
      <c r="C536">
        <v>0</v>
      </c>
      <c r="E536" t="s">
        <v>2570</v>
      </c>
      <c r="F536">
        <v>6</v>
      </c>
      <c r="G536" s="1" t="s">
        <v>506</v>
      </c>
      <c r="H536" s="16" t="s">
        <v>3168</v>
      </c>
      <c r="I536" s="18"/>
      <c r="J536" t="str">
        <f>IF(LEN(VLOOKUP(表1[[#This Row],[id]],数据引用!A:C,3,FALSE))&gt;0,VLOOKUP(表1[[#This Row],[id]],数据引用!A:C,3,FALSE),"")</f>
        <v>双武器</v>
      </c>
      <c r="K536" t="s">
        <v>1199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font-size:12;"&gt;双武器&lt;/text&gt;&lt;text transform="matrix(1 0 0 1 0 10.3205)" style="fill:#FFFFFF; font-family:'FZXS12--GB1-0'; font-size:12;"&gt;双武器&lt;/text&gt;&lt;/svg&gt;</v>
      </c>
      <c r="P536" s="5"/>
    </row>
    <row r="537" spans="1:16" ht="14.25" customHeight="1">
      <c r="A537">
        <v>546</v>
      </c>
      <c r="B537">
        <v>0</v>
      </c>
      <c r="C537">
        <v>0</v>
      </c>
      <c r="E537" t="s">
        <v>2570</v>
      </c>
      <c r="F537">
        <v>6</v>
      </c>
      <c r="G537" s="1" t="s">
        <v>507</v>
      </c>
      <c r="H537" s="16" t="s">
        <v>3169</v>
      </c>
      <c r="I537" s="18"/>
      <c r="J537" t="str">
        <f>IF(LEN(VLOOKUP(表1[[#This Row],[id]],数据引用!A:C,3,FALSE))&gt;0,VLOOKUP(表1[[#This Row],[id]],数据引用!A:C,3,FALSE),"")</f>
        <v>无限背包</v>
      </c>
      <c r="K537" t="s">
        <v>1199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font-size:12;"&gt;无限背包&lt;/text&gt;&lt;text transform="matrix(1 0 0 1 0 10.3205)" style="fill:#FFFFFF; font-family:'FZXS12--GB1-0'; font-size:12;"&gt;无限背包&lt;/text&gt;&lt;/svg&gt;</v>
      </c>
      <c r="P537" s="5"/>
    </row>
    <row r="538" spans="1:16" ht="14.25" customHeight="1">
      <c r="A538">
        <v>547</v>
      </c>
      <c r="B538">
        <v>0</v>
      </c>
      <c r="C538">
        <v>0</v>
      </c>
      <c r="E538" t="s">
        <v>2570</v>
      </c>
      <c r="F538">
        <v>6</v>
      </c>
      <c r="G538" s="1" t="s">
        <v>508</v>
      </c>
      <c r="H538" s="16" t="s">
        <v>3170</v>
      </c>
      <c r="I538" s="18"/>
      <c r="J538" t="str">
        <f>IF(LEN(VLOOKUP(表1[[#This Row],[id]],数据引用!A:C,3,FALSE))&gt;0,VLOOKUP(表1[[#This Row],[id]],数据引用!A:C,3,FALSE),"")</f>
        <v>出口导航</v>
      </c>
      <c r="K538" t="s">
        <v>1199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font-size:12;"&gt;出口导航&lt;/text&gt;&lt;text transform="matrix(1 0 0 1 0 10.3205)" style="fill:#FFFFFF; font-family:'FZXS12--GB1-0'; font-size:12;"&gt;出口导航&lt;/text&gt;&lt;/svg&gt;</v>
      </c>
      <c r="P538" s="5"/>
    </row>
    <row r="539" spans="1:16" ht="14.25" customHeight="1">
      <c r="A539">
        <v>548</v>
      </c>
      <c r="B539">
        <v>0</v>
      </c>
      <c r="C539">
        <v>0</v>
      </c>
      <c r="E539" t="s">
        <v>2570</v>
      </c>
      <c r="F539">
        <v>6</v>
      </c>
      <c r="G539" s="1" t="s">
        <v>509</v>
      </c>
      <c r="H539" s="16" t="s">
        <v>3171</v>
      </c>
      <c r="I539" s="18"/>
      <c r="J539" t="str">
        <f>IF(LEN(VLOOKUP(表1[[#This Row],[id]],数据引用!A:C,3,FALSE))&gt;0,VLOOKUP(表1[[#This Row],[id]],数据引用!A:C,3,FALSE),"")</f>
        <v>代金卷</v>
      </c>
      <c r="K539" t="s">
        <v>1199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font-size:12;"&gt;代金卷&lt;/text&gt;&lt;text transform="matrix(1 0 0 1 0 10.3205)" style="fill:#FFFFFF; font-family:'FZXS12--GB1-0'; font-size:12;"&gt;代金卷&lt;/text&gt;&lt;/svg&gt;</v>
      </c>
      <c r="P539" s="5"/>
    </row>
    <row r="540" spans="1:16" ht="14.25" customHeight="1">
      <c r="A540">
        <v>549</v>
      </c>
      <c r="B540">
        <v>0</v>
      </c>
      <c r="C540">
        <v>0</v>
      </c>
      <c r="E540" t="s">
        <v>2570</v>
      </c>
      <c r="F540">
        <v>6</v>
      </c>
      <c r="G540" s="1" t="s">
        <v>510</v>
      </c>
      <c r="H540" s="16" t="s">
        <v>3172</v>
      </c>
      <c r="I540" s="18"/>
      <c r="J540" t="str">
        <f>IF(LEN(VLOOKUP(表1[[#This Row],[id]],数据引用!A:C,3,FALSE))&gt;0,VLOOKUP(表1[[#This Row],[id]],数据引用!A:C,3,FALSE),"")</f>
        <v>打开笼子</v>
      </c>
      <c r="K540" t="s">
        <v>1199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font-size:12;"&gt;打开笼子&lt;/text&gt;&lt;text transform="matrix(1 0 0 1 0 10.3205)" style="fill:#FFFFFF; font-family:'FZXS12--GB1-0'; font-size:12;"&gt;打开笼子&lt;/text&gt;&lt;/svg&gt;</v>
      </c>
      <c r="P540" s="5"/>
    </row>
    <row r="541" spans="1:16" ht="14.25" customHeight="1">
      <c r="A541">
        <v>550</v>
      </c>
      <c r="B541">
        <v>0</v>
      </c>
      <c r="C541">
        <v>0</v>
      </c>
      <c r="E541" t="s">
        <v>2570</v>
      </c>
      <c r="F541">
        <v>6</v>
      </c>
      <c r="G541" s="1" t="s">
        <v>511</v>
      </c>
      <c r="H541" s="16" t="s">
        <v>3173</v>
      </c>
      <c r="I541" s="18"/>
      <c r="J541" t="str">
        <f>IF(LEN(VLOOKUP(表1[[#This Row],[id]],数据引用!A:C,3,FALSE))&gt;0,VLOOKUP(表1[[#This Row],[id]],数据引用!A:C,3,FALSE),"")</f>
        <v>用金钥匙打开笼子</v>
      </c>
      <c r="K541" t="s">
        <v>1199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font-size:12;"&gt;用金钥匙打开笼子&lt;/text&gt;&lt;text transform="matrix(1 0 0 1 0 10.3205)" style="fill:#FFFFFF; font-family:'FZXS12--GB1-0'; font-size:12;"&gt;用金钥匙打开笼子&lt;/text&gt;&lt;/svg&gt;</v>
      </c>
      <c r="P541" s="5"/>
    </row>
    <row r="542" spans="1:16" ht="14.25" customHeight="1">
      <c r="A542">
        <v>551</v>
      </c>
      <c r="B542">
        <v>0</v>
      </c>
      <c r="C542">
        <v>0</v>
      </c>
      <c r="E542" t="s">
        <v>2570</v>
      </c>
      <c r="F542">
        <v>6</v>
      </c>
      <c r="G542" s="1" t="s">
        <v>512</v>
      </c>
      <c r="H542" s="16" t="s">
        <v>3174</v>
      </c>
      <c r="I542" s="18"/>
      <c r="J542" t="str">
        <f>IF(LEN(VLOOKUP(表1[[#This Row],[id]],数据引用!A:C,3,FALSE))&gt;0,VLOOKUP(表1[[#This Row],[id]],数据引用!A:C,3,FALSE),"")</f>
        <v>用玻璃钥匙打开笼子</v>
      </c>
      <c r="K542" t="s">
        <v>1199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font-size:12;"&gt;用玻璃钥匙打开笼子&lt;/text&gt;&lt;text transform="matrix(1 0 0 1 0 10.3205)" style="fill:#FFFFFF; font-family:'FZXS12--GB1-0'; font-size:12;"&gt;用玻璃钥匙打开笼子&lt;/text&gt;&lt;/svg&gt;</v>
      </c>
      <c r="P542" s="5"/>
    </row>
    <row r="543" spans="1:16" ht="14.25" customHeight="1">
      <c r="A543">
        <v>552</v>
      </c>
      <c r="B543">
        <v>0</v>
      </c>
      <c r="C543">
        <v>0</v>
      </c>
      <c r="E543" t="s">
        <v>2570</v>
      </c>
      <c r="F543">
        <v>6</v>
      </c>
      <c r="G543" s="1" t="s">
        <v>513</v>
      </c>
      <c r="H543" s="16" t="s">
        <v>3175</v>
      </c>
      <c r="I543" s="18"/>
      <c r="J543" t="str">
        <f>IF(LEN(VLOOKUP(表1[[#This Row],[id]],数据引用!A:C,3,FALSE))&gt;0,VLOOKUP(表1[[#This Row],[id]],数据引用!A:C,3,FALSE),"")</f>
        <v>+1 心之容器</v>
      </c>
      <c r="K543" t="s">
        <v>1199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心之容器&lt;/text&gt;&lt;text transform="matrix(1 0 0 1 0 10.3205)" style="fill:#FFFFFF; font-family:'FZXS12--GB1-0'; font-size:12;"&gt;+1 心之容器&lt;/text&gt;&lt;/svg&gt;</v>
      </c>
      <c r="P543" s="5"/>
    </row>
    <row r="544" spans="1:16" ht="14.25" customHeight="1">
      <c r="A544">
        <v>553</v>
      </c>
      <c r="B544">
        <v>0</v>
      </c>
      <c r="C544">
        <v>0</v>
      </c>
      <c r="E544" t="s">
        <v>2570</v>
      </c>
      <c r="F544">
        <v>6</v>
      </c>
      <c r="G544" s="1" t="s">
        <v>514</v>
      </c>
      <c r="H544" s="16" t="s">
        <v>3176</v>
      </c>
      <c r="I544" s="18"/>
      <c r="J544" t="str">
        <f>IF(LEN(VLOOKUP(表1[[#This Row],[id]],数据引用!A:C,3,FALSE))&gt;0,VLOOKUP(表1[[#This Row],[id]],数据引用!A:C,3,FALSE),"")</f>
        <v>+2 心之容器</v>
      </c>
      <c r="K544" t="s">
        <v>1199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心之容器&lt;/text&gt;&lt;text transform="matrix(1 0 0 1 0 10.3205)" style="fill:#FFFFFF; font-family:'FZXS12--GB1-0'; font-size:12;"&gt;+2 心之容器&lt;/text&gt;&lt;/svg&gt;</v>
      </c>
      <c r="P544" s="5"/>
    </row>
    <row r="545" spans="1:16" ht="14.25" customHeight="1">
      <c r="A545">
        <v>554</v>
      </c>
      <c r="B545">
        <v>0</v>
      </c>
      <c r="C545">
        <v>0</v>
      </c>
      <c r="E545" t="s">
        <v>2570</v>
      </c>
      <c r="F545">
        <v>6</v>
      </c>
      <c r="G545" s="1" t="s">
        <v>515</v>
      </c>
      <c r="H545" s="16" t="s">
        <v>3177</v>
      </c>
      <c r="I545" s="18"/>
      <c r="J545" t="str">
        <f>IF(LEN(VLOOKUP(表1[[#This Row],[id]],数据引用!A:C,3,FALSE))&gt;0,VLOOKUP(表1[[#This Row],[id]],数据引用!A:C,3,FALSE),"")</f>
        <v>+1 空的心之容器</v>
      </c>
      <c r="K545" t="s">
        <v>1199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空的心之容器&lt;/text&gt;&lt;text transform="matrix(1 0 0 1 0 10.3205)" style="fill:#FFFFFF; font-family:'FZXS12--GB1-0'; font-size:12;"&gt;+1 空的心之容器&lt;/text&gt;&lt;/svg&gt;</v>
      </c>
      <c r="P545" s="5"/>
    </row>
    <row r="546" spans="1:16" ht="14.25" customHeight="1">
      <c r="A546">
        <v>555</v>
      </c>
      <c r="B546">
        <v>0</v>
      </c>
      <c r="C546">
        <v>0</v>
      </c>
      <c r="E546" t="s">
        <v>2570</v>
      </c>
      <c r="F546">
        <v>6</v>
      </c>
      <c r="G546" s="1" t="s">
        <v>516</v>
      </c>
      <c r="H546" s="16" t="s">
        <v>3178</v>
      </c>
      <c r="I546" s="18"/>
      <c r="J546" t="str">
        <f>IF(LEN(VLOOKUP(表1[[#This Row],[id]],数据引用!A:C,3,FALSE))&gt;0,VLOOKUP(表1[[#This Row],[id]],数据引用!A:C,3,FALSE),"")</f>
        <v>+2 空的心之容器</v>
      </c>
      <c r="K546" t="s">
        <v>1199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空的心之容器&lt;/text&gt;&lt;text transform="matrix(1 0 0 1 0 10.3205)" style="fill:#FFFFFF; font-family:'FZXS12--GB1-0'; font-size:12;"&gt;+2 空的心之容器&lt;/text&gt;&lt;/svg&gt;</v>
      </c>
      <c r="P546" s="5"/>
    </row>
    <row r="547" spans="1:16" ht="14.25" customHeight="1">
      <c r="A547">
        <v>556</v>
      </c>
      <c r="B547">
        <v>0</v>
      </c>
      <c r="C547">
        <v>0</v>
      </c>
      <c r="E547" t="s">
        <v>2570</v>
      </c>
      <c r="F547">
        <v>6</v>
      </c>
      <c r="G547" s="1" t="s">
        <v>517</v>
      </c>
      <c r="H547" s="16" t="s">
        <v>3179</v>
      </c>
      <c r="I547" s="18"/>
      <c r="J547" t="str">
        <f>IF(LEN(VLOOKUP(表1[[#This Row],[id]],数据引用!A:C,3,FALSE))&gt;0,VLOOKUP(表1[[#This Row],[id]],数据引用!A:C,3,FALSE),"")</f>
        <v>开锁</v>
      </c>
      <c r="K547" t="s">
        <v>1199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font-size:12;"&gt;开锁&lt;/text&gt;&lt;text transform="matrix(1 0 0 1 0 10.3205)" style="fill:#FFFFFF; font-family:'FZXS12--GB1-0'; font-size:12;"&gt;开锁&lt;/text&gt;&lt;/svg&gt;</v>
      </c>
      <c r="P547" s="5"/>
    </row>
    <row r="548" spans="1:16" ht="14.25" customHeight="1">
      <c r="A548">
        <v>557</v>
      </c>
      <c r="B548">
        <v>0</v>
      </c>
      <c r="C548">
        <v>0</v>
      </c>
      <c r="E548" t="s">
        <v>2570</v>
      </c>
      <c r="F548">
        <v>6</v>
      </c>
      <c r="G548" s="1" t="s">
        <v>518</v>
      </c>
      <c r="H548" s="16" t="s">
        <v>3180</v>
      </c>
      <c r="I548" s="18"/>
      <c r="J548" t="str">
        <f>IF(LEN(VLOOKUP(表1[[#This Row],[id]],数据引用!A:C,3,FALSE))&gt;0,VLOOKUP(表1[[#This Row],[id]],数据引用!A:C,3,FALSE),"")</f>
        <v>引力</v>
      </c>
      <c r="K548" t="s">
        <v>1199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font-size:12;"&gt;引力&lt;/text&gt;&lt;text transform="matrix(1 0 0 1 0 10.3205)" style="fill:#FFFFFF; font-family:'FZXS12--GB1-0'; font-size:12;"&gt;引力&lt;/text&gt;&lt;/svg&gt;</v>
      </c>
      <c r="P548" s="5"/>
    </row>
    <row r="549" spans="1:16" ht="14.25" customHeight="1">
      <c r="A549">
        <v>558</v>
      </c>
      <c r="B549">
        <v>0</v>
      </c>
      <c r="C549">
        <v>0</v>
      </c>
      <c r="E549" t="s">
        <v>2570</v>
      </c>
      <c r="F549">
        <v>6</v>
      </c>
      <c r="G549" s="1" t="s">
        <v>519</v>
      </c>
      <c r="H549" s="16" t="s">
        <v>3181</v>
      </c>
      <c r="I549" s="18"/>
      <c r="J549" t="str">
        <f>IF(LEN(VLOOKUP(表1[[#This Row],[id]],数据引用!A:C,3,FALSE))&gt;0,VLOOKUP(表1[[#This Row],[id]],数据引用!A:C,3,FALSE),"")</f>
        <v>地图全开</v>
      </c>
      <c r="K549" t="s">
        <v>1199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font-size:12;"&gt;地图全开&lt;/text&gt;&lt;text transform="matrix(1 0 0 1 0 10.3205)" style="fill:#FFFFFF; font-family:'FZXS12--GB1-0'; font-size:12;"&gt;地图全开&lt;/text&gt;&lt;/svg&gt;</v>
      </c>
      <c r="P549" s="5"/>
    </row>
    <row r="550" spans="1:16" ht="14.25" customHeight="1">
      <c r="A550">
        <v>559</v>
      </c>
      <c r="B550">
        <v>0</v>
      </c>
      <c r="C550">
        <v>0</v>
      </c>
      <c r="E550" t="s">
        <v>2570</v>
      </c>
      <c r="F550">
        <v>6</v>
      </c>
      <c r="G550" s="1" t="s">
        <v>520</v>
      </c>
      <c r="H550" s="16" t="s">
        <v>3182</v>
      </c>
      <c r="I550" s="18"/>
      <c r="J550" t="str">
        <f>IF(LEN(VLOOKUP(表1[[#This Row],[id]],数据引用!A:C,3,FALSE))&gt;0,VLOOKUP(表1[[#This Row],[id]],数据引用!A:C,3,FALSE),"")</f>
        <v>复生</v>
      </c>
      <c r="K550" t="s">
        <v>1199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font-size:12;"&gt;复生&lt;/text&gt;&lt;text transform="matrix(1 0 0 1 0 10.3205)" style="fill:#FFFFFF; font-family:'FZXS12--GB1-0'; font-size:12;"&gt;复生&lt;/text&gt;&lt;/svg&gt;</v>
      </c>
      <c r="P550" s="5"/>
    </row>
    <row r="551" spans="1:16" ht="14.25" customHeight="1">
      <c r="A551">
        <v>560</v>
      </c>
      <c r="B551">
        <v>0</v>
      </c>
      <c r="C551">
        <v>0</v>
      </c>
      <c r="E551" t="s">
        <v>2570</v>
      </c>
      <c r="F551">
        <v>6</v>
      </c>
      <c r="G551" s="1" t="s">
        <v>521</v>
      </c>
      <c r="H551" s="16" t="s">
        <v>3183</v>
      </c>
      <c r="I551" s="18"/>
      <c r="J551" t="str">
        <f>IF(LEN(VLOOKUP(表1[[#This Row],[id]],数据引用!A:C,3,FALSE))&gt;0,VLOOKUP(表1[[#This Row],[id]],数据引用!A:C,3,FALSE),"")</f>
        <v>免疫攻击并冰冻所有敌人</v>
      </c>
      <c r="K551" t="s">
        <v>1199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font-size:12;"&gt;免疫攻击并冰冻所有敌人&lt;/text&gt;&lt;text transform="matrix(1 0 0 1 0 10.3205)" style="fill:#FFFFFF; font-family:'FZXS12--GB1-0'; font-size:12;"&gt;免疫攻击并冰冻所有敌人&lt;/text&gt;&lt;/svg&gt;</v>
      </c>
      <c r="P551" s="5"/>
    </row>
    <row r="552" spans="1:16" ht="14.25" customHeight="1">
      <c r="A552">
        <v>561</v>
      </c>
      <c r="B552">
        <v>0</v>
      </c>
      <c r="C552">
        <v>0</v>
      </c>
      <c r="E552" t="s">
        <v>2570</v>
      </c>
      <c r="F552">
        <v>6</v>
      </c>
      <c r="G552" s="1" t="s">
        <v>522</v>
      </c>
      <c r="H552" s="16" t="s">
        <v>3184</v>
      </c>
      <c r="I552" s="18"/>
      <c r="J552" t="str">
        <f>IF(LEN(VLOOKUP(表1[[#This Row],[id]],数据引用!A:C,3,FALSE))&gt;0,VLOOKUP(表1[[#This Row],[id]],数据引用!A:C,3,FALSE),"")</f>
        <v>过量治疗转化为心之容器</v>
      </c>
      <c r="K552" t="s">
        <v>1199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font-size:12;"&gt;过量治疗转化为心之容器&lt;/text&gt;&lt;text transform="matrix(1 0 0 1 0 10.3205)" style="fill:#FFFFFF; font-family:'FZXS12--GB1-0'; font-size:12;"&gt;过量治疗转化为心之容器&lt;/text&gt;&lt;/svg&gt;</v>
      </c>
      <c r="P552" s="5"/>
    </row>
    <row r="553" spans="1:16" ht="14.25" customHeight="1">
      <c r="A553">
        <v>562</v>
      </c>
      <c r="B553">
        <v>0</v>
      </c>
      <c r="C553">
        <v>0</v>
      </c>
      <c r="E553" t="s">
        <v>2570</v>
      </c>
      <c r="F553">
        <v>6</v>
      </c>
      <c r="G553" s="1" t="s">
        <v>523</v>
      </c>
      <c r="H553" s="16" t="s">
        <v>3185</v>
      </c>
      <c r="I553" s="18"/>
      <c r="J553" t="str">
        <f>IF(LEN(VLOOKUP(表1[[#This Row],[id]],数据引用!A:C,3,FALSE))&gt;0,VLOOKUP(表1[[#This Row],[id]],数据引用!A:C,3,FALSE),"")</f>
        <v>能找到更好的物品</v>
      </c>
      <c r="K553" t="s">
        <v>1199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53" s="5"/>
    </row>
    <row r="554" spans="1:16" ht="14.25" customHeight="1">
      <c r="A554">
        <v>563</v>
      </c>
      <c r="B554">
        <v>0</v>
      </c>
      <c r="C554">
        <v>0</v>
      </c>
      <c r="E554" t="s">
        <v>2570</v>
      </c>
      <c r="F554">
        <v>6</v>
      </c>
      <c r="G554" s="1" t="s">
        <v>524</v>
      </c>
      <c r="H554" s="16" t="s">
        <v>3186</v>
      </c>
      <c r="I554" s="18"/>
      <c r="J554" t="str">
        <f>IF(LEN(VLOOKUP(表1[[#This Row],[id]],数据引用!A:C,3,FALSE))&gt;0,VLOOKUP(表1[[#This Row],[id]],数据引用!A:C,3,FALSE),"")</f>
        <v>不会出现鬼魂</v>
      </c>
      <c r="K554" t="s">
        <v>1199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font-size:12;"&gt;不会出现鬼魂&lt;/text&gt;&lt;text transform="matrix(1 0 0 1 0 10.3205)" style="fill:#FFFFFF; font-family:'FZXS12--GB1-0'; font-size:12;"&gt;不会出现鬼魂&lt;/text&gt;&lt;/svg&gt;</v>
      </c>
      <c r="P554" s="5"/>
    </row>
    <row r="555" spans="1:16" ht="14.25" customHeight="1">
      <c r="A555">
        <v>564</v>
      </c>
      <c r="B555">
        <v>0</v>
      </c>
      <c r="C555">
        <v>0</v>
      </c>
      <c r="E555" t="s">
        <v>2570</v>
      </c>
      <c r="F555">
        <v>6</v>
      </c>
      <c r="G555" s="1" t="s">
        <v>525</v>
      </c>
      <c r="H555" s="16" t="s">
        <v>3187</v>
      </c>
      <c r="I555" s="18"/>
      <c r="J555" t="str">
        <f>IF(LEN(VLOOKUP(表1[[#This Row],[id]],数据引用!A:C,3,FALSE))&gt;0,VLOOKUP(表1[[#This Row],[id]],数据引用!A:C,3,FALSE),"")</f>
        <v>放手一搏（+2伤害）</v>
      </c>
      <c r="K555" t="s">
        <v>1199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font-size:12;"&gt;放手一搏（+2伤害）&lt;/text&gt;&lt;text transform="matrix(1 0 0 1 0 10.3205)" style="fill:#FFFFFF; font-family:'FZXS12--GB1-0'; font-size:12;"&gt;放手一搏（+2伤害）&lt;/text&gt;&lt;/svg&gt;</v>
      </c>
      <c r="P555" s="5"/>
    </row>
    <row r="556" spans="1:16" ht="14.25" customHeight="1">
      <c r="A556">
        <v>565</v>
      </c>
      <c r="B556">
        <v>0</v>
      </c>
      <c r="C556">
        <v>0</v>
      </c>
      <c r="E556" t="s">
        <v>2570</v>
      </c>
      <c r="F556">
        <v>6</v>
      </c>
      <c r="G556" s="1" t="s">
        <v>526</v>
      </c>
      <c r="H556" s="16" t="s">
        <v>3188</v>
      </c>
      <c r="I556" s="18"/>
      <c r="J556" t="str">
        <f>IF(LEN(VLOOKUP(表1[[#This Row],[id]],数据引用!A:C,3,FALSE))&gt;0,VLOOKUP(表1[[#This Row],[id]],数据引用!A:C,3,FALSE),"")</f>
        <v>+1 伤害，击杀时冲锋</v>
      </c>
      <c r="K556" t="s">
        <v>1199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伤害，击杀时冲锋&lt;/text&gt;&lt;text transform="matrix(1 0 0 1 0 10.3205)" style="fill:#FFFFFF; font-family:'FZXS12--GB1-0'; font-size:12;"&gt;+1 伤害，击杀时冲锋&lt;/text&gt;&lt;/svg&gt;</v>
      </c>
      <c r="P556" s="5"/>
    </row>
    <row r="557" spans="1:16" ht="14.25" customHeight="1">
      <c r="A557">
        <v>566</v>
      </c>
      <c r="B557">
        <v>0</v>
      </c>
      <c r="C557">
        <v>0</v>
      </c>
      <c r="E557" t="s">
        <v>2570</v>
      </c>
      <c r="F557">
        <v>6</v>
      </c>
      <c r="G557" s="1" t="s">
        <v>527</v>
      </c>
      <c r="H557" s="16" t="s">
        <v>3189</v>
      </c>
      <c r="I557" s="18"/>
      <c r="J557" t="str">
        <f>IF(LEN(VLOOKUP(表1[[#This Row],[id]],数据引用!A:C,3,FALSE))&gt;0,VLOOKUP(表1[[#This Row],[id]],数据引用!A:C,3,FALSE),"")</f>
        <v>+1 伤害，更多敌人</v>
      </c>
      <c r="K557" t="s">
        <v>1199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伤害，更多敌人&lt;/text&gt;&lt;text transform="matrix(1 0 0 1 0 10.3205)" style="fill:#FFFFFF; font-family:'FZXS12--GB1-0'; font-size:12;"&gt;+1 伤害，更多敌人&lt;/text&gt;&lt;/svg&gt;</v>
      </c>
      <c r="P557" s="5"/>
    </row>
    <row r="558" spans="1:16" ht="14.25" customHeight="1">
      <c r="A558">
        <v>567</v>
      </c>
      <c r="B558">
        <v>0</v>
      </c>
      <c r="C558">
        <v>0</v>
      </c>
      <c r="E558" t="s">
        <v>2570</v>
      </c>
      <c r="F558">
        <v>6</v>
      </c>
      <c r="G558" s="1" t="s">
        <v>528</v>
      </c>
      <c r="H558" s="16" t="s">
        <v>3190</v>
      </c>
      <c r="I558" s="18"/>
      <c r="J558" t="str">
        <f>IF(LEN(VLOOKUP(表1[[#This Row],[id]],数据引用!A:C,3,FALSE))&gt;0,VLOOKUP(表1[[#This Row],[id]],数据引用!A:C,3,FALSE),"")</f>
        <v>+1 心之容器，更少敌人</v>
      </c>
      <c r="K558" t="s">
        <v>1199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心之容器，更少敌人&lt;/text&gt;&lt;text transform="matrix(1 0 0 1 0 10.3205)" style="fill:#FFFFFF; font-family:'FZXS12--GB1-0'; font-size:12;"&gt;+1 心之容器，更少敌人&lt;/text&gt;&lt;/svg&gt;</v>
      </c>
      <c r="P558" s="5"/>
    </row>
    <row r="559" spans="1:16" ht="14.25" customHeight="1">
      <c r="A559">
        <v>568</v>
      </c>
      <c r="B559">
        <v>0</v>
      </c>
      <c r="C559">
        <v>0</v>
      </c>
      <c r="E559" t="s">
        <v>2570</v>
      </c>
      <c r="F559">
        <v>6</v>
      </c>
      <c r="G559" s="1" t="s">
        <v>529</v>
      </c>
      <c r="H559" s="16" t="s">
        <v>3191</v>
      </c>
      <c r="I559" s="18"/>
      <c r="J559" t="str">
        <f>IF(LEN(VLOOKUP(表1[[#This Row],[id]],数据引用!A:C,3,FALSE))&gt;0,VLOOKUP(表1[[#This Row],[id]],数据引用!A:C,3,FALSE),"")</f>
        <v>魔法增效</v>
      </c>
      <c r="K559" t="s">
        <v>1199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font-size:12;"&gt;魔法增效&lt;/text&gt;&lt;text transform="matrix(1 0 0 1 0 10.3205)" style="fill:#FFFFFF; font-family:'FZXS12--GB1-0'; font-size:12;"&gt;魔法增效&lt;/text&gt;&lt;/svg&gt;</v>
      </c>
      <c r="P559" s="5"/>
    </row>
    <row r="560" spans="1:16" ht="14.25" customHeight="1">
      <c r="A560">
        <v>569</v>
      </c>
      <c r="B560">
        <v>0</v>
      </c>
      <c r="C560">
        <v>0</v>
      </c>
      <c r="E560" t="s">
        <v>2570</v>
      </c>
      <c r="F560">
        <v>6</v>
      </c>
      <c r="G560" s="1" t="s">
        <v>530</v>
      </c>
      <c r="H560" s="16" t="s">
        <v>3192</v>
      </c>
      <c r="I560" s="18"/>
      <c r="J560" t="str">
        <f>IF(LEN(VLOOKUP(表1[[#This Row],[id]],数据引用!A:C,3,FALSE))&gt;0,VLOOKUP(表1[[#This Row],[id]],数据引用!A:C,3,FALSE),"")</f>
        <v>商店折扣</v>
      </c>
      <c r="K560" t="s">
        <v>1199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font-size:12;"&gt;商店折扣&lt;/text&gt;&lt;text transform="matrix(1 0 0 1 0 10.3205)" style="fill:#FFFFFF; font-family:'FZXS12--GB1-0'; font-size:12;"&gt;商店折扣&lt;/text&gt;&lt;/svg&gt;</v>
      </c>
      <c r="P560" s="5"/>
    </row>
    <row r="561" spans="1:16" ht="14.25" customHeight="1">
      <c r="A561">
        <v>570</v>
      </c>
      <c r="B561">
        <v>0</v>
      </c>
      <c r="C561">
        <v>0</v>
      </c>
      <c r="E561" t="s">
        <v>2570</v>
      </c>
      <c r="F561">
        <v>6</v>
      </c>
      <c r="G561" s="1" t="s">
        <v>523</v>
      </c>
      <c r="H561" s="16" t="s">
        <v>3193</v>
      </c>
      <c r="I561" s="18"/>
      <c r="J561" t="str">
        <f>IF(LEN(VLOOKUP(表1[[#This Row],[id]],数据引用!A:C,3,FALSE))&gt;0,VLOOKUP(表1[[#This Row],[id]],数据引用!A:C,3,FALSE),"")</f>
        <v>能找到更好的物品</v>
      </c>
      <c r="K561" t="s">
        <v>1199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P561" s="5"/>
    </row>
    <row r="562" spans="1:16" ht="14.25" customHeight="1">
      <c r="A562">
        <v>571</v>
      </c>
      <c r="B562">
        <v>0</v>
      </c>
      <c r="C562">
        <v>0</v>
      </c>
      <c r="E562" t="s">
        <v>2570</v>
      </c>
      <c r="F562">
        <v>6</v>
      </c>
      <c r="G562" s="1" t="s">
        <v>531</v>
      </c>
      <c r="H562" s="16" t="s">
        <v>3194</v>
      </c>
      <c r="I562" s="18"/>
      <c r="J562" t="str">
        <f>IF(LEN(VLOOKUP(表1[[#This Row],[id]],数据引用!A:C,3,FALSE))&gt;0,VLOOKUP(表1[[#This Row],[id]],数据引用!A:C,3,FALSE),"")</f>
        <v>更多金币，自动拾取金币</v>
      </c>
      <c r="K562" t="s">
        <v>1199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font-size:12;"&gt;更多金币，自动拾取金币&lt;/text&gt;&lt;text transform="matrix(1 0 0 1 0 10.3205)" style="fill:#FFFFFF; font-family:'FZXS12--GB1-0'; font-size:12;"&gt;更多金币，自动拾取金币&lt;/text&gt;&lt;/svg&gt;</v>
      </c>
      <c r="P562" s="5"/>
    </row>
    <row r="563" spans="1:16" ht="14.25" customHeight="1">
      <c r="A563">
        <v>572</v>
      </c>
      <c r="B563">
        <v>0</v>
      </c>
      <c r="C563">
        <v>0</v>
      </c>
      <c r="E563" t="s">
        <v>2570</v>
      </c>
      <c r="F563">
        <v>6</v>
      </c>
      <c r="G563" s="1" t="s">
        <v>532</v>
      </c>
      <c r="H563" s="16" t="s">
        <v>3195</v>
      </c>
      <c r="I563" s="18"/>
      <c r="J563" t="str">
        <f>IF(LEN(VLOOKUP(表1[[#This Row],[id]],数据引用!A:C,3,FALSE))&gt;0,VLOOKUP(表1[[#This Row],[id]],数据引用!A:C,3,FALSE),"")</f>
        <v>每关卡回血</v>
      </c>
      <c r="K563" t="s">
        <v>1199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font-size:12;"&gt;每关卡回血&lt;/text&gt;&lt;text transform="matrix(1 0 0 1 0 10.3205)" style="fill:#FFFFFF; font-family:'FZXS12--GB1-0'; font-size:12;"&gt;每关卡回血&lt;/text&gt;&lt;/svg&gt;</v>
      </c>
      <c r="P563" s="5"/>
    </row>
    <row r="564" spans="1:16" ht="14.25" customHeight="1">
      <c r="A564">
        <v>573</v>
      </c>
      <c r="B564">
        <v>0</v>
      </c>
      <c r="C564">
        <v>0</v>
      </c>
      <c r="E564" t="s">
        <v>2570</v>
      </c>
      <c r="F564">
        <v>6</v>
      </c>
      <c r="G564" s="1" t="s">
        <v>533</v>
      </c>
      <c r="H564" s="16" t="s">
        <v>3196</v>
      </c>
      <c r="I564" s="18"/>
      <c r="J564" t="str">
        <f>IF(LEN(VLOOKUP(表1[[#This Row],[id]],数据引用!A:C,3,FALSE))&gt;0,VLOOKUP(表1[[#This Row],[id]],数据引用!A:C,3,FALSE),"")</f>
        <v>自动护盾</v>
      </c>
      <c r="K564" t="s">
        <v>1199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font-size:12;"&gt;自动护盾&lt;/text&gt;&lt;text transform="matrix(1 0 0 1 0 10.3205)" style="fill:#FFFFFF; font-family:'FZXS12--GB1-0'; font-size:12;"&gt;自动护盾&lt;/text&gt;&lt;/svg&gt;</v>
      </c>
      <c r="P564" s="5"/>
    </row>
    <row r="565" spans="1:16" ht="14.25" customHeight="1">
      <c r="A565">
        <v>574</v>
      </c>
      <c r="B565">
        <v>0</v>
      </c>
      <c r="C565">
        <v>0</v>
      </c>
      <c r="E565" t="s">
        <v>2570</v>
      </c>
      <c r="F565">
        <v>6</v>
      </c>
      <c r="G565" s="1" t="s">
        <v>534</v>
      </c>
      <c r="H565" s="16" t="s">
        <v>3197</v>
      </c>
      <c r="I565" s="18"/>
      <c r="J565" t="str">
        <f>IF(LEN(VLOOKUP(表1[[#This Row],[id]],数据引用!A:C,3,FALSE))&gt;0,VLOOKUP(表1[[#This Row],[id]],数据引用!A:C,3,FALSE),"")</f>
        <v>全属性+1</v>
      </c>
      <c r="K565" t="s">
        <v>1199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font-size:12;"&gt;全属性+1&lt;/text&gt;&lt;text transform="matrix(1 0 0 1 0 10.3205)" style="fill:#FFFFFF; font-family:'FZXS12--GB1-0'; font-size:12;"&gt;全属性+1&lt;/text&gt;&lt;/svg&gt;</v>
      </c>
      <c r="P565" s="5"/>
    </row>
    <row r="566" spans="1:16" ht="14.25" customHeight="1">
      <c r="A566">
        <v>575</v>
      </c>
      <c r="B566">
        <v>0</v>
      </c>
      <c r="C566">
        <v>0</v>
      </c>
      <c r="E566" t="s">
        <v>2570</v>
      </c>
      <c r="F566">
        <v>6</v>
      </c>
      <c r="G566" s="1" t="s">
        <v>535</v>
      </c>
      <c r="H566" s="16" t="s">
        <v>3198</v>
      </c>
      <c r="I566" s="18"/>
      <c r="J566" t="str">
        <f>IF(LEN(VLOOKUP(表1[[#This Row],[id]],数据引用!A:C,3,FALSE))&gt;0,VLOOKUP(表1[[#This Row],[id]],数据引用!A:C,3,FALSE),"")</f>
        <v>对非飞行敌人造成伤害</v>
      </c>
      <c r="K566" t="s">
        <v>1199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font-size:12;"&gt;对非飞行敌人造成伤害&lt;/text&gt;&lt;text transform="matrix(1 0 0 1 0 10.3205)" style="fill:#FFFFFF; font-family:'FZXS12--GB1-0'; font-size:12;"&gt;对非飞行敌人造成伤害&lt;/text&gt;&lt;/svg&gt;</v>
      </c>
      <c r="P566" s="5"/>
    </row>
    <row r="567" spans="1:16" ht="14.25" customHeight="1">
      <c r="A567">
        <v>576</v>
      </c>
      <c r="B567">
        <v>0</v>
      </c>
      <c r="C567">
        <v>0</v>
      </c>
      <c r="E567" t="s">
        <v>2570</v>
      </c>
      <c r="F567">
        <v>6</v>
      </c>
      <c r="G567" s="1" t="s">
        <v>536</v>
      </c>
      <c r="H567" s="16" t="s">
        <v>3199</v>
      </c>
      <c r="I567" s="18"/>
      <c r="J567" t="str">
        <f>IF(LEN(VLOOKUP(表1[[#This Row],[id]],数据引用!A:C,3,FALSE))&gt;0,VLOOKUP(表1[[#This Row],[id]],数据引用!A:C,3,FALSE),"")</f>
        <v>恐吓敌人</v>
      </c>
      <c r="K567" t="s">
        <v>1199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font-size:12;"&gt;恐吓敌人&lt;/text&gt;&lt;text transform="matrix(1 0 0 1 0 10.3205)" style="fill:#FFFFFF; font-family:'FZXS12--GB1-0'; font-size:12;"&gt;恐吓敌人&lt;/text&gt;&lt;/svg&gt;</v>
      </c>
      <c r="P567" s="5"/>
    </row>
    <row r="568" spans="1:16" ht="14.25" customHeight="1">
      <c r="A568">
        <v>577</v>
      </c>
      <c r="B568">
        <v>0</v>
      </c>
      <c r="C568">
        <v>0</v>
      </c>
      <c r="E568" t="s">
        <v>2570</v>
      </c>
      <c r="F568">
        <v>6</v>
      </c>
      <c r="G568" s="1" t="s">
        <v>537</v>
      </c>
      <c r="H568" s="16" t="s">
        <v>3200</v>
      </c>
      <c r="I568" s="18"/>
      <c r="J568" t="str">
        <f>IF(LEN(VLOOKUP(表1[[#This Row],[id]],数据引用!A:C,3,FALSE))&gt;0,VLOOKUP(表1[[#This Row],[id]],数据引用!A:C,3,FALSE),"")</f>
        <v>向两侧发射火焰</v>
      </c>
      <c r="K568" t="s">
        <v>1199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68" s="5"/>
    </row>
    <row r="569" spans="1:16" ht="14.25" customHeight="1">
      <c r="A569">
        <v>578</v>
      </c>
      <c r="B569">
        <v>0</v>
      </c>
      <c r="C569">
        <v>0</v>
      </c>
      <c r="E569" t="s">
        <v>2570</v>
      </c>
      <c r="F569">
        <v>6</v>
      </c>
      <c r="G569" s="1" t="s">
        <v>538</v>
      </c>
      <c r="H569" s="16" t="s">
        <v>3201</v>
      </c>
      <c r="I569" s="18"/>
      <c r="J569" t="str">
        <f>IF(LEN(VLOOKUP(表1[[#This Row],[id]],数据引用!A:C,3,FALSE))&gt;0,VLOOKUP(表1[[#This Row],[id]],数据引用!A:C,3,FALSE),"")</f>
        <v>冻结敌人</v>
      </c>
      <c r="K569" t="s">
        <v>1199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69" s="5"/>
    </row>
    <row r="570" spans="1:16" ht="14.25" customHeight="1">
      <c r="A570">
        <v>579</v>
      </c>
      <c r="B570">
        <v>0</v>
      </c>
      <c r="C570">
        <v>0</v>
      </c>
      <c r="E570" t="s">
        <v>2570</v>
      </c>
      <c r="F570">
        <v>6</v>
      </c>
      <c r="G570" s="1" t="s">
        <v>539</v>
      </c>
      <c r="H570" s="16" t="s">
        <v>3202</v>
      </c>
      <c r="I570" s="18"/>
      <c r="J570" t="str">
        <f>IF(LEN(VLOOKUP(表1[[#This Row],[id]],数据引用!A:C,3,FALSE))&gt;0,VLOOKUP(表1[[#This Row],[id]],数据引用!A:C,3,FALSE),"")</f>
        <v>得到倍率x50的金币</v>
      </c>
      <c r="K570" t="s">
        <v>1199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font-size:12;"&gt;得到倍率x50的金币&lt;/text&gt;&lt;text transform="matrix(1 0 0 1 0 10.3205)" style="fill:#FFFFFF; font-family:'FZXS12--GB1-0'; font-size:12;"&gt;得到倍率x50的金币&lt;/text&gt;&lt;/svg&gt;</v>
      </c>
      <c r="P570" s="5"/>
    </row>
    <row r="571" spans="1:16" ht="14.25" customHeight="1">
      <c r="A571">
        <v>580</v>
      </c>
      <c r="B571">
        <v>0</v>
      </c>
      <c r="C571">
        <v>0</v>
      </c>
      <c r="E571" t="s">
        <v>2570</v>
      </c>
      <c r="F571">
        <v>6</v>
      </c>
      <c r="G571" s="1" t="s">
        <v>540</v>
      </c>
      <c r="H571" s="16" t="s">
        <v>3203</v>
      </c>
      <c r="I571" s="18"/>
      <c r="J571" t="str">
        <f>IF(LEN(VLOOKUP(表1[[#This Row],[id]],数据引用!A:C,3,FALSE))&gt;0,VLOOKUP(表1[[#This Row],[id]],数据引用!A:C,3,FALSE),"")</f>
        <v>临时护盾</v>
      </c>
      <c r="K571" t="s">
        <v>1199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71" s="5"/>
    </row>
    <row r="572" spans="1:16" ht="14.25" customHeight="1">
      <c r="A572">
        <v>581</v>
      </c>
      <c r="B572">
        <v>0</v>
      </c>
      <c r="C572">
        <v>0</v>
      </c>
      <c r="E572" t="s">
        <v>2570</v>
      </c>
      <c r="F572">
        <v>6</v>
      </c>
      <c r="G572" s="1" t="s">
        <v>269</v>
      </c>
      <c r="H572" s="16" t="s">
        <v>3204</v>
      </c>
      <c r="I572" s="18"/>
      <c r="J572" t="str">
        <f>IF(LEN(VLOOKUP(表1[[#This Row],[id]],数据引用!A:C,3,FALSE))&gt;0,VLOOKUP(表1[[#This Row],[id]],数据引用!A:C,3,FALSE),"")</f>
        <v>附魔武器</v>
      </c>
      <c r="K572" t="s">
        <v>1199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P572" s="5"/>
    </row>
    <row r="573" spans="1:16" ht="14.25" customHeight="1">
      <c r="A573">
        <v>582</v>
      </c>
      <c r="B573">
        <v>0</v>
      </c>
      <c r="C573">
        <v>0</v>
      </c>
      <c r="E573" t="s">
        <v>2570</v>
      </c>
      <c r="F573">
        <v>6</v>
      </c>
      <c r="G573" s="1" t="s">
        <v>541</v>
      </c>
      <c r="H573" s="16" t="s">
        <v>3205</v>
      </c>
      <c r="I573" s="18"/>
      <c r="J573" t="str">
        <f>IF(LEN(VLOOKUP(表1[[#This Row],[id]],数据引用!A:C,3,FALSE))&gt;0,VLOOKUP(表1[[#This Row],[id]],数据引用!A:C,3,FALSE),"")</f>
        <v>给你你最需要的东西</v>
      </c>
      <c r="K573" t="s">
        <v>1199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font-size:12;"&gt;给你你最需要的东西&lt;/text&gt;&lt;text transform="matrix(1 0 0 1 0 10.3205)" style="fill:#FFFFFF; font-family:'FZXS12--GB1-0'; font-size:12;"&gt;给你你最需要的东西&lt;/text&gt;&lt;/svg&gt;</v>
      </c>
      <c r="P573" s="5"/>
    </row>
    <row r="574" spans="1:16" ht="14.25" customHeight="1">
      <c r="A574">
        <v>583</v>
      </c>
      <c r="B574">
        <v>0</v>
      </c>
      <c r="C574">
        <v>0</v>
      </c>
      <c r="E574" t="s">
        <v>2570</v>
      </c>
      <c r="F574">
        <v>6</v>
      </c>
      <c r="G574" s="1" t="s">
        <v>542</v>
      </c>
      <c r="H574" s="16" t="s">
        <v>3206</v>
      </c>
      <c r="I574" s="18"/>
      <c r="J574" t="str">
        <f>IF(LEN(VLOOKUP(表1[[#This Row],[id]],数据引用!A:C,3,FALSE))&gt;0,VLOOKUP(表1[[#This Row],[id]],数据引用!A:C,3,FALSE),"")</f>
        <v>转化所有未装备的物品</v>
      </c>
      <c r="K574" t="s">
        <v>1199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font-size:12;"&gt;转化所有未装备的物品&lt;/text&gt;&lt;text transform="matrix(1 0 0 1 0 10.3205)" style="fill:#FFFFFF; font-family:'FZXS12--GB1-0'; font-size:12;"&gt;转化所有未装备的物品&lt;/text&gt;&lt;/svg&gt;</v>
      </c>
      <c r="P574" s="5"/>
    </row>
    <row r="575" spans="1:16" ht="14.25" customHeight="1">
      <c r="A575">
        <v>584</v>
      </c>
      <c r="B575">
        <v>0</v>
      </c>
      <c r="C575">
        <v>0</v>
      </c>
      <c r="E575" t="s">
        <v>2570</v>
      </c>
      <c r="F575">
        <v>6</v>
      </c>
      <c r="G575" s="1" t="s">
        <v>543</v>
      </c>
      <c r="H575" s="16" t="s">
        <v>3207</v>
      </c>
      <c r="I575" s="18"/>
      <c r="J575" t="str">
        <f>IF(LEN(VLOOKUP(表1[[#This Row],[id]],数据引用!A:C,3,FALSE))&gt;0,VLOOKUP(表1[[#This Row],[id]],数据引用!A:C,3,FALSE),"")</f>
        <v>+2挖掘能力</v>
      </c>
      <c r="K575" t="s">
        <v>1199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font-size:12;"&gt;+2挖掘能力&lt;/text&gt;&lt;text transform="matrix(1 0 0 1 0 10.3205)" style="fill:#FFFFFF; font-family:'FZXS12--GB1-0'; font-size:12;"&gt;+2挖掘能力&lt;/text&gt;&lt;/svg&gt;</v>
      </c>
      <c r="P575" s="5"/>
    </row>
    <row r="576" spans="1:16" ht="14.25" customHeight="1">
      <c r="A576">
        <v>585</v>
      </c>
      <c r="B576">
        <v>0</v>
      </c>
      <c r="C576">
        <v>0</v>
      </c>
      <c r="E576" t="s">
        <v>2570</v>
      </c>
      <c r="F576">
        <v>6</v>
      </c>
      <c r="G576" s="1" t="s">
        <v>544</v>
      </c>
      <c r="H576" s="16" t="s">
        <v>3208</v>
      </c>
      <c r="I576" s="18"/>
      <c r="J576" t="str">
        <f>IF(LEN(VLOOKUP(表1[[#This Row],[id]],数据引用!A:C,3,FALSE))&gt;0,VLOOKUP(表1[[#This Row],[id]],数据引用!A:C,3,FALSE),"")</f>
        <v>+1挖掘能力</v>
      </c>
      <c r="K576" t="s">
        <v>1199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font-size:12;"&gt;+1挖掘能力&lt;/text&gt;&lt;text transform="matrix(1 0 0 1 0 10.3205)" style="fill:#FFFFFF; font-family:'FZXS12--GB1-0'; font-size:12;"&gt;+1挖掘能力&lt;/text&gt;&lt;/svg&gt;</v>
      </c>
      <c r="P576" s="5"/>
    </row>
    <row r="577" spans="1:16" ht="14.25" customHeight="1">
      <c r="A577">
        <v>586</v>
      </c>
      <c r="B577">
        <v>0</v>
      </c>
      <c r="C577">
        <v>0</v>
      </c>
      <c r="E577" t="s">
        <v>2570</v>
      </c>
      <c r="F577">
        <v>6</v>
      </c>
      <c r="G577" s="1" t="s">
        <v>545</v>
      </c>
      <c r="H577" s="16" t="s">
        <v>3209</v>
      </c>
      <c r="I577" s="18"/>
      <c r="J577" t="str">
        <f>IF(LEN(VLOOKUP(表1[[#This Row],[id]],数据引用!A:C,3,FALSE))&gt;0,VLOOKUP(表1[[#This Row],[id]],数据引用!A:C,3,FALSE),"")</f>
        <v>可以挖掘任何墙壁，挖掘时受到伤害</v>
      </c>
      <c r="K577" t="s">
        <v>1199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font-size:12;"&gt;可以挖掘任何墙壁，挖掘时受到伤害&lt;/text&gt;&lt;text transform="matrix(1 0 0 1 0 10.3205)" style="fill:#FFFFFF; font-family:'FZXS12--GB1-0'; font-size:12;"&gt;可以挖掘任何墙壁，挖掘时受到伤害&lt;/text&gt;&lt;/svg&gt;</v>
      </c>
      <c r="P577" s="5"/>
    </row>
    <row r="578" spans="1:16" ht="14.25" customHeight="1">
      <c r="A578">
        <v>587</v>
      </c>
      <c r="B578">
        <v>0</v>
      </c>
      <c r="C578">
        <v>0</v>
      </c>
      <c r="E578" t="s">
        <v>2570</v>
      </c>
      <c r="F578">
        <v>6</v>
      </c>
      <c r="G578" s="1" t="s">
        <v>546</v>
      </c>
      <c r="H578" s="16" t="s">
        <v>3210</v>
      </c>
      <c r="I578" s="18"/>
      <c r="J578" t="str">
        <f>IF(LEN(VLOOKUP(表1[[#This Row],[id]],数据引用!A:C,3,FALSE))&gt;0,VLOOKUP(表1[[#This Row],[id]],数据引用!A:C,3,FALSE),"")</f>
        <v>金币倍率将强化挖掘能力</v>
      </c>
      <c r="K578" t="s">
        <v>1199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font-size:12;"&gt;金币倍率将强化挖掘能力&lt;/text&gt;&lt;text transform="matrix(1 0 0 1 0 10.3205)" style="fill:#FFFFFF; font-family:'FZXS12--GB1-0'; font-size:12;"&gt;金币倍率将强化挖掘能力&lt;/text&gt;&lt;/svg&gt;</v>
      </c>
      <c r="P578" s="5"/>
    </row>
    <row r="579" spans="1:16" ht="14.25" customHeight="1">
      <c r="A579">
        <v>588</v>
      </c>
      <c r="B579">
        <v>0</v>
      </c>
      <c r="C579">
        <v>0</v>
      </c>
      <c r="E579" t="s">
        <v>2570</v>
      </c>
      <c r="F579">
        <v>6</v>
      </c>
      <c r="G579" s="1" t="s">
        <v>547</v>
      </c>
      <c r="H579" s="16" t="s">
        <v>3211</v>
      </c>
      <c r="I579" s="18"/>
      <c r="J579" t="str">
        <f>IF(LEN(VLOOKUP(表1[[#This Row],[id]],数据引用!A:C,3,FALSE))&gt;0,VLOOKUP(表1[[#This Row],[id]],数据引用!A:C,3,FALSE),"")</f>
        <v>+2 挖掘等级，被攻击破碎</v>
      </c>
      <c r="K579" t="s">
        <v>1199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挖掘等级，被攻击破碎&lt;/text&gt;&lt;text transform="matrix(1 0 0 1 0 10.3205)" style="fill:#FFFFFF; font-family:'FZXS12--GB1-0'; font-size:12;"&gt;+2 挖掘等级，被攻击破碎&lt;/text&gt;&lt;/svg&gt;</v>
      </c>
      <c r="P579" s="5"/>
    </row>
    <row r="580" spans="1:16" ht="14.25" customHeight="1">
      <c r="A580">
        <v>589</v>
      </c>
      <c r="B580">
        <v>0</v>
      </c>
      <c r="C580">
        <v>0</v>
      </c>
      <c r="E580" t="s">
        <v>2570</v>
      </c>
      <c r="F580">
        <v>6</v>
      </c>
      <c r="G580" s="1" t="s">
        <v>548</v>
      </c>
      <c r="H580" s="16" t="s">
        <v>3212</v>
      </c>
      <c r="I580" s="18"/>
      <c r="J580" t="str">
        <f>IF(LEN(VLOOKUP(表1[[#This Row],[id]],数据引用!A:C,3,FALSE))&gt;0,VLOOKUP(表1[[#This Row],[id]],数据引用!A:C,3,FALSE),"")</f>
        <v>蓄力挖掘</v>
      </c>
      <c r="K580" t="s">
        <v>1199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font-size:12;"&gt;蓄力挖掘&lt;/text&gt;&lt;text transform="matrix(1 0 0 1 0 10.3205)" style="fill:#FFFFFF; font-family:'FZXS12--GB1-0'; font-size:12;"&gt;蓄力挖掘&lt;/text&gt;&lt;/svg&gt;</v>
      </c>
      <c r="P580" s="5"/>
    </row>
    <row r="581" spans="1:16" ht="14.25" customHeight="1">
      <c r="A581">
        <v>590</v>
      </c>
      <c r="B581">
        <v>0</v>
      </c>
      <c r="C581">
        <v>0</v>
      </c>
      <c r="E581" t="s">
        <v>2570</v>
      </c>
      <c r="F581">
        <v>6</v>
      </c>
      <c r="G581" s="1" t="s">
        <v>537</v>
      </c>
      <c r="H581" s="16" t="s">
        <v>3213</v>
      </c>
      <c r="I581" s="18"/>
      <c r="J581" t="str">
        <f>IF(LEN(VLOOKUP(表1[[#This Row],[id]],数据引用!A:C,3,FALSE))&gt;0,VLOOKUP(表1[[#This Row],[id]],数据引用!A:C,3,FALSE),"")</f>
        <v>向两侧发射火焰</v>
      </c>
      <c r="K581" t="s">
        <v>1199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P581" s="5"/>
    </row>
    <row r="582" spans="1:16" ht="14.25" customHeight="1">
      <c r="A582">
        <v>591</v>
      </c>
      <c r="B582">
        <v>0</v>
      </c>
      <c r="C582">
        <v>0</v>
      </c>
      <c r="E582" t="s">
        <v>2570</v>
      </c>
      <c r="F582">
        <v>6</v>
      </c>
      <c r="G582" s="1" t="s">
        <v>538</v>
      </c>
      <c r="H582" s="16" t="s">
        <v>3214</v>
      </c>
      <c r="I582" s="18"/>
      <c r="J582" t="str">
        <f>IF(LEN(VLOOKUP(表1[[#This Row],[id]],数据引用!A:C,3,FALSE))&gt;0,VLOOKUP(表1[[#This Row],[id]],数据引用!A:C,3,FALSE),"")</f>
        <v>冻结敌人</v>
      </c>
      <c r="K582" t="s">
        <v>1199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P582" s="5"/>
    </row>
    <row r="583" spans="1:16" ht="14.25" customHeight="1">
      <c r="A583">
        <v>592</v>
      </c>
      <c r="B583">
        <v>0</v>
      </c>
      <c r="C583">
        <v>0</v>
      </c>
      <c r="E583" t="s">
        <v>2570</v>
      </c>
      <c r="F583">
        <v>6</v>
      </c>
      <c r="G583" s="1" t="s">
        <v>549</v>
      </c>
      <c r="H583" s="16" t="s">
        <v>3215</v>
      </c>
      <c r="I583" s="18"/>
      <c r="J583" t="str">
        <f>IF(LEN(VLOOKUP(表1[[#This Row],[id]],数据引用!A:C,3,FALSE))&gt;0,VLOOKUP(表1[[#This Row],[id]],数据引用!A:C,3,FALSE),"")</f>
        <v>回复0.5生命值</v>
      </c>
      <c r="K583" t="s">
        <v>1199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font-size:12;"&gt;回复0.5生命值&lt;/text&gt;&lt;text transform="matrix(1 0 0 1 0 10.3205)" style="fill:#FFFFFF; font-family:'FZXS12--GB1-0'; font-size:12;"&gt;回复0.5生命值&lt;/text&gt;&lt;/svg&gt;</v>
      </c>
      <c r="P583" s="5"/>
    </row>
    <row r="584" spans="1:16" ht="14.25" customHeight="1">
      <c r="A584">
        <v>593</v>
      </c>
      <c r="B584">
        <v>0</v>
      </c>
      <c r="C584">
        <v>0</v>
      </c>
      <c r="E584" t="s">
        <v>2570</v>
      </c>
      <c r="F584">
        <v>6</v>
      </c>
      <c r="G584" s="1" t="s">
        <v>394</v>
      </c>
      <c r="H584" s="16" t="s">
        <v>3216</v>
      </c>
      <c r="I584" s="18"/>
      <c r="J584" t="str">
        <f>IF(LEN(VLOOKUP(表1[[#This Row],[id]],数据引用!A:C,3,FALSE))&gt;0,VLOOKUP(表1[[#This Row],[id]],数据引用!A:C,3,FALSE),"")</f>
        <v>爆破术</v>
      </c>
      <c r="K584" t="s">
        <v>1199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P584" s="5"/>
    </row>
    <row r="585" spans="1:16" ht="14.25" customHeight="1">
      <c r="A585">
        <v>594</v>
      </c>
      <c r="B585">
        <v>0</v>
      </c>
      <c r="C585">
        <v>0</v>
      </c>
      <c r="E585" t="s">
        <v>2570</v>
      </c>
      <c r="F585">
        <v>6</v>
      </c>
      <c r="G585" s="1" t="s">
        <v>540</v>
      </c>
      <c r="H585" s="16" t="s">
        <v>3217</v>
      </c>
      <c r="I585" s="18"/>
      <c r="J585" t="str">
        <f>IF(LEN(VLOOKUP(表1[[#This Row],[id]],数据引用!A:C,3,FALSE))&gt;0,VLOOKUP(表1[[#This Row],[id]],数据引用!A:C,3,FALSE),"")</f>
        <v>临时护盾</v>
      </c>
      <c r="K585" t="s">
        <v>1199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P585" s="5"/>
    </row>
    <row r="586" spans="1:16" ht="14.25" customHeight="1">
      <c r="A586">
        <v>595</v>
      </c>
      <c r="B586">
        <v>0</v>
      </c>
      <c r="C586">
        <v>0</v>
      </c>
      <c r="E586" t="s">
        <v>2570</v>
      </c>
      <c r="F586">
        <v>6</v>
      </c>
      <c r="G586" s="1" t="s">
        <v>550</v>
      </c>
      <c r="H586" s="16" t="s">
        <v>3218</v>
      </c>
      <c r="I586" s="18"/>
      <c r="J586" t="str">
        <f>IF(LEN(VLOOKUP(表1[[#This Row],[id]],数据引用!A:C,3,FALSE))&gt;0,VLOOKUP(表1[[#This Row],[id]],数据引用!A:C,3,FALSE),"")</f>
        <v>转换周围的物品</v>
      </c>
      <c r="K586" t="s">
        <v>1199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font-size:12;"&gt;转换周围的物品&lt;/text&gt;&lt;text transform="matrix(1 0 0 1 0 10.3205)" style="fill:#FFFFFF; font-family:'FZXS12--GB1-0'; font-size:12;"&gt;转换周围的物品&lt;/text&gt;&lt;/svg&gt;</v>
      </c>
      <c r="P586" s="5"/>
    </row>
    <row r="587" spans="1:16" ht="14.25" customHeight="1">
      <c r="A587">
        <v>596</v>
      </c>
      <c r="B587">
        <v>0</v>
      </c>
      <c r="C587">
        <v>0</v>
      </c>
      <c r="E587" t="s">
        <v>2570</v>
      </c>
      <c r="F587">
        <v>6</v>
      </c>
      <c r="G587" s="1" t="s">
        <v>551</v>
      </c>
      <c r="H587" s="16" t="s">
        <v>3219</v>
      </c>
      <c r="I587" s="18"/>
      <c r="J587" t="str">
        <f>IF(LEN(VLOOKUP(表1[[#This Row],[id]],数据引用!A:C,3,FALSE))&gt;0,VLOOKUP(表1[[#This Row],[id]],数据引用!A:C,3,FALSE),"")</f>
        <v>诅咒周围的敌人</v>
      </c>
      <c r="K587" t="s">
        <v>1199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font-size:12;"&gt;诅咒周围的敌人&lt;/text&gt;&lt;text transform="matrix(1 0 0 1 0 10.3205)" style="fill:#FFFFFF; font-family:'FZXS12--GB1-0'; font-size:12;"&gt;诅咒周围的敌人&lt;/text&gt;&lt;/svg&gt;</v>
      </c>
      <c r="P587" s="5"/>
    </row>
    <row r="588" spans="1:16" ht="14.25" customHeight="1">
      <c r="A588">
        <v>597</v>
      </c>
      <c r="B588">
        <v>0</v>
      </c>
      <c r="C588">
        <v>0</v>
      </c>
      <c r="E588" t="s">
        <v>2570</v>
      </c>
      <c r="F588">
        <v>6</v>
      </c>
      <c r="G588" s="1" t="s">
        <v>552</v>
      </c>
      <c r="H588" s="16" t="s">
        <v>3220</v>
      </c>
      <c r="I588" s="18"/>
      <c r="J588" t="str">
        <f>IF(LEN(VLOOKUP(表1[[#This Row],[id]],数据引用!A:C,3,FALSE))&gt;0,VLOOKUP(表1[[#This Row],[id]],数据引用!A:C,3,FALSE),"")</f>
        <v>+1 视野</v>
      </c>
      <c r="K588" t="s">
        <v>1199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视野&lt;/text&gt;&lt;text transform="matrix(1 0 0 1 0 10.3205)" style="fill:#FFFFFF; font-family:'FZXS12--GB1-0'; font-size:12;"&gt;+1 视野&lt;/text&gt;&lt;/svg&gt;</v>
      </c>
      <c r="P588" s="5"/>
    </row>
    <row r="589" spans="1:16" ht="14.25" customHeight="1">
      <c r="A589">
        <v>598</v>
      </c>
      <c r="B589">
        <v>0</v>
      </c>
      <c r="C589">
        <v>0</v>
      </c>
      <c r="E589" t="s">
        <v>2570</v>
      </c>
      <c r="F589">
        <v>6</v>
      </c>
      <c r="G589" s="1" t="s">
        <v>553</v>
      </c>
      <c r="H589" s="16" t="s">
        <v>3221</v>
      </c>
      <c r="I589" s="18"/>
      <c r="J589" t="str">
        <f>IF(LEN(VLOOKUP(表1[[#This Row],[id]],数据引用!A:C,3,FALSE))&gt;0,VLOOKUP(表1[[#This Row],[id]],数据引用!A:C,3,FALSE),"")</f>
        <v>+2 视野</v>
      </c>
      <c r="K589" t="s">
        <v>1199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视野&lt;/text&gt;&lt;text transform="matrix(1 0 0 1 0 10.3205)" style="fill:#FFFFFF; font-family:'FZXS12--GB1-0'; font-size:12;"&gt;+2 视野&lt;/text&gt;&lt;/svg&gt;</v>
      </c>
      <c r="P589" s="5"/>
    </row>
    <row r="590" spans="1:16" ht="14.25" customHeight="1">
      <c r="A590">
        <v>599</v>
      </c>
      <c r="B590">
        <v>0</v>
      </c>
      <c r="C590">
        <v>0</v>
      </c>
      <c r="E590" t="s">
        <v>2570</v>
      </c>
      <c r="F590">
        <v>6</v>
      </c>
      <c r="G590" s="1" t="s">
        <v>554</v>
      </c>
      <c r="H590" s="16" t="s">
        <v>3222</v>
      </c>
      <c r="I590" s="18"/>
      <c r="J590" t="str">
        <f>IF(LEN(VLOOKUP(表1[[#This Row],[id]],数据引用!A:C,3,FALSE))&gt;0,VLOOKUP(表1[[#This Row],[id]],数据引用!A:C,3,FALSE),"")</f>
        <v>+3 视野</v>
      </c>
      <c r="K590" t="s">
        <v>1199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 视野&lt;/text&gt;&lt;text transform="matrix(1 0 0 1 0 10.3205)" style="fill:#FFFFFF; font-family:'FZXS12--GB1-0'; font-size:12;"&gt;+3 视野&lt;/text&gt;&lt;/svg&gt;</v>
      </c>
      <c r="P590" s="5"/>
    </row>
    <row r="591" spans="1:16" ht="14.25" customHeight="1">
      <c r="A591">
        <v>600</v>
      </c>
      <c r="B591">
        <v>0</v>
      </c>
      <c r="C591">
        <v>0</v>
      </c>
      <c r="E591" t="s">
        <v>2570</v>
      </c>
      <c r="F591">
        <v>6</v>
      </c>
      <c r="G591" s="1" t="s">
        <v>555</v>
      </c>
      <c r="H591" s="16" t="s">
        <v>3223</v>
      </c>
      <c r="I591" s="18"/>
      <c r="J591" t="str">
        <f>IF(LEN(VLOOKUP(表1[[#This Row],[id]],数据引用!A:C,3,FALSE))&gt;0,VLOOKUP(表1[[#This Row],[id]],数据引用!A:C,3,FALSE),"")</f>
        <v>+1视野 +陷阱侦测</v>
      </c>
      <c r="K591" t="s">
        <v>1199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font-size:12;"&gt;+1视野 +陷阱侦测&lt;/text&gt;&lt;text transform="matrix(1 0 0 1 0 10.3205)" style="fill:#FFFFFF; font-family:'FZXS12--GB1-0'; font-size:12;"&gt;+1视野 +陷阱侦测&lt;/text&gt;&lt;/svg&gt;</v>
      </c>
      <c r="P591" s="5"/>
    </row>
    <row r="592" spans="1:16" ht="14.25" customHeight="1">
      <c r="A592">
        <v>601</v>
      </c>
      <c r="B592">
        <v>0</v>
      </c>
      <c r="C592">
        <v>0</v>
      </c>
      <c r="E592" t="s">
        <v>2570</v>
      </c>
      <c r="F592">
        <v>6</v>
      </c>
      <c r="G592" s="1" t="s">
        <v>556</v>
      </c>
      <c r="H592" s="16" t="s">
        <v>3224</v>
      </c>
      <c r="I592" s="18"/>
      <c r="J592" t="str">
        <f>IF(LEN(VLOOKUP(表1[[#This Row],[id]],数据引用!A:C,3,FALSE))&gt;0,VLOOKUP(表1[[#This Row],[id]],数据引用!A:C,3,FALSE),"")</f>
        <v>可以看到所有敌人和物品，被攻击破碎</v>
      </c>
      <c r="K592" t="s">
        <v>1199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font-size:12;"&gt;可以看到所有敌人和物品，被攻击破碎&lt;/text&gt;&lt;text transform="matrix(1 0 0 1 0 10.3205)" style="fill:#FFFFFF; font-family:'FZXS12--GB1-0'; font-size:12;"&gt;可以看到所有敌人和物品，被攻击破碎&lt;/text&gt;&lt;/svg&gt;</v>
      </c>
      <c r="P592" s="5"/>
    </row>
    <row r="593" spans="1:16" ht="14.25" customHeight="1">
      <c r="A593">
        <v>602</v>
      </c>
      <c r="B593">
        <v>0</v>
      </c>
      <c r="C593">
        <v>0</v>
      </c>
      <c r="E593" t="s">
        <v>2570</v>
      </c>
      <c r="F593">
        <v>6</v>
      </c>
      <c r="G593" s="1" t="s">
        <v>557</v>
      </c>
      <c r="H593" s="16" t="s">
        <v>3225</v>
      </c>
      <c r="I593" s="18"/>
      <c r="J593" t="str">
        <f>IF(LEN(VLOOKUP(表1[[#This Row],[id]],数据引用!A:C,3,FALSE))&gt;0,VLOOKUP(表1[[#This Row],[id]],数据引用!A:C,3,FALSE),"")</f>
        <v>攻击墙壁上的火把时释放火球术</v>
      </c>
      <c r="K593" t="s">
        <v>1199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font-size:12;"&gt;攻击墙壁上的火把时释放火球术&lt;/text&gt;&lt;text transform="matrix(1 0 0 1 0 10.3205)" style="fill:#FFFFFF; font-family:'FZXS12--GB1-0'; font-size:12;"&gt;攻击墙壁上的火把时释放火球术&lt;/text&gt;&lt;/svg&gt;</v>
      </c>
      <c r="P593" s="5"/>
    </row>
    <row r="594" spans="1:16" ht="14.25" customHeight="1">
      <c r="A594">
        <v>603</v>
      </c>
      <c r="B594">
        <v>0</v>
      </c>
      <c r="C594">
        <v>0</v>
      </c>
      <c r="E594" t="s">
        <v>2570</v>
      </c>
      <c r="F594">
        <v>6</v>
      </c>
      <c r="G594" s="1" t="s">
        <v>558</v>
      </c>
      <c r="H594" s="16" t="s">
        <v>3226</v>
      </c>
      <c r="I594" s="18"/>
      <c r="J594" t="str">
        <f>IF(LEN(VLOOKUP(表1[[#This Row],[id]],数据引用!A:C,3,FALSE))&gt;0,VLOOKUP(表1[[#This Row],[id]],数据引用!A:C,3,FALSE),"")</f>
        <v>金币倍率将强化光照</v>
      </c>
      <c r="K594" t="s">
        <v>1199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font-size:12;"&gt;金币倍率将强化光照&lt;/text&gt;&lt;text transform="matrix(1 0 0 1 0 10.3205)" style="fill:#FFFFFF; font-family:'FZXS12--GB1-0'; font-size:12;"&gt;金币倍率将强化光照&lt;/text&gt;&lt;/svg&gt;</v>
      </c>
      <c r="P594" s="5"/>
    </row>
    <row r="595" spans="1:16" ht="14.25" customHeight="1">
      <c r="A595">
        <v>604</v>
      </c>
      <c r="B595">
        <v>0</v>
      </c>
      <c r="C595">
        <v>0</v>
      </c>
      <c r="E595" t="s">
        <v>2570</v>
      </c>
      <c r="F595">
        <v>6</v>
      </c>
      <c r="G595" s="1" t="s">
        <v>559</v>
      </c>
      <c r="H595" s="16" t="s">
        <v>3227</v>
      </c>
      <c r="I595" s="18"/>
      <c r="J595" t="str">
        <f>IF(LEN(VLOOKUP(表1[[#This Row],[id]],数据引用!A:C,3,FALSE))&gt;0,VLOOKUP(表1[[#This Row],[id]],数据引用!A:C,3,FALSE),"")</f>
        <v>匕首，可投掷</v>
      </c>
      <c r="K595" t="s">
        <v>1199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font-size:12;"&gt;匕首，可投掷&lt;/text&gt;&lt;text transform="matrix(1 0 0 1 0 10.3205)" style="fill:#FFFFFF; font-family:'FZXS12--GB1-0'; font-size:12;"&gt;匕首，可投掷&lt;/text&gt;&lt;/svg&gt;</v>
      </c>
      <c r="P595" s="5"/>
    </row>
    <row r="596" spans="1:16" ht="14.25" customHeight="1">
      <c r="A596">
        <v>605</v>
      </c>
      <c r="B596">
        <v>0</v>
      </c>
      <c r="C596">
        <v>0</v>
      </c>
      <c r="E596" t="s">
        <v>2570</v>
      </c>
      <c r="F596">
        <v>6</v>
      </c>
      <c r="G596" s="1" t="s">
        <v>560</v>
      </c>
      <c r="H596" s="16" t="s">
        <v>3228</v>
      </c>
      <c r="I596" s="18"/>
      <c r="J596" t="str">
        <f>IF(LEN(VLOOKUP(表1[[#This Row],[id]],数据引用!A:C,3,FALSE))&gt;0,VLOOKUP(表1[[#This Row],[id]],数据引用!A:C,3,FALSE),"")</f>
        <v>2 伤害</v>
      </c>
      <c r="K596" t="s">
        <v>1199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 伤害&lt;/text&gt;&lt;text transform="matrix(1 0 0 1 0 10.3205)" style="fill:#FFFFFF; font-family:'FZXS12--GB1-0'; font-size:12;"&gt;2 伤害&lt;/text&gt;&lt;/svg&gt;</v>
      </c>
      <c r="P596" s="5"/>
    </row>
    <row r="597" spans="1:16" ht="14.25" customHeight="1">
      <c r="A597">
        <v>606</v>
      </c>
      <c r="B597">
        <v>0</v>
      </c>
      <c r="C597">
        <v>0</v>
      </c>
      <c r="E597" t="s">
        <v>2570</v>
      </c>
      <c r="F597">
        <v>6</v>
      </c>
      <c r="G597" s="1" t="s">
        <v>561</v>
      </c>
      <c r="H597" s="16" t="s">
        <v>3229</v>
      </c>
      <c r="I597" s="18"/>
      <c r="J597" t="str">
        <f>IF(LEN(VLOOKUP(表1[[#This Row],[id]],数据引用!A:C,3,FALSE))&gt;0,VLOOKUP(表1[[#This Row],[id]],数据引用!A:C,3,FALSE),"")</f>
        <v>金币倍率将强化伤害</v>
      </c>
      <c r="K597" t="s">
        <v>1199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font-size:12;"&gt;金币倍率将强化伤害&lt;/text&gt;&lt;text transform="matrix(1 0 0 1 0 10.3205)" style="fill:#FFFFFF; font-family:'FZXS12--GB1-0'; font-size:12;"&gt;金币倍率将强化伤害&lt;/text&gt;&lt;/svg&gt;</v>
      </c>
      <c r="P597" s="5"/>
    </row>
    <row r="598" spans="1:16" ht="14.25" customHeight="1">
      <c r="A598">
        <v>607</v>
      </c>
      <c r="B598">
        <v>0</v>
      </c>
      <c r="C598">
        <v>0</v>
      </c>
      <c r="E598" t="s">
        <v>2570</v>
      </c>
      <c r="F598">
        <v>6</v>
      </c>
      <c r="G598" s="1" t="s">
        <v>562</v>
      </c>
      <c r="H598" s="16" t="s">
        <v>3230</v>
      </c>
      <c r="I598" s="18"/>
      <c r="J598" t="str">
        <f>IF(LEN(VLOOKUP(表1[[#This Row],[id]],数据引用!A:C,3,FALSE))&gt;0,VLOOKUP(表1[[#This Row],[id]],数据引用!A:C,3,FALSE),"")</f>
        <v>拾取金币后伤害提升</v>
      </c>
      <c r="K598" t="s">
        <v>1199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font-size:12;"&gt;拾取金币后伤害提升&lt;/text&gt;&lt;text transform="matrix(1 0 0 1 0 10.3205)" style="fill:#FFFFFF; font-family:'FZXS12--GB1-0'; font-size:12;"&gt;拾取金币后伤害提升&lt;/text&gt;&lt;/svg&gt;</v>
      </c>
      <c r="P598" s="5"/>
    </row>
    <row r="599" spans="1:16" ht="14.25" customHeight="1">
      <c r="A599">
        <v>608</v>
      </c>
      <c r="B599">
        <v>0</v>
      </c>
      <c r="C599">
        <v>0</v>
      </c>
      <c r="E599" t="s">
        <v>2570</v>
      </c>
      <c r="F599">
        <v>6</v>
      </c>
      <c r="G599" s="1" t="s">
        <v>563</v>
      </c>
      <c r="H599" s="16" t="s">
        <v>3231</v>
      </c>
      <c r="I599" s="18"/>
      <c r="J599" t="str">
        <f>IF(LEN(VLOOKUP(表1[[#This Row],[id]],数据引用!A:C,3,FALSE))&gt;0,VLOOKUP(表1[[#This Row],[id]],数据引用!A:C,3,FALSE),"")</f>
        <v>吸血攻击，失血增加伤害</v>
      </c>
      <c r="K599" t="s">
        <v>1199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font-size:12;"&gt;吸血攻击，失血增加伤害&lt;/text&gt;&lt;text transform="matrix(1 0 0 1 0 10.3205)" style="fill:#FFFFFF; font-family:'FZXS12--GB1-0'; font-size:12;"&gt;吸血攻击，失血增加伤害&lt;/text&gt;&lt;/svg&gt;</v>
      </c>
      <c r="P599" s="5"/>
    </row>
    <row r="600" spans="1:16" ht="14.25" customHeight="1">
      <c r="A600">
        <v>609</v>
      </c>
      <c r="B600">
        <v>0</v>
      </c>
      <c r="C600">
        <v>0</v>
      </c>
      <c r="E600" t="s">
        <v>2570</v>
      </c>
      <c r="F600">
        <v>6</v>
      </c>
      <c r="G600" s="1" t="s">
        <v>564</v>
      </c>
      <c r="H600" s="16" t="s">
        <v>3232</v>
      </c>
      <c r="I600" s="18"/>
      <c r="J600" t="str">
        <f>IF(LEN(VLOOKUP(表1[[#This Row],[id]],数据引用!A:C,3,FALSE))&gt;0,VLOOKUP(表1[[#This Row],[id]],数据引用!A:C,3,FALSE),"")</f>
        <v>+4 伤害，被攻击破碎</v>
      </c>
      <c r="K600" t="s">
        <v>1199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 伤害，被攻击破碎&lt;/text&gt;&lt;text transform="matrix(1 0 0 1 0 10.3205)" style="fill:#FFFFFF; font-family:'FZXS12--GB1-0'; font-size:12;"&gt;+4 伤害，被攻击破碎&lt;/text&gt;&lt;/svg&gt;</v>
      </c>
      <c r="P600" s="5"/>
    </row>
    <row r="601" spans="1:16" ht="14.25" customHeight="1">
      <c r="A601">
        <v>610</v>
      </c>
      <c r="B601">
        <v>0</v>
      </c>
      <c r="C601">
        <v>0</v>
      </c>
      <c r="E601" t="s">
        <v>2570</v>
      </c>
      <c r="F601">
        <v>6</v>
      </c>
      <c r="G601" s="1" t="s">
        <v>565</v>
      </c>
      <c r="H601" s="16" t="s">
        <v>3233</v>
      </c>
      <c r="I601" s="18"/>
      <c r="J601" t="str">
        <f>IF(LEN(VLOOKUP(表1[[#This Row],[id]],数据引用!A:C,3,FALSE))&gt;0,VLOOKUP(表1[[#This Row],[id]],数据引用!A:C,3,FALSE),"")</f>
        <v>+5 伤害</v>
      </c>
      <c r="K601" t="s">
        <v>1199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 伤害&lt;/text&gt;&lt;text transform="matrix(1 0 0 1 0 10.3205)" style="fill:#FFFFFF; font-family:'FZXS12--GB1-0'; font-size:12;"&gt;+5 伤害&lt;/text&gt;&lt;/svg&gt;</v>
      </c>
      <c r="P601" s="5"/>
    </row>
    <row r="602" spans="1:16" ht="14.25" customHeight="1">
      <c r="A602">
        <v>611</v>
      </c>
      <c r="B602">
        <v>0</v>
      </c>
      <c r="C602">
        <v>0</v>
      </c>
      <c r="E602" t="s">
        <v>2570</v>
      </c>
      <c r="F602">
        <v>6</v>
      </c>
      <c r="G602" s="1" t="s">
        <v>566</v>
      </c>
      <c r="H602" s="16" t="s">
        <v>3234</v>
      </c>
      <c r="I602" s="18"/>
      <c r="J602" t="str">
        <f>IF(LEN(VLOOKUP(表1[[#This Row],[id]],数据引用!A:C,3,FALSE))&gt;0,VLOOKUP(表1[[#This Row],[id]],数据引用!A:C,3,FALSE),"")</f>
        <v>冻结敌人，杀死被冻结敌人，冰冷刺骨</v>
      </c>
      <c r="K602" t="s">
        <v>1199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font-size:12;"&gt;冻结敌人，杀死被冻结敌人，冰冷刺骨&lt;/text&gt;&lt;text transform="matrix(1 0 0 1 0 10.3205)" style="fill:#FFFFFF; font-family:'FZXS12--GB1-0'; font-size:12;"&gt;冻结敌人，杀死被冻结敌人，冰冷刺骨&lt;/text&gt;&lt;/svg&gt;</v>
      </c>
      <c r="P602" s="5"/>
    </row>
    <row r="603" spans="1:16" ht="14.25" customHeight="1">
      <c r="A603">
        <v>612</v>
      </c>
      <c r="B603">
        <v>0</v>
      </c>
      <c r="C603">
        <v>0</v>
      </c>
      <c r="E603" t="s">
        <v>2570</v>
      </c>
      <c r="F603">
        <v>6</v>
      </c>
      <c r="G603" s="1" t="s">
        <v>567</v>
      </c>
      <c r="H603" s="16" t="s">
        <v>3235</v>
      </c>
      <c r="I603" s="18"/>
      <c r="J603" t="str">
        <f>IF(LEN(VLOOKUP(表1[[#This Row],[id]],数据引用!A:C,3,FALSE))&gt;0,VLOOKUP(表1[[#This Row],[id]],数据引用!A:C,3,FALSE),"")</f>
        <v>相位攻击，2伤害</v>
      </c>
      <c r="K603" t="s">
        <v>1199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font-size:12;"&gt;相位攻击，2伤害&lt;/text&gt;&lt;text transform="matrix(1 0 0 1 0 10.3205)" style="fill:#FFFFFF; font-family:'FZXS12--GB1-0'; font-size:12;"&gt;相位攻击，2伤害&lt;/text&gt;&lt;/svg&gt;</v>
      </c>
      <c r="P603" s="5"/>
    </row>
    <row r="604" spans="1:16" ht="14.25" customHeight="1">
      <c r="A604">
        <v>613</v>
      </c>
      <c r="B604">
        <v>0</v>
      </c>
      <c r="C604">
        <v>0</v>
      </c>
      <c r="E604" t="s">
        <v>2570</v>
      </c>
      <c r="F604">
        <v>6</v>
      </c>
      <c r="G604" s="1" t="s">
        <v>568</v>
      </c>
      <c r="H604" s="16" t="s">
        <v>3236</v>
      </c>
      <c r="I604" s="18"/>
      <c r="J604" t="str">
        <f>IF(LEN(VLOOKUP(表1[[#This Row],[id]],数据引用!A:C,3,FALSE))&gt;0,VLOOKUP(表1[[#This Row],[id]],数据引用!A:C,3,FALSE),"")</f>
        <v>范围攻击</v>
      </c>
      <c r="K604" t="s">
        <v>1199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font-size:12;"&gt;范围攻击&lt;/text&gt;&lt;text transform="matrix(1 0 0 1 0 10.3205)" style="fill:#FFFFFF; font-family:'FZXS12--GB1-0'; font-size:12;"&gt;范围攻击&lt;/text&gt;&lt;/svg&gt;</v>
      </c>
      <c r="P604" s="5"/>
    </row>
    <row r="605" spans="1:16" ht="14.25" customHeight="1">
      <c r="A605">
        <v>614</v>
      </c>
      <c r="B605">
        <v>0</v>
      </c>
      <c r="C605">
        <v>0</v>
      </c>
      <c r="E605" t="s">
        <v>2570</v>
      </c>
      <c r="F605">
        <v>6</v>
      </c>
      <c r="G605" s="1" t="s">
        <v>569</v>
      </c>
      <c r="H605" s="16" t="s">
        <v>3237</v>
      </c>
      <c r="I605" s="18"/>
      <c r="J605" t="str">
        <f>IF(LEN(VLOOKUP(表1[[#This Row],[id]],数据引用!A:C,3,FALSE))&gt;0,VLOOKUP(表1[[#This Row],[id]],数据引用!A:C,3,FALSE),"")</f>
        <v>攻击距离提升</v>
      </c>
      <c r="K605" t="s">
        <v>1199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font-size:12;"&gt;攻击距离提升&lt;/text&gt;&lt;text transform="matrix(1 0 0 1 0 10.3205)" style="fill:#FFFFFF; font-family:'FZXS12--GB1-0'; font-size:12;"&gt;攻击距离提升&lt;/text&gt;&lt;/svg&gt;</v>
      </c>
      <c r="P605" s="5"/>
    </row>
    <row r="606" spans="1:16" ht="14.25" customHeight="1">
      <c r="A606">
        <v>615</v>
      </c>
      <c r="B606">
        <v>0</v>
      </c>
      <c r="C606">
        <v>0</v>
      </c>
      <c r="E606" t="s">
        <v>2570</v>
      </c>
      <c r="F606">
        <v>6</v>
      </c>
      <c r="G606" s="1" t="s">
        <v>570</v>
      </c>
      <c r="H606" s="16" t="s">
        <v>3238</v>
      </c>
      <c r="I606" s="18"/>
      <c r="J606" t="str">
        <f>IF(LEN(VLOOKUP(表1[[#This Row],[id]],数据引用!A:C,3,FALSE))&gt;0,VLOOKUP(表1[[#This Row],[id]],数据引用!A:C,3,FALSE),"")</f>
        <v>大范围攻击</v>
      </c>
      <c r="K606" t="s">
        <v>1199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font-size:12;"&gt;大范围攻击&lt;/text&gt;&lt;text transform="matrix(1 0 0 1 0 10.3205)" style="fill:#FFFFFF; font-family:'FZXS12--GB1-0'; font-size:12;"&gt;大范围攻击&lt;/text&gt;&lt;/svg&gt;</v>
      </c>
      <c r="P606" s="5"/>
    </row>
    <row r="607" spans="1:16" ht="14.25" customHeight="1">
      <c r="A607">
        <v>616</v>
      </c>
      <c r="B607">
        <v>0</v>
      </c>
      <c r="C607">
        <v>0</v>
      </c>
      <c r="E607" t="s">
        <v>2570</v>
      </c>
      <c r="F607">
        <v>6</v>
      </c>
      <c r="G607" s="1" t="s">
        <v>571</v>
      </c>
      <c r="H607" s="16" t="s">
        <v>3239</v>
      </c>
      <c r="I607" s="18"/>
      <c r="J607" t="str">
        <f>IF(LEN(VLOOKUP(表1[[#This Row],[id]],数据引用!A:C,3,FALSE))&gt;0,VLOOKUP(表1[[#This Row],[id]],数据引用!A:C,3,FALSE),"")</f>
        <v>攻击距离提升，可投掷</v>
      </c>
      <c r="K607" t="s">
        <v>1199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font-size:12;"&gt;攻击距离提升，可投掷&lt;/text&gt;&lt;text transform="matrix(1 0 0 1 0 10.3205)" style="fill:#FFFFFF; font-family:'FZXS12--GB1-0'; font-size:12;"&gt;攻击距离提升，可投掷&lt;/text&gt;&lt;/svg&gt;</v>
      </c>
      <c r="P607" s="5"/>
    </row>
    <row r="608" spans="1:16" ht="14.25" customHeight="1">
      <c r="A608">
        <v>617</v>
      </c>
      <c r="B608">
        <v>0</v>
      </c>
      <c r="C608">
        <v>0</v>
      </c>
      <c r="E608" t="s">
        <v>2570</v>
      </c>
      <c r="F608">
        <v>6</v>
      </c>
      <c r="G608" s="1" t="s">
        <v>572</v>
      </c>
      <c r="H608" s="16" t="s">
        <v>3240</v>
      </c>
      <c r="I608" s="18"/>
      <c r="J608" t="str">
        <f>IF(LEN(VLOOKUP(表1[[#This Row],[id]],数据引用!A:C,3,FALSE))&gt;0,VLOOKUP(表1[[#This Row],[id]],数据引用!A:C,3,FALSE),"")</f>
        <v>冲锋，双倍伤害</v>
      </c>
      <c r="K608" t="s">
        <v>1199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font-size:12;"&gt;冲锋，双倍伤害&lt;/text&gt;&lt;text transform="matrix(1 0 0 1 0 10.3205)" style="fill:#FFFFFF; font-family:'FZXS12--GB1-0'; font-size:12;"&gt;冲锋，双倍伤害&lt;/text&gt;&lt;/svg&gt;</v>
      </c>
      <c r="P608" s="5"/>
    </row>
    <row r="609" spans="1:16" ht="14.25" customHeight="1">
      <c r="A609">
        <v>618</v>
      </c>
      <c r="B609">
        <v>0</v>
      </c>
      <c r="C609">
        <v>0</v>
      </c>
      <c r="E609" t="s">
        <v>2570</v>
      </c>
      <c r="F609">
        <v>6</v>
      </c>
      <c r="G609" s="1" t="s">
        <v>573</v>
      </c>
      <c r="H609" s="16" t="s">
        <v>3241</v>
      </c>
      <c r="I609" s="18"/>
      <c r="J609" t="str">
        <f>IF(LEN(VLOOKUP(表1[[#This Row],[id]],数据引用!A:C,3,FALSE))&gt;0,VLOOKUP(表1[[#This Row],[id]],数据引用!A:C,3,FALSE),"")</f>
        <v>远程攻击</v>
      </c>
      <c r="K609" t="s">
        <v>1199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font-size:12;"&gt;远程攻击&lt;/text&gt;&lt;text transform="matrix(1 0 0 1 0 10.3205)" style="fill:#FFFFFF; font-family:'FZXS12--GB1-0'; font-size:12;"&gt;远程攻击&lt;/text&gt;&lt;/svg&gt;</v>
      </c>
      <c r="P609" s="5"/>
    </row>
    <row r="610" spans="1:16" ht="14.25" customHeight="1">
      <c r="A610">
        <v>619</v>
      </c>
      <c r="B610">
        <v>0</v>
      </c>
      <c r="C610">
        <v>0</v>
      </c>
      <c r="E610" t="s">
        <v>2570</v>
      </c>
      <c r="F610">
        <v>6</v>
      </c>
      <c r="G610" s="1" t="s">
        <v>574</v>
      </c>
      <c r="H610" s="16" t="s">
        <v>3242</v>
      </c>
      <c r="I610" s="18"/>
      <c r="J610" t="str">
        <f>IF(LEN(VLOOKUP(表1[[#This Row],[id]],数据引用!A:C,3,FALSE))&gt;0,VLOOKUP(表1[[#This Row],[id]],数据引用!A:C,3,FALSE),"")</f>
        <v>远程攻击，需要装填，穿刺</v>
      </c>
      <c r="K610" t="s">
        <v>1199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0" s="5"/>
    </row>
    <row r="611" spans="1:16" ht="14.25" customHeight="1">
      <c r="A611">
        <v>620</v>
      </c>
      <c r="B611">
        <v>0</v>
      </c>
      <c r="C611">
        <v>0</v>
      </c>
      <c r="E611" t="s">
        <v>2570</v>
      </c>
      <c r="F611">
        <v>6</v>
      </c>
      <c r="G611" s="1" t="s">
        <v>575</v>
      </c>
      <c r="H611" s="16" t="s">
        <v>3243</v>
      </c>
      <c r="I611" s="18"/>
      <c r="J611" t="str">
        <f>IF(LEN(VLOOKUP(表1[[#This Row],[id]],数据引用!A:C,3,FALSE))&gt;0,VLOOKUP(表1[[#This Row],[id]],数据引用!A:C,3,FALSE),"")</f>
        <v>击退攻击</v>
      </c>
      <c r="K611" t="s">
        <v>1199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font-size:12;"&gt;击退攻击&lt;/text&gt;&lt;text transform="matrix(1 0 0 1 0 10.3205)" style="fill:#FFFFFF; font-family:'FZXS12--GB1-0'; font-size:12;"&gt;击退攻击&lt;/text&gt;&lt;/svg&gt;</v>
      </c>
      <c r="P611" s="5"/>
    </row>
    <row r="612" spans="1:16" ht="14.25" customHeight="1">
      <c r="A612">
        <v>621</v>
      </c>
      <c r="B612">
        <v>0</v>
      </c>
      <c r="C612">
        <v>0</v>
      </c>
      <c r="E612" t="s">
        <v>2570</v>
      </c>
      <c r="F612">
        <v>6</v>
      </c>
      <c r="G612" s="1" t="s">
        <v>576</v>
      </c>
      <c r="H612" s="16" t="s">
        <v>3244</v>
      </c>
      <c r="I612" s="18"/>
      <c r="J612" t="str">
        <f>IF(LEN(VLOOKUP(表1[[#This Row],[id]],数据引用!A:C,3,FALSE))&gt;0,VLOOKUP(表1[[#This Row],[id]],数据引用!A:C,3,FALSE),"")</f>
        <v>移动攻击</v>
      </c>
      <c r="K612" t="s">
        <v>1199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font-size:12;"&gt;移动攻击&lt;/text&gt;&lt;text transform="matrix(1 0 0 1 0 10.3205)" style="fill:#FFFFFF; font-family:'FZXS12--GB1-0'; font-size:12;"&gt;移动攻击&lt;/text&gt;&lt;/svg&gt;</v>
      </c>
      <c r="P612" s="5"/>
    </row>
    <row r="613" spans="1:16" ht="14.25" customHeight="1">
      <c r="A613">
        <v>622</v>
      </c>
      <c r="B613">
        <v>0</v>
      </c>
      <c r="C613">
        <v>0</v>
      </c>
      <c r="E613" t="s">
        <v>2570</v>
      </c>
      <c r="F613">
        <v>6</v>
      </c>
      <c r="G613" s="1" t="s">
        <v>577</v>
      </c>
      <c r="H613" s="16" t="s">
        <v>3245</v>
      </c>
      <c r="I613" s="18"/>
      <c r="J613" t="str">
        <f>IF(LEN(VLOOKUP(表1[[#This Row],[id]],数据引用!A:C,3,FALSE))&gt;0,VLOOKUP(表1[[#This Row],[id]],数据引用!A:C,3,FALSE),"")</f>
        <v>扇形攻击，需要装填，穿刺</v>
      </c>
      <c r="K613" t="s">
        <v>1199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font-size:12;"&gt;扇形攻击，需要装填，穿刺&lt;/text&gt;&lt;text transform="matrix(1 0 0 1 0 10.3205)" style="fill:#FFFFFF; font-family:'FZXS12--GB1-0'; font-size:12;"&gt;扇形攻击，需要装填，穿刺&lt;/text&gt;&lt;/svg&gt;</v>
      </c>
      <c r="P613" s="5"/>
    </row>
    <row r="614" spans="1:16" ht="14.25" customHeight="1">
      <c r="A614">
        <v>623</v>
      </c>
      <c r="B614">
        <v>0</v>
      </c>
      <c r="C614">
        <v>0</v>
      </c>
      <c r="E614" t="s">
        <v>2570</v>
      </c>
      <c r="F614">
        <v>6</v>
      </c>
      <c r="G614" s="1" t="s">
        <v>578</v>
      </c>
      <c r="H614" s="16" t="s">
        <v>3246</v>
      </c>
      <c r="I614" s="18"/>
      <c r="J614" t="str">
        <f>IF(LEN(VLOOKUP(表1[[#This Row],[id]],数据引用!A:C,3,FALSE))&gt;0,VLOOKUP(表1[[#This Row],[id]],数据引用!A:C,3,FALSE),"")</f>
        <v>远程攻击，需要装填，穿刺</v>
      </c>
      <c r="K614" t="s">
        <v>1199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P614" s="5"/>
    </row>
    <row r="615" spans="1:16" ht="14.25" customHeight="1">
      <c r="A615">
        <v>650</v>
      </c>
      <c r="B615">
        <v>0</v>
      </c>
      <c r="C615">
        <v>0</v>
      </c>
      <c r="E615" t="s">
        <v>2570</v>
      </c>
      <c r="F615">
        <v>6</v>
      </c>
      <c r="G615" s="1" t="s">
        <v>579</v>
      </c>
      <c r="H615" s="16" t="s">
        <v>3247</v>
      </c>
      <c r="I615" s="18"/>
      <c r="J615" t="str">
        <f>IF(LEN(VLOOKUP(表1[[#This Row],[id]],数据引用!A:C,3,FALSE))&gt;0,VLOOKUP(表1[[#This Row],[id]],数据引用!A:C,3,FALSE),"")</f>
        <v>1击杀</v>
      </c>
      <c r="K615" t="s">
        <v>1200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font-size:12;"&gt;1击杀&lt;/text&gt;&lt;text transform="matrix(1 0 0 1 0 10.3205)" style="fill:#FFFFFF; font-family:'FZXS12--GB1-0'; font-size:12;"&gt;1击杀&lt;/text&gt;&lt;/svg&gt;</v>
      </c>
      <c r="P615" s="5"/>
    </row>
    <row r="616" spans="1:16" ht="14.25" customHeight="1">
      <c r="A616">
        <v>651</v>
      </c>
      <c r="B616">
        <v>0</v>
      </c>
      <c r="C616">
        <v>0</v>
      </c>
      <c r="E616" t="s">
        <v>2570</v>
      </c>
      <c r="F616">
        <v>6</v>
      </c>
      <c r="G616" s="1" t="s">
        <v>580</v>
      </c>
      <c r="H616" s="16" t="s">
        <v>3248</v>
      </c>
      <c r="I616" s="18"/>
      <c r="J616" t="str">
        <f>IF(LEN(VLOOKUP(表1[[#This Row],[id]],数据引用!A:C,3,FALSE))&gt;0,VLOOKUP(表1[[#This Row],[id]],数据引用!A:C,3,FALSE),"")</f>
        <v>击杀</v>
      </c>
      <c r="K616" t="s">
        <v>1200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font-size:12;"&gt;击杀&lt;/text&gt;&lt;text transform="matrix(1 0 0 1 0 10.3205)" style="fill:#FFFFFF; font-family:'FZXS12--GB1-0'; font-size:12;"&gt;击杀&lt;/text&gt;&lt;/svg&gt;</v>
      </c>
      <c r="P616" s="5"/>
    </row>
    <row r="617" spans="1:16" ht="14.25" customHeight="1">
      <c r="A617">
        <v>652</v>
      </c>
      <c r="B617">
        <v>0</v>
      </c>
      <c r="C617">
        <v>0</v>
      </c>
      <c r="E617" t="s">
        <v>2570</v>
      </c>
      <c r="F617">
        <v>6</v>
      </c>
      <c r="G617" s="1" t="s">
        <v>581</v>
      </c>
      <c r="H617" s="16" t="s">
        <v>3249</v>
      </c>
      <c r="I617" s="18"/>
      <c r="J617" t="str">
        <f>IF(LEN(VLOOKUP(表1[[#This Row],[id]],数据引用!A:C,3,FALSE))&gt;0,VLOOKUP(表1[[#This Row],[id]],数据引用!A:C,3,FALSE),"")</f>
        <v>无限</v>
      </c>
      <c r="K617" t="s">
        <v>1200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font-size:12;"&gt;无限&lt;/text&gt;&lt;text transform="matrix(1 0 0 1 0 10.3205)" style="fill:#FFFFFF; font-family:'FZXS12--GB1-0'; font-size:12;"&gt;无限&lt;/text&gt;&lt;/svg&gt;</v>
      </c>
      <c r="P617" s="5"/>
    </row>
    <row r="618" spans="1:16" ht="14.25" customHeight="1">
      <c r="A618">
        <v>653</v>
      </c>
      <c r="B618">
        <v>0</v>
      </c>
      <c r="C618">
        <v>0</v>
      </c>
      <c r="E618" t="s">
        <v>2570</v>
      </c>
      <c r="F618">
        <v>6</v>
      </c>
      <c r="G618" s="1" t="s">
        <v>582</v>
      </c>
      <c r="H618" s="16" t="s">
        <v>3250</v>
      </c>
      <c r="I618" s="18"/>
      <c r="J618" t="str">
        <f>IF(LEN(VLOOKUP(表1[[#This Row],[id]],数据引用!A:C,3,FALSE))&gt;0,VLOOKUP(表1[[#This Row],[id]],数据引用!A:C,3,FALSE),"")</f>
        <v>或</v>
      </c>
      <c r="K618" t="s">
        <v>1200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font-size:12;"&gt;或&lt;/text&gt;&lt;text transform="matrix(1 0 0 1 0 10.3205)" style="fill:#FFFFFF; font-family:'FZXS12--GB1-0'; font-size:12;"&gt;或&lt;/text&gt;&lt;/svg&gt;</v>
      </c>
      <c r="P618" s="5"/>
    </row>
    <row r="619" spans="1:16" ht="14.25" customHeight="1">
      <c r="A619">
        <v>654</v>
      </c>
      <c r="B619">
        <v>0</v>
      </c>
      <c r="C619">
        <v>0</v>
      </c>
      <c r="E619" t="s">
        <v>2570</v>
      </c>
      <c r="F619">
        <v>6</v>
      </c>
      <c r="G619" s="1" t="s">
        <v>583</v>
      </c>
      <c r="H619" s="16" t="s">
        <v>3251</v>
      </c>
      <c r="I619" s="18"/>
      <c r="J619" t="str">
        <f>IF(LEN(VLOOKUP(表1[[#This Row],[id]],数据引用!A:C,3,FALSE))&gt;0,VLOOKUP(表1[[#This Row],[id]],数据引用!A:C,3,FALSE),"")</f>
        <v>1/2生命值</v>
      </c>
      <c r="K619" t="s">
        <v>1200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font-size:12;"&gt;1/2生命值&lt;/text&gt;&lt;text transform="matrix(1 0 0 1 0 10.3205)" style="fill:#FFFFFF; font-family:'FZXS12--GB1-0'; font-size:12;"&gt;1/2生命值&lt;/text&gt;&lt;/svg&gt;</v>
      </c>
      <c r="P619" s="5"/>
    </row>
    <row r="620" spans="1:16" ht="14.25" customHeight="1">
      <c r="A620">
        <v>655</v>
      </c>
      <c r="B620">
        <v>0</v>
      </c>
      <c r="C620">
        <v>0</v>
      </c>
      <c r="E620" t="s">
        <v>2570</v>
      </c>
      <c r="F620">
        <v>6</v>
      </c>
      <c r="G620" s="1" t="s">
        <v>584</v>
      </c>
      <c r="H620" s="16" t="s">
        <v>3252</v>
      </c>
      <c r="I620" s="18"/>
      <c r="J620" t="str">
        <f>IF(LEN(VLOOKUP(表1[[#This Row],[id]],数据引用!A:C,3,FALSE))&gt;0,VLOOKUP(表1[[#This Row],[id]],数据引用!A:C,3,FALSE),"")</f>
        <v>1生命值</v>
      </c>
      <c r="K620" t="s">
        <v>1200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font-size:12;"&gt;1生命值&lt;/text&gt;&lt;text transform="matrix(1 0 0 1 0 10.3205)" style="fill:#FFFFFF; font-family:'FZXS12--GB1-0'; font-size:12;"&gt;1生命值&lt;/text&gt;&lt;/svg&gt;</v>
      </c>
      <c r="P620" s="5"/>
    </row>
    <row r="621" spans="1:16" ht="14.25" customHeight="1">
      <c r="A621">
        <v>656</v>
      </c>
      <c r="B621">
        <v>0</v>
      </c>
      <c r="C621">
        <v>0</v>
      </c>
      <c r="E621" t="s">
        <v>2570</v>
      </c>
      <c r="F621">
        <v>6</v>
      </c>
      <c r="G621" s="1" t="s">
        <v>585</v>
      </c>
      <c r="H621" s="16" t="s">
        <v>3253</v>
      </c>
      <c r="I621" s="18"/>
      <c r="J621" t="str">
        <f>IF(LEN(VLOOKUP(表1[[#This Row],[id]],数据引用!A:C,3,FALSE))&gt;0,VLOOKUP(表1[[#This Row],[id]],数据引用!A:C,3,FALSE),"")</f>
        <v>1.5生命值</v>
      </c>
      <c r="K621" t="s">
        <v>1200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font-size:12;"&gt;1.5生命值&lt;/text&gt;&lt;text transform="matrix(1 0 0 1 0 10.3205)" style="fill:#FFFFFF; font-family:'FZXS12--GB1-0'; font-size:12;"&gt;1.5生命值&lt;/text&gt;&lt;/svg&gt;</v>
      </c>
      <c r="P621" s="5"/>
    </row>
    <row r="622" spans="1:16" ht="14.25" customHeight="1">
      <c r="A622">
        <v>700</v>
      </c>
      <c r="B622">
        <v>0</v>
      </c>
      <c r="C622">
        <v>0</v>
      </c>
      <c r="E622" t="s">
        <v>2572</v>
      </c>
      <c r="F622">
        <v>18</v>
      </c>
      <c r="G622" s="1" t="s">
        <v>586</v>
      </c>
      <c r="H622" s="16" t="s">
        <v>3254</v>
      </c>
      <c r="I622" s="18"/>
      <c r="J622" t="str">
        <f>IF(LEN(VLOOKUP(表1[[#This Row],[id]],数据引用!A:C,3,FALSE))&gt;0,VLOOKUP(表1[[#This Row],[id]],数据引用!A:C,3,FALSE),"")</f>
        <v>统计信息</v>
      </c>
      <c r="K622" t="s">
        <v>1201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font-size:12;"&gt;统计信息&lt;/text&gt;&lt;text transform="matrix(1 0 0 1 0 10.3205)" style="fill:#FFFFFF; font-family:'FZXS12--GB1-0'; font-size:12;"&gt;统计信息&lt;/text&gt;&lt;/svg&gt;</v>
      </c>
      <c r="P622" s="5"/>
    </row>
    <row r="623" spans="1:16" ht="14.25" customHeight="1">
      <c r="A623">
        <v>701</v>
      </c>
      <c r="B623">
        <v>0</v>
      </c>
      <c r="C623">
        <v>0</v>
      </c>
      <c r="E623">
        <v>1</v>
      </c>
      <c r="F623">
        <v>12</v>
      </c>
      <c r="G623" s="1" t="s">
        <v>587</v>
      </c>
      <c r="H623" s="16" t="s">
        <v>3255</v>
      </c>
      <c r="I623" s="16" t="s">
        <v>4285</v>
      </c>
      <c r="J623" t="str">
        <f>IF(LEN(VLOOKUP(表1[[#This Row],[id]],数据引用!A:C,3,FALSE))&gt;0,VLOOKUP(表1[[#This Row],[id]],数据引用!A:C,3,FALSE),"")</f>
        <v>重新开始</v>
      </c>
      <c r="K623" t="s">
        <v>1201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623" s="5" t="s">
        <v>1282</v>
      </c>
    </row>
    <row r="624" spans="1:16" ht="14.25" customHeight="1">
      <c r="A624">
        <v>702</v>
      </c>
      <c r="B624">
        <v>0</v>
      </c>
      <c r="C624">
        <v>0</v>
      </c>
      <c r="E624">
        <v>1</v>
      </c>
      <c r="F624">
        <v>12</v>
      </c>
      <c r="G624" s="1" t="s">
        <v>588</v>
      </c>
      <c r="H624" s="16" t="s">
        <v>3256</v>
      </c>
      <c r="I624" s="16" t="s">
        <v>4286</v>
      </c>
      <c r="J624" t="str">
        <f>IF(LEN(VLOOKUP(表1[[#This Row],[id]],数据引用!A:C,3,FALSE))&gt;0,VLOOKUP(表1[[#This Row],[id]],数据引用!A:C,3,FALSE),"")</f>
        <v>观看重放</v>
      </c>
      <c r="K624" t="s">
        <v>1201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font-size:12;"&gt;观看重放&lt;/text&gt;&lt;text transform="matrix(1 0 0 1 0 10.3205)" style="fill:#FFFFFF; font-family:'FZXS12--GB1-0'; font-size:12;"&gt;观看重放&lt;/text&gt;&lt;/svg&gt;</v>
      </c>
      <c r="P624" s="5" t="s">
        <v>1282</v>
      </c>
    </row>
    <row r="625" spans="1:16" ht="14.25" customHeight="1">
      <c r="A625">
        <v>703</v>
      </c>
      <c r="B625">
        <v>0</v>
      </c>
      <c r="C625">
        <v>0</v>
      </c>
      <c r="E625">
        <v>1</v>
      </c>
      <c r="F625">
        <v>12</v>
      </c>
      <c r="G625" s="1" t="s">
        <v>589</v>
      </c>
      <c r="H625" s="16" t="s">
        <v>3257</v>
      </c>
      <c r="I625" s="16" t="s">
        <v>4287</v>
      </c>
      <c r="J625" t="str">
        <f>IF(LEN(VLOOKUP(表1[[#This Row],[id]],数据引用!A:C,3,FALSE))&gt;0,VLOOKUP(表1[[#This Row],[id]],数据引用!A:C,3,FALSE),"")</f>
        <v>得分排行榜</v>
      </c>
      <c r="K625" t="s">
        <v>1201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font-size:12;"&gt;得分排行榜&lt;/text&gt;&lt;text transform="matrix(1 0 0 1 0 10.3205)" style="fill:#FFFFFF; font-family:'FZXS12--GB1-0'; font-size:12;"&gt;得分排行榜&lt;/text&gt;&lt;/svg&gt;</v>
      </c>
      <c r="P625" s="5" t="s">
        <v>1282</v>
      </c>
    </row>
    <row r="626" spans="1:16" ht="14.25" customHeight="1">
      <c r="A626">
        <v>704</v>
      </c>
      <c r="B626">
        <v>0</v>
      </c>
      <c r="C626">
        <v>0</v>
      </c>
      <c r="E626">
        <v>1</v>
      </c>
      <c r="F626">
        <v>12</v>
      </c>
      <c r="G626" s="1" t="s">
        <v>590</v>
      </c>
      <c r="H626" s="16" t="s">
        <v>3258</v>
      </c>
      <c r="I626" s="16" t="s">
        <v>4288</v>
      </c>
      <c r="J626" t="str">
        <f>IF(LEN(VLOOKUP(表1[[#This Row],[id]],数据引用!A:C,3,FALSE))&gt;0,VLOOKUP(表1[[#This Row],[id]],数据引用!A:C,3,FALSE),"")</f>
        <v>竞速排行榜</v>
      </c>
      <c r="K626" t="s">
        <v>1201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font-size:12;"&gt;竞速排行榜&lt;/text&gt;&lt;text transform="matrix(1 0 0 1 0 10.3205)" style="fill:#FFFFFF; font-family:'FZXS12--GB1-0'; font-size:12;"&gt;竞速排行榜&lt;/text&gt;&lt;/svg&gt;</v>
      </c>
      <c r="P626" s="5" t="s">
        <v>1282</v>
      </c>
    </row>
    <row r="627" spans="1:16" ht="14.25" customHeight="1">
      <c r="A627">
        <v>705</v>
      </c>
      <c r="B627">
        <v>0</v>
      </c>
      <c r="C627">
        <v>0</v>
      </c>
      <c r="E627">
        <v>1</v>
      </c>
      <c r="F627">
        <v>12</v>
      </c>
      <c r="G627" s="1" t="s">
        <v>591</v>
      </c>
      <c r="H627" s="16" t="s">
        <v>3259</v>
      </c>
      <c r="I627" s="16" t="s">
        <v>4289</v>
      </c>
      <c r="J627" t="str">
        <f>IF(LEN(VLOOKUP(表1[[#This Row],[id]],数据引用!A:C,3,FALSE))&gt;0,VLOOKUP(表1[[#This Row],[id]],数据引用!A:C,3,FALSE),"")</f>
        <v>返回大厅</v>
      </c>
      <c r="K627" t="s">
        <v>1201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627" s="5" t="s">
        <v>1282</v>
      </c>
    </row>
    <row r="628" spans="1:16" ht="14.25" customHeight="1">
      <c r="A628">
        <v>706</v>
      </c>
      <c r="B628">
        <v>0</v>
      </c>
      <c r="C628">
        <v>0</v>
      </c>
      <c r="E628">
        <v>1</v>
      </c>
      <c r="F628">
        <v>12</v>
      </c>
      <c r="G628" s="1" t="s">
        <v>592</v>
      </c>
      <c r="H628" s="16" t="s">
        <v>3260</v>
      </c>
      <c r="I628" s="18"/>
      <c r="J628" t="str">
        <f>IF(LEN(VLOOKUP(表1[[#This Row],[id]],数据引用!A:C,3,FALSE))&gt;0,VLOOKUP(表1[[#This Row],[id]],数据引用!A:C,3,FALSE),"")</f>
        <v>击杀：</v>
      </c>
      <c r="K628" t="s">
        <v>1201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628" s="5"/>
    </row>
    <row r="629" spans="1:16" ht="14.25" customHeight="1">
      <c r="A629">
        <v>707</v>
      </c>
      <c r="B629">
        <v>0</v>
      </c>
      <c r="C629">
        <v>0</v>
      </c>
      <c r="E629">
        <v>1</v>
      </c>
      <c r="F629">
        <v>12</v>
      </c>
      <c r="G629" s="1" t="s">
        <v>593</v>
      </c>
      <c r="H629" s="16" t="s">
        <v>3261</v>
      </c>
      <c r="I629" s="18"/>
      <c r="J629" t="str">
        <f>IF(LEN(VLOOKUP(表1[[#This Row],[id]],数据引用!A:C,3,FALSE))&gt;0,VLOOKUP(表1[[#This Row],[id]],数据引用!A:C,3,FALSE),"")</f>
        <v>完成</v>
      </c>
      <c r="K629" t="s">
        <v>1201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629" s="5"/>
    </row>
    <row r="630" spans="1:16" ht="14.25" customHeight="1">
      <c r="A630">
        <v>708</v>
      </c>
      <c r="B630">
        <v>0</v>
      </c>
      <c r="C630">
        <v>0</v>
      </c>
      <c r="E630">
        <v>1</v>
      </c>
      <c r="F630">
        <v>12</v>
      </c>
      <c r="G630" s="1" t="s">
        <v>594</v>
      </c>
      <c r="H630" s="16" t="s">
        <v>3262</v>
      </c>
      <c r="I630" s="18"/>
      <c r="J630" t="str">
        <f>IF(LEN(VLOOKUP(表1[[#This Row],[id]],数据引用!A:C,3,FALSE))&gt;0,VLOOKUP(表1[[#This Row],[id]],数据引用!A:C,3,FALSE),"")</f>
        <v>获得金币：</v>
      </c>
      <c r="K630" t="s">
        <v>1201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font-size:12;"&gt;获得金币：&lt;/text&gt;&lt;text transform="matrix(1 0 0 1 0 10.3205)" style="fill:#FFFFFF; font-family:'FZXS12--GB1-0'; font-size:12;"&gt;获得金币：&lt;/text&gt;&lt;/svg&gt;</v>
      </c>
      <c r="P630" s="5"/>
    </row>
    <row r="631" spans="1:16" ht="14.25" customHeight="1">
      <c r="A631">
        <v>709</v>
      </c>
      <c r="B631">
        <v>0</v>
      </c>
      <c r="C631">
        <v>0</v>
      </c>
      <c r="E631">
        <v>1</v>
      </c>
      <c r="F631">
        <v>12</v>
      </c>
      <c r="G631" s="1" t="s">
        <v>595</v>
      </c>
      <c r="H631" s="16" t="s">
        <v>3263</v>
      </c>
      <c r="I631" s="18"/>
      <c r="J631" t="str">
        <f>IF(LEN(VLOOKUP(表1[[#This Row],[id]],数据引用!A:C,3,FALSE))&gt;0,VLOOKUP(表1[[#This Row],[id]],数据引用!A:C,3,FALSE),"")</f>
        <v>用时：</v>
      </c>
      <c r="K631" t="s">
        <v>1201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font-size:12;"&gt;用时：&lt;/text&gt;&lt;text transform="matrix(1 0 0 1 0 10.3205)" style="fill:#FFFFFF; font-family:'FZXS12--GB1-0'; font-size:12;"&gt;用时：&lt;/text&gt;&lt;/svg&gt;</v>
      </c>
      <c r="P631" s="5"/>
    </row>
    <row r="632" spans="1:16" ht="14.25" customHeight="1">
      <c r="A632">
        <v>710</v>
      </c>
      <c r="B632">
        <v>0</v>
      </c>
      <c r="C632">
        <v>0</v>
      </c>
      <c r="E632">
        <v>1</v>
      </c>
      <c r="F632">
        <v>12</v>
      </c>
      <c r="G632" s="1" t="s">
        <v>596</v>
      </c>
      <c r="H632" s="16" t="s">
        <v>3264</v>
      </c>
      <c r="I632" s="18"/>
      <c r="J632" t="str">
        <f>IF(LEN(VLOOKUP(表1[[#This Row],[id]],数据引用!A:C,3,FALSE))&gt;0,VLOOKUP(表1[[#This Row],[id]],数据引用!A:C,3,FALSE),"")</f>
        <v>（未完成）</v>
      </c>
      <c r="K632" t="s">
        <v>1201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font-size:12;"&gt;（未完成）&lt;/text&gt;&lt;text transform="matrix(1 0 0 1 0 10.3205)" style="fill:#FFFFFF; font-family:'FZXS12--GB1-0'; font-size:12;"&gt;（未完成）&lt;/text&gt;&lt;/svg&gt;</v>
      </c>
      <c r="P632" s="5"/>
    </row>
    <row r="633" spans="1:16" ht="14.25" customHeight="1">
      <c r="A633">
        <v>711</v>
      </c>
      <c r="B633">
        <v>0</v>
      </c>
      <c r="C633">
        <v>0</v>
      </c>
      <c r="E633">
        <v>1</v>
      </c>
      <c r="F633">
        <v>12</v>
      </c>
      <c r="G633" s="1" t="s">
        <v>27</v>
      </c>
      <c r="H633" s="16" t="s">
        <v>3265</v>
      </c>
      <c r="I633" s="18"/>
      <c r="J633" t="str">
        <f>IF(LEN(VLOOKUP(表1[[#This Row],[id]],数据引用!A:C,3,FALSE))&gt;0,VLOOKUP(表1[[#This Row],[id]],数据引用!A:C,3,FALSE),"")</f>
        <v>完成次数：</v>
      </c>
      <c r="K633" t="s">
        <v>1201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font-size:12;"&gt;完成次数：&lt;/text&gt;&lt;text transform="matrix(1 0 0 1 0 10.3205)" style="fill:#FFFFFF; font-family:'FZXS12--GB1-0'; font-size:12;"&gt;完成次数：&lt;/text&gt;&lt;/svg&gt;</v>
      </c>
      <c r="P633" s="5"/>
    </row>
    <row r="634" spans="1:16" ht="14.25" customHeight="1">
      <c r="A634">
        <v>712</v>
      </c>
      <c r="B634">
        <v>0</v>
      </c>
      <c r="C634">
        <v>0</v>
      </c>
      <c r="E634">
        <v>1</v>
      </c>
      <c r="F634">
        <v>12</v>
      </c>
      <c r="G634" s="1" t="s">
        <v>597</v>
      </c>
      <c r="H634" s="16" t="s">
        <v>3266</v>
      </c>
      <c r="I634" s="16" t="s">
        <v>4290</v>
      </c>
      <c r="J634" t="str">
        <f>IF(LEN(VLOOKUP(表1[[#This Row],[id]],数据引用!A:C,3,FALSE))&gt;0,VLOOKUP(表1[[#This Row],[id]],数据引用!A:C,3,FALSE),"")</f>
        <v>返回关卡编辑器</v>
      </c>
      <c r="K634" t="s">
        <v>1201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font-size:12;"&gt;返回关卡编辑器&lt;/text&gt;&lt;text transform="matrix(1 0 0 1 0 10.3205)" style="fill:#FFFFFF; font-family:'FZXS12--GB1-0'; font-size:12;"&gt;返回关卡编辑器&lt;/text&gt;&lt;/svg&gt;</v>
      </c>
      <c r="P634" s="5" t="s">
        <v>1282</v>
      </c>
    </row>
    <row r="635" spans="1:16" ht="14.25" customHeight="1">
      <c r="A635">
        <v>713</v>
      </c>
      <c r="B635">
        <v>0</v>
      </c>
      <c r="C635">
        <v>0</v>
      </c>
      <c r="E635" t="s">
        <v>2570</v>
      </c>
      <c r="F635">
        <v>6</v>
      </c>
      <c r="G635" s="1" t="s">
        <v>598</v>
      </c>
      <c r="H635" s="16" t="s">
        <v>3267</v>
      </c>
      <c r="I635" s="18"/>
      <c r="J635" t="str">
        <f>IF(LEN(VLOOKUP(表1[[#This Row],[id]],数据引用!A:C,3,FALSE))&gt;0,VLOOKUP(表1[[#This Row],[id]],数据引用!A:C,3,FALSE),"")</f>
        <v>种子：</v>
      </c>
      <c r="K635" t="s">
        <v>1201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font-size:12;"&gt;种子：&lt;/text&gt;&lt;text transform="matrix(1 0 0 1 0 10.3205)" style="fill:#FFFFFF; font-family:'FZXS12--GB1-0'; font-size:12;"&gt;种子：&lt;/text&gt;&lt;/svg&gt;</v>
      </c>
      <c r="P635" s="5"/>
    </row>
    <row r="636" spans="1:16" ht="14.25" customHeight="1">
      <c r="A636">
        <v>714</v>
      </c>
      <c r="B636">
        <v>0</v>
      </c>
      <c r="C636">
        <v>0</v>
      </c>
      <c r="E636" t="s">
        <v>2570</v>
      </c>
      <c r="F636">
        <v>6</v>
      </c>
      <c r="G636" s="1" t="s">
        <v>599</v>
      </c>
      <c r="H636" s="15" t="s">
        <v>3268</v>
      </c>
      <c r="I636" s="18"/>
      <c r="J636" t="str">
        <f>IF(LEN(VLOOKUP(表1[[#This Row],[id]],数据引用!A:C,3,FALSE))&gt;0,VLOOKUP(表1[[#This Row],[id]],数据引用!A:C,3,FALSE),"")</f>
        <v/>
      </c>
      <c r="K636" t="s">
        <v>1201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6" s="5"/>
    </row>
    <row r="637" spans="1:16" ht="14.25" customHeight="1">
      <c r="A637">
        <v>900</v>
      </c>
      <c r="B637">
        <v>0</v>
      </c>
      <c r="C637">
        <v>0</v>
      </c>
      <c r="E637">
        <v>1</v>
      </c>
      <c r="F637">
        <v>12</v>
      </c>
      <c r="G637" s="1" t="s">
        <v>600</v>
      </c>
      <c r="H637" s="16" t="s">
        <v>3269</v>
      </c>
      <c r="I637" s="18"/>
      <c r="J637" t="str">
        <f>IF(LEN(VLOOKUP(表1[[#This Row],[id]],数据引用!A:C,3,FALSE))&gt;0,VLOOKUP(表1[[#This Row],[id]],数据引用!A:C,3,FALSE),"")</f>
        <v>输入要使用的种子</v>
      </c>
      <c r="K637" t="s">
        <v>1202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font-size:12;"&gt;输入要使用的种子&lt;/text&gt;&lt;text transform="matrix(1 0 0 1 0 10.3205)" style="fill:#FFFFFF; font-family:'FZXS12--GB1-0'; font-size:12;"&gt;输入要使用的种子&lt;/text&gt;&lt;/svg&gt;</v>
      </c>
      <c r="P637" s="5"/>
    </row>
    <row r="638" spans="1:16" ht="14.25" customHeight="1">
      <c r="A638">
        <v>901</v>
      </c>
      <c r="B638">
        <v>0</v>
      </c>
      <c r="C638">
        <v>0</v>
      </c>
      <c r="E638">
        <v>1</v>
      </c>
      <c r="F638">
        <v>12</v>
      </c>
      <c r="G638" s="1" t="s">
        <v>601</v>
      </c>
      <c r="H638" s="16" t="s">
        <v>3270</v>
      </c>
      <c r="I638" s="18"/>
      <c r="J638" t="str">
        <f>IF(LEN(VLOOKUP(表1[[#This Row],[id]],数据引用!A:C,3,FALSE))&gt;0,VLOOKUP(表1[[#This Row],[id]],数据引用!A:C,3,FALSE),"")</f>
        <v>名字只能使用 字母/数字/空格</v>
      </c>
      <c r="K638" t="s">
        <v>1202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font-size:12;"&gt;名字只能使用 字母/数字/空格&lt;/text&gt;&lt;text transform="matrix(1 0 0 1 0 10.3205)" style="fill:#FFFFFF; font-family:'FZXS12--GB1-0'; font-size:12;"&gt;名字只能使用 字母/数字/空格&lt;/text&gt;&lt;/svg&gt;</v>
      </c>
      <c r="P638" s="5"/>
    </row>
    <row r="639" spans="1:16" ht="14.25" customHeight="1">
      <c r="A639">
        <v>902</v>
      </c>
      <c r="B639">
        <v>0</v>
      </c>
      <c r="C639">
        <v>0</v>
      </c>
      <c r="E639">
        <v>1</v>
      </c>
      <c r="F639">
        <v>12</v>
      </c>
      <c r="G639" s="1" t="s">
        <v>602</v>
      </c>
      <c r="H639" s="16" t="s">
        <v>3271</v>
      </c>
      <c r="I639" s="18"/>
      <c r="J639" t="str">
        <f>IF(LEN(VLOOKUP(表1[[#This Row],[id]],数据引用!A:C,3,FALSE))&gt;0,VLOOKUP(表1[[#This Row],[id]],数据引用!A:C,3,FALSE),"")</f>
        <v>得分作弊被抓</v>
      </c>
      <c r="K639" t="s">
        <v>1202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font-size:12;"&gt;得分作弊被抓&lt;/text&gt;&lt;text transform="matrix(1 0 0 1 0 10.3205)" style="fill:#FFFFFF; font-family:'FZXS12--GB1-0'; font-size:12;"&gt;得分作弊被抓&lt;/text&gt;&lt;/svg&gt;</v>
      </c>
      <c r="P639" s="5"/>
    </row>
    <row r="640" spans="1:16" ht="14.25" customHeight="1">
      <c r="A640">
        <v>903</v>
      </c>
      <c r="B640">
        <v>0</v>
      </c>
      <c r="C640">
        <v>0</v>
      </c>
      <c r="E640">
        <v>1</v>
      </c>
      <c r="F640">
        <v>12</v>
      </c>
      <c r="G640" s="1" t="s">
        <v>603</v>
      </c>
      <c r="H640" s="16" t="s">
        <v>3272</v>
      </c>
      <c r="I640" s="18"/>
      <c r="J640" t="str">
        <f>IF(LEN(VLOOKUP(表1[[#This Row],[id]],数据引用!A:C,3,FALSE))&gt;0,VLOOKUP(表1[[#This Row],[id]],数据引用!A:C,3,FALSE),"")</f>
        <v>音乐作弊最抓</v>
      </c>
      <c r="K640" t="s">
        <v>1202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font-size:12;"&gt;音乐作弊最抓&lt;/text&gt;&lt;text transform="matrix(1 0 0 1 0 10.3205)" style="fill:#FFFFFF; font-family:'FZXS12--GB1-0'; font-size:12;"&gt;音乐作弊最抓&lt;/text&gt;&lt;/svg&gt;</v>
      </c>
      <c r="P640" s="5"/>
    </row>
    <row r="641" spans="1:16" ht="14.25" customHeight="1">
      <c r="A641">
        <v>904</v>
      </c>
      <c r="B641">
        <v>0</v>
      </c>
      <c r="C641">
        <v>0</v>
      </c>
      <c r="E641">
        <v>1</v>
      </c>
      <c r="F641">
        <v>12</v>
      </c>
      <c r="G641" s="1" t="s">
        <v>604</v>
      </c>
      <c r="H641" s="16" t="s">
        <v>3273</v>
      </c>
      <c r="I641" s="18"/>
      <c r="J641" t="str">
        <f>IF(LEN(VLOOKUP(表1[[#This Row],[id]],数据引用!A:C,3,FALSE))&gt;0,VLOOKUP(表1[[#This Row],[id]],数据引用!A:C,3,FALSE),"")</f>
        <v>地下城里有很多神秘的东西</v>
      </c>
      <c r="K641" t="s">
        <v>1202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font-size:12;"&gt;地下城里有很多神秘的东西&lt;/text&gt;&lt;text transform="matrix(1 0 0 1 0 10.3205)" style="fill:#FFFFFF; font-family:'FZXS12--GB1-0'; font-size:12;"&gt;地下城里有很多神秘的东西&lt;/text&gt;&lt;/svg&gt;</v>
      </c>
      <c r="P641" s="5"/>
    </row>
    <row r="642" spans="1:16" ht="14.25" customHeight="1">
      <c r="A642">
        <v>905</v>
      </c>
      <c r="B642">
        <v>0</v>
      </c>
      <c r="C642">
        <v>0</v>
      </c>
      <c r="E642">
        <v>1</v>
      </c>
      <c r="F642">
        <v>12</v>
      </c>
      <c r="G642" s="1" t="s">
        <v>605</v>
      </c>
      <c r="H642" s="16" t="s">
        <v>3274</v>
      </c>
      <c r="I642" s="18"/>
      <c r="J642" t="str">
        <f>IF(LEN(VLOOKUP(表1[[#This Row],[id]],数据引用!A:C,3,FALSE))&gt;0,VLOOKUP(表1[[#This Row],[id]],数据引用!A:C,3,FALSE),"")</f>
        <v>你想显示物品描述还是自己去探索他们的效果呢？</v>
      </c>
      <c r="K642" t="s">
        <v>1202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font-size:12;"&gt;你想显示物品描述还是自己去探索他们的效果呢？&lt;/text&gt;&lt;text transform="matrix(1 0 0 1 0 10.3205)" style="fill:#FFFFFF; font-family:'FZXS12--GB1-0'; font-size:12;"&gt;你想显示物品描述还是自己去探索他们的效果呢？&lt;/text&gt;&lt;/svg&gt;</v>
      </c>
      <c r="P642" s="5"/>
    </row>
    <row r="643" spans="1:16" ht="14.25" customHeight="1">
      <c r="A643">
        <v>906</v>
      </c>
      <c r="B643">
        <v>0</v>
      </c>
      <c r="C643">
        <v>0</v>
      </c>
      <c r="E643">
        <v>1</v>
      </c>
      <c r="F643">
        <v>12</v>
      </c>
      <c r="G643" s="13" t="s">
        <v>606</v>
      </c>
      <c r="H643" s="15" t="s">
        <v>3275</v>
      </c>
      <c r="I643" s="18"/>
      <c r="J643" t="str">
        <f>IF(LEN(VLOOKUP(表1[[#This Row],[id]],数据引用!A:C,3,FALSE))&gt;0,VLOOKUP(表1[[#This Row],[id]],数据引用!A:C,3,FALSE),"")</f>
        <v>NULL</v>
      </c>
      <c r="K643" t="s">
        <v>1202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43" s="5"/>
    </row>
    <row r="644" spans="1:16" ht="14.25" customHeight="1">
      <c r="A644">
        <v>907</v>
      </c>
      <c r="B644">
        <v>0</v>
      </c>
      <c r="C644">
        <v>0</v>
      </c>
      <c r="E644">
        <v>1</v>
      </c>
      <c r="F644">
        <v>12</v>
      </c>
      <c r="G644" s="1" t="s">
        <v>607</v>
      </c>
      <c r="H644" s="16" t="s">
        <v>3276</v>
      </c>
      <c r="I644" s="16" t="s">
        <v>4291</v>
      </c>
      <c r="J644" t="str">
        <f>IF(LEN(VLOOKUP(表1[[#This Row],[id]],数据引用!A:C,3,FALSE))&gt;0,VLOOKUP(表1[[#This Row],[id]],数据引用!A:C,3,FALSE),"")</f>
        <v>显示物品描述</v>
      </c>
      <c r="K644" t="s">
        <v>1202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font-size:12;"&gt;显示物品描述&lt;/text&gt;&lt;text transform="matrix(1 0 0 1 0 10.3205)" style="fill:#FFFFFF; font-family:'FZXS12--GB1-0'; font-size:12;"&gt;显示物品描述&lt;/text&gt;&lt;/svg&gt;</v>
      </c>
      <c r="P644" s="5" t="s">
        <v>1282</v>
      </c>
    </row>
    <row r="645" spans="1:16" ht="14.25" customHeight="1">
      <c r="A645">
        <v>908</v>
      </c>
      <c r="B645">
        <v>0</v>
      </c>
      <c r="C645">
        <v>0</v>
      </c>
      <c r="E645">
        <v>1</v>
      </c>
      <c r="F645">
        <v>12</v>
      </c>
      <c r="G645" s="1" t="s">
        <v>608</v>
      </c>
      <c r="H645" s="16" t="s">
        <v>3277</v>
      </c>
      <c r="I645" s="16" t="s">
        <v>4292</v>
      </c>
      <c r="J645" t="str">
        <f>IF(LEN(VLOOKUP(表1[[#This Row],[id]],数据引用!A:C,3,FALSE))&gt;0,VLOOKUP(表1[[#This Row],[id]],数据引用!A:C,3,FALSE),"")</f>
        <v>隐藏物品描述</v>
      </c>
      <c r="K645" t="s">
        <v>1202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font-size:12;"&gt;隐藏物品描述&lt;/text&gt;&lt;text transform="matrix(1 0 0 1 0 10.3205)" style="fill:#FFFFFF; font-family:'FZXS12--GB1-0'; font-size:12;"&gt;隐藏物品描述&lt;/text&gt;&lt;/svg&gt;</v>
      </c>
      <c r="P645" s="5" t="s">
        <v>1282</v>
      </c>
    </row>
    <row r="646" spans="1:16" ht="14.25" customHeight="1">
      <c r="A646">
        <v>909</v>
      </c>
      <c r="B646">
        <v>0</v>
      </c>
      <c r="C646">
        <v>0</v>
      </c>
      <c r="E646">
        <v>1</v>
      </c>
      <c r="F646">
        <v>12</v>
      </c>
      <c r="G646" s="1" t="s">
        <v>36</v>
      </c>
      <c r="H646" s="16" t="s">
        <v>3278</v>
      </c>
      <c r="I646" s="18"/>
      <c r="J646" t="str">
        <f>IF(LEN(VLOOKUP(表1[[#This Row],[id]],数据引用!A:C,3,FALSE))&gt;0,VLOOKUP(表1[[#This Row],[id]],数据引用!A:C,3,FALSE),"")</f>
        <v>如果现在重新开始</v>
      </c>
      <c r="K646" t="s">
        <v>1202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646" s="5"/>
    </row>
    <row r="647" spans="1:16" ht="14.25" customHeight="1">
      <c r="A647">
        <v>910</v>
      </c>
      <c r="B647">
        <v>0</v>
      </c>
      <c r="C647">
        <v>0</v>
      </c>
      <c r="E647">
        <v>1</v>
      </c>
      <c r="F647">
        <v>12</v>
      </c>
      <c r="G647" s="1" t="s">
        <v>609</v>
      </c>
      <c r="H647" s="16" t="s">
        <v>3279</v>
      </c>
      <c r="I647" s="18"/>
      <c r="J647" t="str">
        <f>IF(LEN(VLOOKUP(表1[[#This Row],[id]],数据引用!A:C,3,FALSE))&gt;0,VLOOKUP(表1[[#This Row],[id]],数据引用!A:C,3,FALSE),"")</f>
        <v>所有未花费的钻石会被清空</v>
      </c>
      <c r="K647" t="s">
        <v>1202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647" s="5"/>
    </row>
    <row r="648" spans="1:16" ht="14.25" customHeight="1">
      <c r="A648">
        <v>911</v>
      </c>
      <c r="B648">
        <v>0</v>
      </c>
      <c r="C648">
        <v>0</v>
      </c>
      <c r="E648">
        <v>1</v>
      </c>
      <c r="F648">
        <v>12</v>
      </c>
      <c r="G648" s="1" t="s">
        <v>610</v>
      </c>
      <c r="H648" s="16" t="s">
        <v>3280</v>
      </c>
      <c r="I648" s="18"/>
      <c r="J648" t="str">
        <f>IF(LEN(VLOOKUP(表1[[#This Row],[id]],数据引用!A:C,3,FALSE))&gt;0,VLOOKUP(表1[[#This Row],[id]],数据引用!A:C,3,FALSE),"")</f>
        <v>你要留下把它们花完吗？</v>
      </c>
      <c r="K648" t="s">
        <v>1202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font-size:12;"&gt;你要留下把它们花完吗？&lt;/text&gt;&lt;text transform="matrix(1 0 0 1 0 10.3205)" style="fill:#FFFFFF; font-family:'FZXS12--GB1-0'; font-size:12;"&gt;你要留下把它们花完吗？&lt;/text&gt;&lt;/svg&gt;</v>
      </c>
      <c r="P648" s="5"/>
    </row>
    <row r="649" spans="1:16" ht="14.25" customHeight="1">
      <c r="A649">
        <v>912</v>
      </c>
      <c r="B649">
        <v>0</v>
      </c>
      <c r="C649">
        <v>0</v>
      </c>
      <c r="E649">
        <v>1</v>
      </c>
      <c r="F649">
        <v>12</v>
      </c>
      <c r="G649" s="1" t="s">
        <v>611</v>
      </c>
      <c r="H649" s="16" t="s">
        <v>3281</v>
      </c>
      <c r="I649" s="16" t="s">
        <v>4293</v>
      </c>
      <c r="J649" t="str">
        <f>IF(LEN(VLOOKUP(表1[[#This Row],[id]],数据引用!A:C,3,FALSE))&gt;0,VLOOKUP(表1[[#This Row],[id]],数据引用!A:C,3,FALSE),"")</f>
        <v>回去用完它们</v>
      </c>
      <c r="K649" t="s">
        <v>1202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font-size:12;"&gt;回去用完它们&lt;/text&gt;&lt;text transform="matrix(1 0 0 1 0 10.3205)" style="fill:#FFFFFF; font-family:'FZXS12--GB1-0'; font-size:12;"&gt;回去用完它们&lt;/text&gt;&lt;/svg&gt;</v>
      </c>
      <c r="P649" s="5" t="s">
        <v>1282</v>
      </c>
    </row>
    <row r="650" spans="1:16" ht="14.25" customHeight="1">
      <c r="A650">
        <v>913</v>
      </c>
      <c r="B650">
        <v>0</v>
      </c>
      <c r="C650">
        <v>0</v>
      </c>
      <c r="E650">
        <v>1</v>
      </c>
      <c r="F650">
        <v>12</v>
      </c>
      <c r="G650" s="1" t="s">
        <v>612</v>
      </c>
      <c r="H650" s="16" t="s">
        <v>3282</v>
      </c>
      <c r="I650" s="16" t="s">
        <v>4294</v>
      </c>
      <c r="J650" t="str">
        <f>IF(LEN(VLOOKUP(表1[[#This Row],[id]],数据引用!A:C,3,FALSE))&gt;0,VLOOKUP(表1[[#This Row],[id]],数据引用!A:C,3,FALSE),"")</f>
        <v>我不差钱</v>
      </c>
      <c r="K650" t="s">
        <v>1202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font-size:12;"&gt;我不差钱&lt;/text&gt;&lt;text transform="matrix(1 0 0 1 0 10.3205)" style="fill:#FFFFFF; font-family:'FZXS12--GB1-0'; font-size:12;"&gt;我不差钱&lt;/text&gt;&lt;/svg&gt;</v>
      </c>
      <c r="P650" s="5" t="s">
        <v>1282</v>
      </c>
    </row>
    <row r="651" spans="1:16" ht="14.25" customHeight="1">
      <c r="A651">
        <v>914</v>
      </c>
      <c r="B651">
        <v>0</v>
      </c>
      <c r="C651">
        <v>0</v>
      </c>
      <c r="E651">
        <v>1</v>
      </c>
      <c r="F651">
        <v>12</v>
      </c>
      <c r="G651" s="1" t="s">
        <v>613</v>
      </c>
      <c r="H651" s="16" t="s">
        <v>3283</v>
      </c>
      <c r="I651" s="18"/>
      <c r="J651" t="str">
        <f>IF(LEN(VLOOKUP(表1[[#This Row],[id]],数据引用!A:C,3,FALSE))&gt;0,VLOOKUP(表1[[#This Row],[id]],数据引用!A:C,3,FALSE),"")</f>
        <v>CADENCE</v>
      </c>
      <c r="K651" t="s">
        <v>1202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font-size:12;"&gt;CADENCE&lt;/text&gt;&lt;text transform="matrix(1 0 0 1 0 10.3205)" style="fill:#FFFFFF; font-family:'FZXS12--GB1-0'; font-size:12;"&gt;CADENCE&lt;/text&gt;&lt;/svg&gt;</v>
      </c>
      <c r="P651" s="5"/>
    </row>
    <row r="652" spans="1:16" ht="14.25" customHeight="1">
      <c r="A652">
        <v>915</v>
      </c>
      <c r="B652">
        <v>0</v>
      </c>
      <c r="C652">
        <v>0</v>
      </c>
      <c r="E652">
        <v>1</v>
      </c>
      <c r="F652">
        <v>12</v>
      </c>
      <c r="G652" s="1" t="s">
        <v>614</v>
      </c>
      <c r="H652" s="16" t="s">
        <v>3284</v>
      </c>
      <c r="I652" s="18"/>
      <c r="J652" t="str">
        <f>IF(LEN(VLOOKUP(表1[[#This Row],[id]],数据引用!A:C,3,FALSE))&gt;0,VLOOKUP(表1[[#This Row],[id]],数据引用!A:C,3,FALSE),"")</f>
        <v>正常游戏模式</v>
      </c>
      <c r="K652" t="s">
        <v>1202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font-size:12;"&gt;正常游戏模式&lt;/text&gt;&lt;text transform="matrix(1 0 0 1 0 10.3205)" style="fill:#FFFFFF; font-family:'FZXS12--GB1-0'; font-size:12;"&gt;正常游戏模式&lt;/text&gt;&lt;/svg&gt;</v>
      </c>
      <c r="P652" s="5"/>
    </row>
    <row r="653" spans="1:16" ht="14.25" customHeight="1">
      <c r="A653">
        <v>916</v>
      </c>
      <c r="B653">
        <v>0</v>
      </c>
      <c r="C653">
        <v>0</v>
      </c>
      <c r="E653">
        <v>1</v>
      </c>
      <c r="F653">
        <v>12</v>
      </c>
      <c r="G653" s="1" t="s">
        <v>615</v>
      </c>
      <c r="H653" s="16" t="s">
        <v>3285</v>
      </c>
      <c r="I653" s="18"/>
      <c r="J653" t="str">
        <f>IF(LEN(VLOOKUP(表1[[#This Row],[id]],数据引用!A:C,3,FALSE))&gt;0,VLOOKUP(表1[[#This Row],[id]],数据引用!A:C,3,FALSE),"")</f>
        <v>继续？</v>
      </c>
      <c r="K653" t="s">
        <v>1202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653" s="5"/>
    </row>
    <row r="654" spans="1:16" ht="14.25" customHeight="1">
      <c r="A654">
        <v>917</v>
      </c>
      <c r="B654">
        <v>0</v>
      </c>
      <c r="C654">
        <v>0</v>
      </c>
      <c r="E654">
        <v>1</v>
      </c>
      <c r="F654">
        <v>12</v>
      </c>
      <c r="G654" s="1" t="s">
        <v>616</v>
      </c>
      <c r="H654" s="16" t="s">
        <v>3286</v>
      </c>
      <c r="I654" s="18"/>
      <c r="J654" t="str">
        <f>IF(LEN(VLOOKUP(表1[[#This Row],[id]],数据引用!A:C,3,FALSE))&gt;0,VLOOKUP(表1[[#This Row],[id]],数据引用!A:C,3,FALSE),"")</f>
        <v>ARIA</v>
      </c>
      <c r="K654" t="s">
        <v>1202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font-size:12;"&gt;ARIA&lt;/text&gt;&lt;text transform="matrix(1 0 0 1 0 10.3205)" style="fill:#FFFFFF; font-family:'FZXS12--GB1-0'; font-size:12;"&gt;ARIA&lt;/text&gt;&lt;/svg&gt;</v>
      </c>
      <c r="P654" s="5"/>
    </row>
    <row r="655" spans="1:16" ht="14.25" customHeight="1">
      <c r="A655">
        <v>918</v>
      </c>
      <c r="B655">
        <v>0</v>
      </c>
      <c r="C655">
        <v>0</v>
      </c>
      <c r="E655">
        <v>1</v>
      </c>
      <c r="F655">
        <v>12</v>
      </c>
      <c r="G655" s="1" t="s">
        <v>617</v>
      </c>
      <c r="H655" s="16" t="s">
        <v>3287</v>
      </c>
      <c r="I655" s="18"/>
      <c r="J655" t="str">
        <f>IF(LEN(VLOOKUP(表1[[#This Row],[id]],数据引用!A:C,3,FALSE))&gt;0,VLOOKUP(表1[[#This Row],[id]],数据引用!A:C,3,FALSE),"")</f>
        <v>只能使用匕首，一击必杀</v>
      </c>
      <c r="K655" t="s">
        <v>1202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font-size:12;"&gt;只能使用匕首，一击必杀&lt;/text&gt;&lt;text transform="matrix(1 0 0 1 0 10.3205)" style="fill:#FFFFFF; font-family:'FZXS12--GB1-0'; font-size:12;"&gt;只能使用匕首，一击必杀&lt;/text&gt;&lt;/svg&gt;</v>
      </c>
      <c r="P655" s="5"/>
    </row>
    <row r="656" spans="1:16" ht="14.25" customHeight="1">
      <c r="A656">
        <v>919</v>
      </c>
      <c r="B656">
        <v>0</v>
      </c>
      <c r="C656">
        <v>0</v>
      </c>
      <c r="E656">
        <v>1</v>
      </c>
      <c r="F656">
        <v>12</v>
      </c>
      <c r="G656" s="1" t="s">
        <v>618</v>
      </c>
      <c r="H656" s="16" t="s">
        <v>3288</v>
      </c>
      <c r="I656" s="18"/>
      <c r="J656" t="str">
        <f>IF(LEN(VLOOKUP(表1[[#This Row],[id]],数据引用!A:C,3,FALSE))&gt;0,VLOOKUP(表1[[#This Row],[id]],数据引用!A:C,3,FALSE),"")</f>
        <v>节拍MISSED立即死亡</v>
      </c>
      <c r="K656" t="s">
        <v>1202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font-size:12;"&gt;节拍MISSED立即死亡&lt;/text&gt;&lt;text transform="matrix(1 0 0 1 0 10.3205)" style="fill:#FFFFFF; font-family:'FZXS12--GB1-0'; font-size:12;"&gt;节拍MISSED立即死亡&lt;/text&gt;&lt;/svg&gt;</v>
      </c>
      <c r="P656" s="5"/>
    </row>
    <row r="657" spans="1:16" ht="14.25" customHeight="1">
      <c r="A657">
        <v>920</v>
      </c>
      <c r="B657">
        <v>0</v>
      </c>
      <c r="C657">
        <v>0</v>
      </c>
      <c r="E657">
        <v>1</v>
      </c>
      <c r="F657">
        <v>12</v>
      </c>
      <c r="G657" s="1" t="s">
        <v>619</v>
      </c>
      <c r="H657" s="16" t="s">
        <v>3289</v>
      </c>
      <c r="I657" s="18"/>
      <c r="J657" t="str">
        <f>IF(LEN(VLOOKUP(表1[[#This Row],[id]],数据引用!A:C,3,FALSE))&gt;0,VLOOKUP(表1[[#This Row],[id]],数据引用!A:C,3,FALSE),"")</f>
        <v>BOLT</v>
      </c>
      <c r="K657" t="s">
        <v>1202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font-size:12;"&gt;BOLT&lt;/text&gt;&lt;text transform="matrix(1 0 0 1 0 10.3205)" style="fill:#FFFFFF; font-family:'FZXS12--GB1-0'; font-size:12;"&gt;BOLT&lt;/text&gt;&lt;/svg&gt;</v>
      </c>
      <c r="P657" s="5"/>
    </row>
    <row r="658" spans="1:16" ht="14.25" customHeight="1">
      <c r="A658">
        <v>921</v>
      </c>
      <c r="B658">
        <v>0</v>
      </c>
      <c r="C658">
        <v>0</v>
      </c>
      <c r="E658">
        <v>1</v>
      </c>
      <c r="F658">
        <v>12</v>
      </c>
      <c r="G658" s="1" t="s">
        <v>620</v>
      </c>
      <c r="H658" s="16" t="s">
        <v>3290</v>
      </c>
      <c r="I658" s="18"/>
      <c r="J658" t="str">
        <f>IF(LEN(VLOOKUP(表1[[#This Row],[id]],数据引用!A:C,3,FALSE))&gt;0,VLOOKUP(表1[[#This Row],[id]],数据引用!A:C,3,FALSE),"")</f>
        <v>2倍速</v>
      </c>
      <c r="K658" t="s">
        <v>1202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font-size:12;"&gt;2倍速&lt;/text&gt;&lt;text transform="matrix(1 0 0 1 0 10.3205)" style="fill:#FFFFFF; font-family:'FZXS12--GB1-0'; font-size:12;"&gt;2倍速&lt;/text&gt;&lt;/svg&gt;</v>
      </c>
      <c r="P658" s="5"/>
    </row>
    <row r="659" spans="1:16" ht="14.25" customHeight="1">
      <c r="A659">
        <v>922</v>
      </c>
      <c r="B659">
        <v>0</v>
      </c>
      <c r="C659">
        <v>0</v>
      </c>
      <c r="E659">
        <v>1</v>
      </c>
      <c r="F659">
        <v>12</v>
      </c>
      <c r="G659" s="1" t="s">
        <v>621</v>
      </c>
      <c r="H659" s="16" t="s">
        <v>3291</v>
      </c>
      <c r="I659" s="18"/>
      <c r="J659" t="str">
        <f>IF(LEN(VLOOKUP(表1[[#This Row],[id]],数据引用!A:C,3,FALSE))&gt;0,VLOOKUP(表1[[#This Row],[id]],数据引用!A:C,3,FALSE),"")</f>
        <v>BARD</v>
      </c>
      <c r="K659" t="s">
        <v>1202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font-size:12;"&gt;BARD&lt;/text&gt;&lt;text transform="matrix(1 0 0 1 0 10.3205)" style="fill:#FFFFFF; font-family:'FZXS12--GB1-0'; font-size:12;"&gt;BARD&lt;/text&gt;&lt;/svg&gt;</v>
      </c>
      <c r="P659" s="5"/>
    </row>
    <row r="660" spans="1:16" ht="14.25" customHeight="1">
      <c r="A660">
        <v>923</v>
      </c>
      <c r="B660">
        <v>0</v>
      </c>
      <c r="C660">
        <v>0</v>
      </c>
      <c r="E660">
        <v>1</v>
      </c>
      <c r="F660">
        <v>12</v>
      </c>
      <c r="G660" s="1" t="s">
        <v>622</v>
      </c>
      <c r="H660" s="16" t="s">
        <v>3292</v>
      </c>
      <c r="I660" s="18"/>
      <c r="J660" t="str">
        <f>IF(LEN(VLOOKUP(表1[[#This Row],[id]],数据引用!A:C,3,FALSE))&gt;0,VLOOKUP(表1[[#This Row],[id]],数据引用!A:C,3,FALSE),"")</f>
        <v>无视节拍</v>
      </c>
      <c r="K660" t="s">
        <v>1202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font-size:12;"&gt;无视节拍&lt;/text&gt;&lt;text transform="matrix(1 0 0 1 0 10.3205)" style="fill:#FFFFFF; font-family:'FZXS12--GB1-0'; font-size:12;"&gt;无视节拍&lt;/text&gt;&lt;/svg&gt;</v>
      </c>
      <c r="P660" s="5"/>
    </row>
    <row r="661" spans="1:16" ht="14.25" customHeight="1">
      <c r="A661">
        <v>924</v>
      </c>
      <c r="B661">
        <v>0</v>
      </c>
      <c r="C661">
        <v>0</v>
      </c>
      <c r="E661">
        <v>1</v>
      </c>
      <c r="F661">
        <v>12</v>
      </c>
      <c r="G661" s="1" t="s">
        <v>623</v>
      </c>
      <c r="H661" s="16" t="s">
        <v>3293</v>
      </c>
      <c r="I661" s="18"/>
      <c r="J661" t="str">
        <f>IF(LEN(VLOOKUP(表1[[#This Row],[id]],数据引用!A:C,3,FALSE))&gt;0,VLOOKUP(表1[[#This Row],[id]],数据引用!A:C,3,FALSE),"")</f>
        <v>你移动时敌人才可以移动</v>
      </c>
      <c r="K661" t="s">
        <v>1202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font-size:12;"&gt;你移动时敌人才可以移动&lt;/text&gt;&lt;text transform="matrix(1 0 0 1 0 10.3205)" style="fill:#FFFFFF; font-family:'FZXS12--GB1-0'; font-size:12;"&gt;你移动时敌人才可以移动&lt;/text&gt;&lt;/svg&gt;</v>
      </c>
      <c r="P661" s="5"/>
    </row>
    <row r="662" spans="1:16" ht="14.25" customHeight="1">
      <c r="A662">
        <v>925</v>
      </c>
      <c r="B662">
        <v>0</v>
      </c>
      <c r="C662">
        <v>0</v>
      </c>
      <c r="E662">
        <v>1</v>
      </c>
      <c r="F662">
        <v>12</v>
      </c>
      <c r="G662" s="1" t="s">
        <v>624</v>
      </c>
      <c r="H662" s="16" t="s">
        <v>3294</v>
      </c>
      <c r="I662" s="18"/>
      <c r="J662" t="str">
        <f>IF(LEN(VLOOKUP(表1[[#This Row],[id]],数据引用!A:C,3,FALSE))&gt;0,VLOOKUP(表1[[#This Row],[id]],数据引用!A:C,3,FALSE),"")</f>
        <v>MONK</v>
      </c>
      <c r="K662" t="s">
        <v>1202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font-size:12;"&gt;MONK&lt;/text&gt;&lt;text transform="matrix(1 0 0 1 0 10.3205)" style="fill:#FFFFFF; font-family:'FZXS12--GB1-0'; font-size:12;"&gt;MONK&lt;/text&gt;&lt;/svg&gt;</v>
      </c>
      <c r="P662" s="5"/>
    </row>
    <row r="663" spans="1:16" ht="14.25" customHeight="1">
      <c r="A663">
        <v>926</v>
      </c>
      <c r="B663">
        <v>0</v>
      </c>
      <c r="C663">
        <v>0</v>
      </c>
      <c r="E663">
        <v>1</v>
      </c>
      <c r="F663">
        <v>12</v>
      </c>
      <c r="G663" s="1" t="s">
        <v>625</v>
      </c>
      <c r="H663" s="16" t="s">
        <v>3295</v>
      </c>
      <c r="I663" s="18"/>
      <c r="J663" t="str">
        <f>IF(LEN(VLOOKUP(表1[[#This Row],[id]],数据引用!A:C,3,FALSE))&gt;0,VLOOKUP(表1[[#This Row],[id]],数据引用!A:C,3,FALSE),"")</f>
        <v>拾取金币立即死亡，商店物品免费</v>
      </c>
      <c r="K663" t="s">
        <v>1202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font-size:12;"&gt;拾取金币立即死亡，商店物品免费&lt;/text&gt;&lt;text transform="matrix(1 0 0 1 0 10.3205)" style="fill:#FFFFFF; font-family:'FZXS12--GB1-0'; font-size:12;"&gt;拾取金币立即死亡，商店物品免费&lt;/text&gt;&lt;/svg&gt;</v>
      </c>
      <c r="P663" s="5"/>
    </row>
    <row r="664" spans="1:16" ht="14.25" customHeight="1">
      <c r="A664">
        <v>927</v>
      </c>
      <c r="B664">
        <v>0</v>
      </c>
      <c r="C664">
        <v>0</v>
      </c>
      <c r="E664">
        <v>1</v>
      </c>
      <c r="F664">
        <v>12</v>
      </c>
      <c r="G664" s="1" t="s">
        <v>626</v>
      </c>
      <c r="H664" s="16" t="s">
        <v>3296</v>
      </c>
      <c r="I664" s="18"/>
      <c r="J664" t="str">
        <f>IF(LEN(VLOOKUP(表1[[#This Row],[id]],数据引用!A:C,3,FALSE))&gt;0,VLOOKUP(表1[[#This Row],[id]],数据引用!A:C,3,FALSE),"")</f>
        <v>（视金钱如粪土的人，所以不要去捡屎）</v>
      </c>
      <c r="K664" t="s">
        <v>1202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font-size:12;"&gt;（视金钱如粪土的人，所以不要去捡屎）&lt;/text&gt;&lt;text transform="matrix(1 0 0 1 0 10.3205)" style="fill:#FFFFFF; font-family:'FZXS12--GB1-0'; font-size:12;"&gt;（视金钱如粪土的人，所以不要去捡屎）&lt;/text&gt;&lt;/svg&gt;</v>
      </c>
      <c r="P664" s="5"/>
    </row>
    <row r="665" spans="1:16" ht="14.25" customHeight="1">
      <c r="A665">
        <v>928</v>
      </c>
      <c r="B665">
        <v>0</v>
      </c>
      <c r="C665">
        <v>0</v>
      </c>
      <c r="E665">
        <v>1</v>
      </c>
      <c r="F665">
        <v>12</v>
      </c>
      <c r="G665" s="1" t="s">
        <v>627</v>
      </c>
      <c r="H665" s="16" t="s">
        <v>3297</v>
      </c>
      <c r="I665" s="18"/>
      <c r="J665" t="str">
        <f>IF(LEN(VLOOKUP(表1[[#This Row],[id]],数据引用!A:C,3,FALSE))&gt;0,VLOOKUP(表1[[#This Row],[id]],数据引用!A:C,3,FALSE),"")</f>
        <v>DOVE</v>
      </c>
      <c r="K665" t="s">
        <v>1202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font-size:12;"&gt;DOVE&lt;/text&gt;&lt;text transform="matrix(1 0 0 1 0 10.3205)" style="fill:#FFFFFF; font-family:'FZXS12--GB1-0'; font-size:12;"&gt;DOVE&lt;/text&gt;&lt;/svg&gt;</v>
      </c>
      <c r="P665" s="5"/>
    </row>
    <row r="666" spans="1:16" ht="14.25" customHeight="1">
      <c r="A666">
        <v>929</v>
      </c>
      <c r="B666">
        <v>0</v>
      </c>
      <c r="C666">
        <v>0</v>
      </c>
      <c r="E666">
        <v>1</v>
      </c>
      <c r="F666">
        <v>12</v>
      </c>
      <c r="G666" s="1" t="s">
        <v>628</v>
      </c>
      <c r="H666" s="16" t="s">
        <v>3298</v>
      </c>
      <c r="I666" s="18"/>
      <c r="J666" t="str">
        <f>IF(LEN(VLOOKUP(表1[[#This Row],[id]],数据引用!A:C,3,FALSE))&gt;0,VLOOKUP(表1[[#This Row],[id]],数据引用!A:C,3,FALSE),"")</f>
        <v>你无法造成伤害，出口直接解锁</v>
      </c>
      <c r="K666" t="s">
        <v>1202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font-size:12;"&gt;你无法造成伤害，出口直接解锁&lt;/text&gt;&lt;text transform="matrix(1 0 0 1 0 10.3205)" style="fill:#FFFFFF; font-family:'FZXS12--GB1-0'; font-size:12;"&gt;你无法造成伤害，出口直接解锁&lt;/text&gt;&lt;/svg&gt;</v>
      </c>
      <c r="P666" s="5"/>
    </row>
    <row r="667" spans="1:16" ht="14.25" customHeight="1">
      <c r="A667">
        <v>930</v>
      </c>
      <c r="B667">
        <v>0</v>
      </c>
      <c r="C667">
        <v>0</v>
      </c>
      <c r="E667">
        <v>1</v>
      </c>
      <c r="F667">
        <v>12</v>
      </c>
      <c r="G667" s="1" t="s">
        <v>629</v>
      </c>
      <c r="H667" s="16" t="s">
        <v>3299</v>
      </c>
      <c r="I667" s="18"/>
      <c r="J667" t="str">
        <f>IF(LEN(VLOOKUP(表1[[#This Row],[id]],数据引用!A:C,3,FALSE))&gt;0,VLOOKUP(表1[[#This Row],[id]],数据引用!A:C,3,FALSE),"")</f>
        <v>和平主义者</v>
      </c>
      <c r="K667" t="s">
        <v>1202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font-size:12;"&gt;和平主义者&lt;/text&gt;&lt;text transform="matrix(1 0 0 1 0 10.3205)" style="fill:#FFFFFF; font-family:'FZXS12--GB1-0'; font-size:12;"&gt;和平主义者&lt;/text&gt;&lt;/svg&gt;</v>
      </c>
      <c r="P667" s="5"/>
    </row>
    <row r="668" spans="1:16" ht="14.25" customHeight="1">
      <c r="A668">
        <v>931</v>
      </c>
      <c r="B668">
        <v>0</v>
      </c>
      <c r="C668">
        <v>0</v>
      </c>
      <c r="E668">
        <v>1</v>
      </c>
      <c r="F668">
        <v>12</v>
      </c>
      <c r="G668" s="1" t="s">
        <v>630</v>
      </c>
      <c r="H668" s="16" t="s">
        <v>3300</v>
      </c>
      <c r="I668" s="18"/>
      <c r="J668" t="str">
        <f>IF(LEN(VLOOKUP(表1[[#This Row],[id]],数据引用!A:C,3,FALSE))&gt;0,VLOOKUP(表1[[#This Row],[id]],数据引用!A:C,3,FALSE),"")</f>
        <v>ELI</v>
      </c>
      <c r="K668" t="s">
        <v>1202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font-size:12;"&gt;ELI&lt;/text&gt;&lt;text transform="matrix(1 0 0 1 0 10.3205)" style="fill:#FFFFFF; font-family:'FZXS12--GB1-0'; font-size:12;"&gt;ELI&lt;/text&gt;&lt;/svg&gt;</v>
      </c>
      <c r="P668" s="5"/>
    </row>
    <row r="669" spans="1:16" ht="14.25" customHeight="1">
      <c r="A669">
        <v>932</v>
      </c>
      <c r="B669">
        <v>0</v>
      </c>
      <c r="C669">
        <v>0</v>
      </c>
      <c r="E669">
        <v>1</v>
      </c>
      <c r="F669">
        <v>12</v>
      </c>
      <c r="G669" s="1" t="s">
        <v>631</v>
      </c>
      <c r="H669" s="16" t="s">
        <v>3301</v>
      </c>
      <c r="I669" s="18"/>
      <c r="J669" t="str">
        <f>IF(LEN(VLOOKUP(表1[[#This Row],[id]],数据引用!A:C,3,FALSE))&gt;0,VLOOKUP(表1[[#This Row],[id]],数据引用!A:C,3,FALSE),"")</f>
        <v>无限炸弹</v>
      </c>
      <c r="K669" t="s">
        <v>1202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font-size:12;"&gt;无限炸弹&lt;/text&gt;&lt;text transform="matrix(1 0 0 1 0 10.3205)" style="fill:#FFFFFF; font-family:'FZXS12--GB1-0'; font-size:12;"&gt;无限炸弹&lt;/text&gt;&lt;/svg&gt;</v>
      </c>
      <c r="P669" s="5"/>
    </row>
    <row r="670" spans="1:16" ht="14.25" customHeight="1">
      <c r="A670">
        <v>933</v>
      </c>
      <c r="B670">
        <v>0</v>
      </c>
      <c r="C670">
        <v>0</v>
      </c>
      <c r="E670">
        <v>1</v>
      </c>
      <c r="F670">
        <v>12</v>
      </c>
      <c r="G670" s="1" t="s">
        <v>632</v>
      </c>
      <c r="H670" s="16" t="s">
        <v>3302</v>
      </c>
      <c r="I670" s="18"/>
      <c r="J670" t="str">
        <f>IF(LEN(VLOOKUP(表1[[#This Row],[id]],数据引用!A:C,3,FALSE))&gt;0,VLOOKUP(表1[[#This Row],[id]],数据引用!A:C,3,FALSE),"")</f>
        <v>可将炸弹踢向敌人</v>
      </c>
      <c r="K670" t="s">
        <v>1202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font-size:12;"&gt;可将炸弹踢向敌人&lt;/text&gt;&lt;text transform="matrix(1 0 0 1 0 10.3205)" style="fill:#FFFFFF; font-family:'FZXS12--GB1-0'; font-size:12;"&gt;可将炸弹踢向敌人&lt;/text&gt;&lt;/svg&gt;</v>
      </c>
      <c r="P670" s="5"/>
    </row>
    <row r="671" spans="1:16" ht="14.25" customHeight="1">
      <c r="A671">
        <v>934</v>
      </c>
      <c r="B671">
        <v>0</v>
      </c>
      <c r="C671">
        <v>0</v>
      </c>
      <c r="E671">
        <v>1</v>
      </c>
      <c r="F671">
        <v>12</v>
      </c>
      <c r="G671" s="1" t="s">
        <v>633</v>
      </c>
      <c r="H671" s="16" t="s">
        <v>3303</v>
      </c>
      <c r="I671" s="18"/>
      <c r="J671" t="str">
        <f>IF(LEN(VLOOKUP(表1[[#This Row],[id]],数据引用!A:C,3,FALSE))&gt;0,VLOOKUP(表1[[#This Row],[id]],数据引用!A:C,3,FALSE),"")</f>
        <v>DORIAN</v>
      </c>
      <c r="K671" t="s">
        <v>1202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font-size:12;"&gt;DORIAN&lt;/text&gt;&lt;text transform="matrix(1 0 0 1 0 10.3205)" style="fill:#FFFFFF; font-family:'FZXS12--GB1-0'; font-size:12;"&gt;DORIAN&lt;/text&gt;&lt;/svg&gt;</v>
      </c>
      <c r="P671" s="5"/>
    </row>
    <row r="672" spans="1:16" ht="14.25" customHeight="1">
      <c r="A672">
        <v>935</v>
      </c>
      <c r="B672">
        <v>0</v>
      </c>
      <c r="C672">
        <v>0</v>
      </c>
      <c r="E672">
        <v>1</v>
      </c>
      <c r="F672">
        <v>12</v>
      </c>
      <c r="G672" s="1" t="s">
        <v>634</v>
      </c>
      <c r="H672" s="16" t="s">
        <v>3304</v>
      </c>
      <c r="I672" s="18"/>
      <c r="J672" t="str">
        <f>IF(LEN(VLOOKUP(表1[[#This Row],[id]],数据引用!A:C,3,FALSE))&gt;0,VLOOKUP(表1[[#This Row],[id]],数据引用!A:C,3,FALSE),"")</f>
        <v>携带受诅咒的跳跃之靴</v>
      </c>
      <c r="K672" t="s">
        <v>1202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font-size:12;"&gt;携带受诅咒的跳跃之靴&lt;/text&gt;&lt;text transform="matrix(1 0 0 1 0 10.3205)" style="fill:#FFFFFF; font-family:'FZXS12--GB1-0'; font-size:12;"&gt;携带受诅咒的跳跃之靴&lt;/text&gt;&lt;/svg&gt;</v>
      </c>
      <c r="P672" s="5"/>
    </row>
    <row r="673" spans="1:16" ht="14.25" customHeight="1">
      <c r="A673">
        <v>936</v>
      </c>
      <c r="B673">
        <v>0</v>
      </c>
      <c r="C673">
        <v>0</v>
      </c>
      <c r="E673">
        <v>1</v>
      </c>
      <c r="F673">
        <v>12</v>
      </c>
      <c r="G673" s="1" t="s">
        <v>635</v>
      </c>
      <c r="H673" s="16" t="s">
        <v>3305</v>
      </c>
      <c r="I673" s="18"/>
      <c r="J673" t="str">
        <f>IF(LEN(VLOOKUP(表1[[#This Row],[id]],数据引用!A:C,3,FALSE))&gt;0,VLOOKUP(表1[[#This Row],[id]],数据引用!A:C,3,FALSE),"")</f>
        <v>缓慢移动会受到伤害</v>
      </c>
      <c r="K673" t="s">
        <v>1202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font-size:12;"&gt;缓慢移动会受到伤害&lt;/text&gt;&lt;text transform="matrix(1 0 0 1 0 10.3205)" style="fill:#FFFFFF; font-family:'FZXS12--GB1-0'; font-size:12;"&gt;缓慢移动会受到伤害&lt;/text&gt;&lt;/svg&gt;</v>
      </c>
      <c r="P673" s="5"/>
    </row>
    <row r="674" spans="1:16" ht="14.25" customHeight="1">
      <c r="A674">
        <v>937</v>
      </c>
      <c r="B674">
        <v>0</v>
      </c>
      <c r="C674">
        <v>0</v>
      </c>
      <c r="E674">
        <v>1</v>
      </c>
      <c r="F674">
        <v>12</v>
      </c>
      <c r="G674" s="1" t="s">
        <v>636</v>
      </c>
      <c r="H674" s="16" t="s">
        <v>3306</v>
      </c>
      <c r="I674" s="18"/>
      <c r="J674" t="str">
        <f>IF(LEN(VLOOKUP(表1[[#This Row],[id]],数据引用!A:C,3,FALSE))&gt;0,VLOOKUP(表1[[#This Row],[id]],数据引用!A:C,3,FALSE),"")</f>
        <v>MELODY</v>
      </c>
      <c r="K674" t="s">
        <v>1202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font-size:12;"&gt;MELODY&lt;/text&gt;&lt;text transform="matrix(1 0 0 1 0 10.3205)" style="fill:#FFFFFF; font-family:'FZXS12--GB1-0'; font-size:12;"&gt;MELODY&lt;/text&gt;&lt;/svg&gt;</v>
      </c>
      <c r="P674" s="5"/>
    </row>
    <row r="675" spans="1:16" ht="14.25" customHeight="1">
      <c r="A675">
        <v>938</v>
      </c>
      <c r="B675">
        <v>0</v>
      </c>
      <c r="C675">
        <v>0</v>
      </c>
      <c r="E675">
        <v>1</v>
      </c>
      <c r="F675">
        <v>12</v>
      </c>
      <c r="G675" s="1" t="s">
        <v>637</v>
      </c>
      <c r="H675" s="16" t="s">
        <v>3307</v>
      </c>
      <c r="I675" s="18"/>
      <c r="J675" t="str">
        <f>IF(LEN(VLOOKUP(表1[[#This Row],[id]],数据引用!A:C,3,FALSE))&gt;0,VLOOKUP(表1[[#This Row],[id]],数据引用!A:C,3,FALSE),"")</f>
        <v>在敌人身边</v>
      </c>
      <c r="K675" t="s">
        <v>1202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font-size:12;"&gt;在敌人身边&lt;/text&gt;&lt;text transform="matrix(1 0 0 1 0 10.3205)" style="fill:#FFFFFF; font-family:'FZXS12--GB1-0'; font-size:12;"&gt;在敌人身边&lt;/text&gt;&lt;/svg&gt;</v>
      </c>
      <c r="P675" s="5"/>
    </row>
    <row r="676" spans="1:16" ht="14.25" customHeight="1">
      <c r="A676">
        <v>939</v>
      </c>
      <c r="B676">
        <v>0</v>
      </c>
      <c r="C676">
        <v>0</v>
      </c>
      <c r="E676">
        <v>1</v>
      </c>
      <c r="F676">
        <v>12</v>
      </c>
      <c r="G676" s="1" t="s">
        <v>638</v>
      </c>
      <c r="H676" s="16" t="s">
        <v>3308</v>
      </c>
      <c r="I676" s="18"/>
      <c r="J676" t="str">
        <f>IF(LEN(VLOOKUP(表1[[#This Row],[id]],数据引用!A:C,3,FALSE))&gt;0,VLOOKUP(表1[[#This Row],[id]],数据引用!A:C,3,FALSE),"")</f>
        <v>弹奏你的金鲁特琴</v>
      </c>
      <c r="K676" t="s">
        <v>1202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font-size:12;"&gt;弹奏你的金鲁特琴&lt;/text&gt;&lt;text transform="matrix(1 0 0 1 0 10.3205)" style="fill:#FFFFFF; font-family:'FZXS12--GB1-0'; font-size:12;"&gt;弹奏你的金鲁特琴&lt;/text&gt;&lt;/svg&gt;</v>
      </c>
      <c r="P676" s="5"/>
    </row>
    <row r="677" spans="1:16" ht="14.25" customHeight="1">
      <c r="A677">
        <v>940</v>
      </c>
      <c r="B677">
        <v>0</v>
      </c>
      <c r="C677">
        <v>0</v>
      </c>
      <c r="E677">
        <v>1</v>
      </c>
      <c r="F677">
        <v>12</v>
      </c>
      <c r="G677" s="1" t="s">
        <v>639</v>
      </c>
      <c r="H677" s="16" t="s">
        <v>3309</v>
      </c>
      <c r="I677" s="18"/>
      <c r="J677" t="str">
        <f>IF(LEN(VLOOKUP(表1[[#This Row],[id]],数据引用!A:C,3,FALSE))&gt;0,VLOOKUP(表1[[#This Row],[id]],数据引用!A:C,3,FALSE),"")</f>
        <v>CODA</v>
      </c>
      <c r="K677" t="s">
        <v>1202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font-size:12;"&gt;CODA&lt;/text&gt;&lt;text transform="matrix(1 0 0 1 0 10.3205)" style="fill:#FFFFFF; font-family:'FZXS12--GB1-0'; font-size:12;"&gt;CODA&lt;/text&gt;&lt;/svg&gt;</v>
      </c>
      <c r="P677" s="5"/>
    </row>
    <row r="678" spans="1:16" ht="14.25" customHeight="1">
      <c r="A678">
        <v>941</v>
      </c>
      <c r="B678">
        <v>0</v>
      </c>
      <c r="C678">
        <v>0</v>
      </c>
      <c r="E678">
        <v>1</v>
      </c>
      <c r="F678">
        <v>12</v>
      </c>
      <c r="G678" s="1" t="s">
        <v>640</v>
      </c>
      <c r="H678" s="16" t="s">
        <v>3310</v>
      </c>
      <c r="I678" s="18"/>
      <c r="J678" t="str">
        <f>IF(LEN(VLOOKUP(表1[[#This Row],[id]],数据引用!A:C,3,FALSE))&gt;0,VLOOKUP(表1[[#This Row],[id]],数据引用!A:C,3,FALSE),"")</f>
        <v>CODA=ARIA+BOLT+MONK</v>
      </c>
      <c r="K678" t="s">
        <v>1202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font-size:12;"&gt;CODA=ARIA+BOLT+MONK&lt;/text&gt;&lt;text transform="matrix(1 0 0 1 0 10.3205)" style="fill:#FFFFFF; font-family:'FZXS12--GB1-0'; font-size:12;"&gt;CODA=ARIA+BOLT+MONK&lt;/text&gt;&lt;/svg&gt;</v>
      </c>
      <c r="P678" s="5"/>
    </row>
    <row r="679" spans="1:16" ht="14.25" customHeight="1">
      <c r="A679">
        <v>942</v>
      </c>
      <c r="B679">
        <v>0</v>
      </c>
      <c r="C679">
        <v>0</v>
      </c>
      <c r="E679">
        <v>1</v>
      </c>
      <c r="F679">
        <v>12</v>
      </c>
      <c r="G679" s="1" t="s">
        <v>641</v>
      </c>
      <c r="H679" s="16" t="s">
        <v>3311</v>
      </c>
      <c r="I679" s="18"/>
      <c r="J679" t="str">
        <f>IF(LEN(VLOOKUP(表1[[#This Row],[id]],数据引用!A:C,3,FALSE))&gt;0,VLOOKUP(表1[[#This Row],[id]],数据引用!A:C,3,FALSE),"")</f>
        <v>能通关就是个奇迹</v>
      </c>
      <c r="K679" t="s">
        <v>1202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font-size:12;"&gt;能通关就是个奇迹&lt;/text&gt;&lt;text transform="matrix(1 0 0 1 0 10.3205)" style="fill:#FFFFFF; font-family:'FZXS12--GB1-0'; font-size:12;"&gt;能通关就是个奇迹&lt;/text&gt;&lt;/svg&gt;</v>
      </c>
      <c r="P679" s="5"/>
    </row>
    <row r="680" spans="1:16" ht="14.25" customHeight="1">
      <c r="A680">
        <v>943</v>
      </c>
      <c r="B680">
        <v>0</v>
      </c>
      <c r="C680">
        <v>0</v>
      </c>
      <c r="E680">
        <v>1</v>
      </c>
      <c r="F680">
        <v>12</v>
      </c>
      <c r="G680" s="1" t="s">
        <v>642</v>
      </c>
      <c r="H680" s="16" t="s">
        <v>3312</v>
      </c>
      <c r="I680" s="18"/>
      <c r="J680" t="str">
        <f>IF(LEN(VLOOKUP(表1[[#This Row],[id]],数据引用!A:C,3,FALSE))&gt;0,VLOOKUP(表1[[#This Row],[id]],数据引用!A:C,3,FALSE),"")</f>
        <v>全角色模式</v>
      </c>
      <c r="K680" t="s">
        <v>1202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P680" s="5"/>
    </row>
    <row r="681" spans="1:16" ht="14.25" customHeight="1">
      <c r="A681">
        <v>944</v>
      </c>
      <c r="B681">
        <v>0</v>
      </c>
      <c r="C681">
        <v>0</v>
      </c>
      <c r="E681">
        <v>1</v>
      </c>
      <c r="F681">
        <v>12</v>
      </c>
      <c r="G681" s="1" t="s">
        <v>643</v>
      </c>
      <c r="H681" s="16" t="s">
        <v>3313</v>
      </c>
      <c r="I681" s="18"/>
      <c r="J681" t="str">
        <f>IF(LEN(VLOOKUP(表1[[#This Row],[id]],数据引用!A:C,3,FALSE))&gt;0,VLOOKUP(表1[[#This Row],[id]],数据引用!A:C,3,FALSE),"")</f>
        <v>在全区域模式</v>
      </c>
      <c r="K681" t="s">
        <v>1202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font-size:12;"&gt;在全区域模式&lt;/text&gt;&lt;text transform="matrix(1 0 0 1 0 10.3205)" style="fill:#FFFFFF; font-family:'FZXS12--GB1-0'; font-size:12;"&gt;在全区域模式&lt;/text&gt;&lt;/svg&gt;</v>
      </c>
      <c r="P681" s="5"/>
    </row>
    <row r="682" spans="1:16" ht="14.25" customHeight="1">
      <c r="A682">
        <v>945</v>
      </c>
      <c r="B682">
        <v>0</v>
      </c>
      <c r="C682">
        <v>0</v>
      </c>
      <c r="E682">
        <v>1</v>
      </c>
      <c r="F682">
        <v>12</v>
      </c>
      <c r="G682" s="1" t="s">
        <v>644</v>
      </c>
      <c r="H682" s="16" t="s">
        <v>3314</v>
      </c>
      <c r="I682" s="18"/>
      <c r="J682" t="str">
        <f>IF(LEN(VLOOKUP(表1[[#This Row],[id]],数据引用!A:C,3,FALSE))&gt;0,VLOOKUP(表1[[#This Row],[id]],数据引用!A:C,3,FALSE),"")</f>
        <v>依次使用所有角色</v>
      </c>
      <c r="K682" t="s">
        <v>1202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font-size:12;"&gt;依次使用所有角色&lt;/text&gt;&lt;text transform="matrix(1 0 0 1 0 10.3205)" style="fill:#FFFFFF; font-family:'FZXS12--GB1-0'; font-size:12;"&gt;依次使用所有角色&lt;/text&gt;&lt;/svg&gt;</v>
      </c>
      <c r="P682" s="5"/>
    </row>
    <row r="683" spans="1:16" ht="14.25" customHeight="1">
      <c r="A683">
        <v>946</v>
      </c>
      <c r="B683">
        <v>0</v>
      </c>
      <c r="C683">
        <v>0</v>
      </c>
      <c r="E683">
        <v>1</v>
      </c>
      <c r="F683">
        <v>12</v>
      </c>
      <c r="G683" s="1" t="s">
        <v>134</v>
      </c>
      <c r="H683" s="16" t="s">
        <v>3315</v>
      </c>
      <c r="I683" s="18"/>
      <c r="J683" t="str">
        <f>IF(LEN(VLOOKUP(表1[[#This Row],[id]],数据引用!A:C,3,FALSE))&gt;0,VLOOKUP(表1[[#This Row],[id]],数据引用!A:C,3,FALSE),"")</f>
        <v>故事模式！</v>
      </c>
      <c r="K683" t="s">
        <v>1202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683" s="5"/>
    </row>
    <row r="684" spans="1:16" ht="14.25" customHeight="1">
      <c r="A684">
        <v>947</v>
      </c>
      <c r="B684">
        <v>0</v>
      </c>
      <c r="C684">
        <v>0</v>
      </c>
      <c r="E684">
        <v>1</v>
      </c>
      <c r="F684">
        <v>12</v>
      </c>
      <c r="G684" s="1" t="s">
        <v>645</v>
      </c>
      <c r="H684" s="16" t="s">
        <v>3316</v>
      </c>
      <c r="I684" s="18"/>
      <c r="J684" t="str">
        <f>IF(LEN(VLOOKUP(表1[[#This Row],[id]],数据引用!A:C,3,FALSE))&gt;0,VLOOKUP(表1[[#This Row],[id]],数据引用!A:C,3,FALSE),"")</f>
        <v>依次使用CADENCE，MELODY，ARIA完成故事模式</v>
      </c>
      <c r="K684" t="s">
        <v>1202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font-size:12;"&gt;依次使用CADENCE，MELODY，ARIA完成故事模式&lt;/text&gt;&lt;text transform="matrix(1 0 0 1 0 10.3205)" style="fill:#FFFFFF; font-family:'FZXS12--GB1-0'; font-size:12;"&gt;依次使用CADENCE，MELODY，ARIA完成故事模式&lt;/text&gt;&lt;/svg&gt;</v>
      </c>
      <c r="P684" s="5"/>
    </row>
    <row r="685" spans="1:16" ht="14.25" customHeight="1">
      <c r="A685">
        <v>948</v>
      </c>
      <c r="B685">
        <v>0</v>
      </c>
      <c r="C685">
        <v>0</v>
      </c>
      <c r="E685">
        <v>1</v>
      </c>
      <c r="F685">
        <v>12</v>
      </c>
      <c r="G685" s="1" t="s">
        <v>646</v>
      </c>
      <c r="H685" s="16" t="s">
        <v>3317</v>
      </c>
      <c r="I685" s="18"/>
      <c r="J685" t="str">
        <f>IF(LEN(VLOOKUP(表1[[#This Row],[id]],数据引用!A:C,3,FALSE))&gt;0,VLOOKUP(表1[[#This Row],[id]],数据引用!A:C,3,FALSE),"")</f>
        <v>中途不能中断</v>
      </c>
      <c r="K685" t="s">
        <v>1202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font-size:12;"&gt;中途不能中断&lt;/text&gt;&lt;text transform="matrix(1 0 0 1 0 10.3205)" style="fill:#FFFFFF; font-family:'FZXS12--GB1-0'; font-size:12;"&gt;中途不能中断&lt;/text&gt;&lt;/svg&gt;</v>
      </c>
      <c r="P685" s="5"/>
    </row>
    <row r="686" spans="1:16" ht="14.25" customHeight="1">
      <c r="A686">
        <v>949</v>
      </c>
      <c r="B686">
        <v>0</v>
      </c>
      <c r="C686">
        <v>0</v>
      </c>
      <c r="E686">
        <v>1</v>
      </c>
      <c r="F686">
        <v>12</v>
      </c>
      <c r="G686" s="1" t="s">
        <v>647</v>
      </c>
      <c r="H686" s="16" t="s">
        <v>3318</v>
      </c>
      <c r="I686" s="18"/>
      <c r="J686" t="str">
        <f>IF(LEN(VLOOKUP(表1[[#This Row],[id]],数据引用!A:C,3,FALSE))&gt;0,VLOOKUP(表1[[#This Row],[id]],数据引用!A:C,3,FALSE),"")</f>
        <v>不朽模式：</v>
      </c>
      <c r="K686" t="s">
        <v>1202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font-size:12;"&gt;不朽模式：&lt;/text&gt;&lt;text transform="matrix(1 0 0 1 0 10.3205)" style="fill:#FFFFFF; font-family:'FZXS12--GB1-0'; font-size:12;"&gt;不朽模式：&lt;/text&gt;&lt;/svg&gt;</v>
      </c>
      <c r="P686" s="5"/>
    </row>
    <row r="687" spans="1:16" ht="14.25" customHeight="1">
      <c r="A687">
        <v>950</v>
      </c>
      <c r="B687">
        <v>0</v>
      </c>
      <c r="C687">
        <v>0</v>
      </c>
      <c r="E687">
        <v>1</v>
      </c>
      <c r="F687">
        <v>12</v>
      </c>
      <c r="G687" s="1" t="s">
        <v>648</v>
      </c>
      <c r="H687" s="16" t="s">
        <v>3319</v>
      </c>
      <c r="I687" s="18"/>
      <c r="J687" t="str">
        <f>IF(LEN(VLOOKUP(表1[[#This Row],[id]],数据引用!A:C,3,FALSE))&gt;0,VLOOKUP(表1[[#This Row],[id]],数据引用!A:C,3,FALSE),"")</f>
        <v>在不死亡的情况下完成所有区域</v>
      </c>
      <c r="K687" t="s">
        <v>1202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P687" s="5"/>
    </row>
    <row r="688" spans="1:16" ht="14.25" customHeight="1">
      <c r="A688">
        <v>951</v>
      </c>
      <c r="B688">
        <v>0</v>
      </c>
      <c r="C688">
        <v>0</v>
      </c>
      <c r="E688">
        <v>1</v>
      </c>
      <c r="F688">
        <v>12</v>
      </c>
      <c r="G688" s="1" t="s">
        <v>649</v>
      </c>
      <c r="H688" s="16" t="s">
        <v>3320</v>
      </c>
      <c r="I688" s="18"/>
      <c r="J688" t="str">
        <f>IF(LEN(VLOOKUP(表1[[#This Row],[id]],数据引用!A:C,3,FALSE))&gt;0,VLOOKUP(表1[[#This Row],[id]],数据引用!A:C,3,FALSE),"")</f>
        <v>全区域模式：一次性完成所有区域！</v>
      </c>
      <c r="K688" t="s">
        <v>1202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font-size:12;"&gt;全区域模式：一次性完成所有区域！&lt;/text&gt;&lt;text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customHeight="1">
      <c r="A689">
        <v>952</v>
      </c>
      <c r="B689">
        <v>0</v>
      </c>
      <c r="C689">
        <v>0</v>
      </c>
      <c r="E689">
        <v>1</v>
      </c>
      <c r="F689">
        <v>12</v>
      </c>
      <c r="G689" s="1" t="s">
        <v>650</v>
      </c>
      <c r="H689" s="16" t="s">
        <v>3321</v>
      </c>
      <c r="I689" s="18"/>
      <c r="J689" t="str">
        <f>IF(LEN(VLOOKUP(表1[[#This Row],[id]],数据引用!A:C,3,FALSE))&gt;0,VLOOKUP(表1[[#This Row],[id]],数据引用!A:C,3,FALSE),"")</f>
        <v>所有的升级都将可用</v>
      </c>
      <c r="K689" t="s">
        <v>1202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P689" s="5"/>
    </row>
    <row r="690" spans="1:16" ht="14.25" customHeight="1">
      <c r="A690">
        <v>953</v>
      </c>
      <c r="B690">
        <v>0</v>
      </c>
      <c r="C690">
        <v>0</v>
      </c>
      <c r="E690">
        <v>1</v>
      </c>
      <c r="F690">
        <v>12</v>
      </c>
      <c r="G690" s="1" t="s">
        <v>651</v>
      </c>
      <c r="H690" s="16" t="s">
        <v>3322</v>
      </c>
      <c r="I690" s="18"/>
      <c r="J690" t="str">
        <f>IF(LEN(VLOOKUP(表1[[#This Row],[id]],数据引用!A:C,3,FALSE))&gt;0,VLOOKUP(表1[[#This Row],[id]],数据引用!A:C,3,FALSE),"")</f>
        <v>但你的生命值会很低</v>
      </c>
      <c r="K690" t="s">
        <v>1202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P690" s="5"/>
    </row>
    <row r="691" spans="1:16" ht="14.25" customHeight="1">
      <c r="A691">
        <v>954</v>
      </c>
      <c r="B691">
        <v>0</v>
      </c>
      <c r="C691">
        <v>0</v>
      </c>
      <c r="E691">
        <v>1</v>
      </c>
      <c r="F691">
        <v>12</v>
      </c>
      <c r="G691" s="1" t="s">
        <v>652</v>
      </c>
      <c r="H691" s="16" t="s">
        <v>3323</v>
      </c>
      <c r="I691" s="18"/>
      <c r="J691" t="str">
        <f>IF(LEN(VLOOKUP(表1[[#This Row],[id]],数据引用!A:C,3,FALSE))&gt;0,VLOOKUP(表1[[#This Row],[id]],数据引用!A:C,3,FALSE),"")</f>
        <v>每日挑战：一次性完成所有区域！</v>
      </c>
      <c r="K691" t="s">
        <v>1202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font-size:12;"&gt;每日挑战：一次性完成所有区域！&lt;/text&gt;&lt;text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customHeight="1">
      <c r="A692">
        <v>955</v>
      </c>
      <c r="B692">
        <v>0</v>
      </c>
      <c r="C692">
        <v>0</v>
      </c>
      <c r="E692">
        <v>1</v>
      </c>
      <c r="F692">
        <v>12</v>
      </c>
      <c r="G692" s="1" t="s">
        <v>653</v>
      </c>
      <c r="H692" s="16" t="s">
        <v>3324</v>
      </c>
      <c r="I692" s="18"/>
      <c r="J692" t="str">
        <f>IF(LEN(VLOOKUP(表1[[#This Row],[id]],数据引用!A:C,3,FALSE))&gt;0,VLOOKUP(表1[[#This Row],[id]],数据引用!A:C,3,FALSE),"")</f>
        <v>所有人会都会挑战相同的地下城</v>
      </c>
      <c r="K692" t="s">
        <v>1202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692" s="5"/>
    </row>
    <row r="693" spans="1:16" ht="14.25" customHeight="1">
      <c r="A693">
        <v>956</v>
      </c>
      <c r="B693">
        <v>0</v>
      </c>
      <c r="C693">
        <v>0</v>
      </c>
      <c r="E693">
        <v>1</v>
      </c>
      <c r="F693">
        <v>12</v>
      </c>
      <c r="G693" s="1" t="s">
        <v>2465</v>
      </c>
      <c r="H693" s="16" t="s">
        <v>3325</v>
      </c>
      <c r="I693" s="18"/>
      <c r="J693" t="str">
        <f>IF(LEN(VLOOKUP(表1[[#This Row],[id]],数据引用!A:C,3,FALSE))&gt;0,VLOOKUP(表1[[#This Row],[id]],数据引用!A:C,3,FALSE),"")</f>
        <v>每日挑战下午16:00重置</v>
      </c>
      <c r="K693" t="s">
        <v>1202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font-size:12;"&gt;每日挑战下午16:00重置&lt;/text&gt;&lt;text transform="matrix(1 0 0 1 0 10.3205)" style="fill:#FFFFFF; font-family:'FZXS12--GB1-0'; font-size:12;"&gt;每日挑战下午16:00重置&lt;/text&gt;&lt;/svg&gt;</v>
      </c>
      <c r="P693" s="5"/>
    </row>
    <row r="694" spans="1:16" ht="14.25" customHeight="1">
      <c r="A694">
        <v>957</v>
      </c>
      <c r="B694">
        <v>0</v>
      </c>
      <c r="C694">
        <v>0</v>
      </c>
      <c r="E694">
        <v>1</v>
      </c>
      <c r="F694">
        <v>12</v>
      </c>
      <c r="G694" s="1" t="s">
        <v>655</v>
      </c>
      <c r="H694" s="16" t="s">
        <v>3326</v>
      </c>
      <c r="I694" s="18"/>
      <c r="J694" t="str">
        <f>IF(LEN(VLOOKUP(表1[[#This Row],[id]],数据引用!A:C,3,FALSE))&gt;0,VLOOKUP(表1[[#This Row],[id]],数据引用!A:C,3,FALSE),"")</f>
        <v>Boss练习</v>
      </c>
      <c r="K694" t="s">
        <v>1202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694" s="5"/>
    </row>
    <row r="695" spans="1:16" ht="14.25" customHeight="1">
      <c r="A695">
        <v>958</v>
      </c>
      <c r="B695">
        <v>0</v>
      </c>
      <c r="C695">
        <v>0</v>
      </c>
      <c r="E695">
        <v>1</v>
      </c>
      <c r="F695">
        <v>12</v>
      </c>
      <c r="G695" s="1" t="s">
        <v>656</v>
      </c>
      <c r="H695" s="16" t="s">
        <v>3327</v>
      </c>
      <c r="I695" s="18"/>
      <c r="J695" t="str">
        <f>IF(LEN(VLOOKUP(表1[[#This Row],[id]],数据引用!A:C,3,FALSE))&gt;0,VLOOKUP(表1[[#This Row],[id]],数据引用!A:C,3,FALSE),"")</f>
        <v>花费3钻石</v>
      </c>
      <c r="K695" t="s">
        <v>1202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5" s="5"/>
    </row>
    <row r="696" spans="1:16" ht="14.25" customHeight="1">
      <c r="A696">
        <v>959</v>
      </c>
      <c r="B696">
        <v>0</v>
      </c>
      <c r="C696">
        <v>0</v>
      </c>
      <c r="E696">
        <v>1</v>
      </c>
      <c r="F696">
        <v>12</v>
      </c>
      <c r="G696" s="1" t="s">
        <v>657</v>
      </c>
      <c r="H696" s="16" t="s">
        <v>3328</v>
      </c>
      <c r="I696" s="18"/>
      <c r="J696" t="str">
        <f>IF(LEN(VLOOKUP(表1[[#This Row],[id]],数据引用!A:C,3,FALSE))&gt;0,VLOOKUP(表1[[#This Row],[id]],数据引用!A:C,3,FALSE),"")</f>
        <v>来解锁</v>
      </c>
      <c r="K696" t="s">
        <v>1202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6" s="5"/>
    </row>
    <row r="697" spans="1:16" ht="14.25" customHeight="1">
      <c r="A697">
        <v>960</v>
      </c>
      <c r="B697">
        <v>0</v>
      </c>
      <c r="C697">
        <v>0</v>
      </c>
      <c r="E697">
        <v>1</v>
      </c>
      <c r="F697">
        <v>12</v>
      </c>
      <c r="G697" s="1" t="s">
        <v>658</v>
      </c>
      <c r="H697" s="16" t="s">
        <v>3329</v>
      </c>
      <c r="I697" s="18"/>
      <c r="J697" t="str">
        <f>IF(LEN(VLOOKUP(表1[[#This Row],[id]],数据引用!A:C,3,FALSE))&gt;0,VLOOKUP(表1[[#This Row],[id]],数据引用!A:C,3,FALSE),"")</f>
        <v>miniboss练习</v>
      </c>
      <c r="K697" t="s">
        <v>1202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697" s="5"/>
    </row>
    <row r="698" spans="1:16" ht="14.25" customHeight="1">
      <c r="A698">
        <v>961</v>
      </c>
      <c r="B698">
        <v>0</v>
      </c>
      <c r="C698">
        <v>0</v>
      </c>
      <c r="E698">
        <v>1</v>
      </c>
      <c r="F698">
        <v>12</v>
      </c>
      <c r="G698" s="1" t="s">
        <v>659</v>
      </c>
      <c r="H698" s="16" t="s">
        <v>3330</v>
      </c>
      <c r="I698" s="18"/>
      <c r="J698" t="str">
        <f>IF(LEN(VLOOKUP(表1[[#This Row],[id]],数据引用!A:C,3,FALSE))&gt;0,VLOOKUP(表1[[#This Row],[id]],数据引用!A:C,3,FALSE),"")</f>
        <v>花费3钻石</v>
      </c>
      <c r="K698" t="s">
        <v>1202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8" s="5"/>
    </row>
    <row r="699" spans="1:16" ht="14.25" customHeight="1">
      <c r="A699">
        <v>962</v>
      </c>
      <c r="B699">
        <v>0</v>
      </c>
      <c r="C699">
        <v>0</v>
      </c>
      <c r="E699">
        <v>1</v>
      </c>
      <c r="F699">
        <v>12</v>
      </c>
      <c r="G699" s="1" t="s">
        <v>657</v>
      </c>
      <c r="H699" s="16" t="s">
        <v>3331</v>
      </c>
      <c r="I699" s="18"/>
      <c r="J699" t="str">
        <f>IF(LEN(VLOOKUP(表1[[#This Row],[id]],数据引用!A:C,3,FALSE))&gt;0,VLOOKUP(表1[[#This Row],[id]],数据引用!A:C,3,FALSE),"")</f>
        <v>来解锁</v>
      </c>
      <c r="K699" t="s">
        <v>1202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9" s="5"/>
    </row>
    <row r="700" spans="1:16" ht="14.25" customHeight="1">
      <c r="A700">
        <v>963</v>
      </c>
      <c r="B700">
        <v>0</v>
      </c>
      <c r="C700">
        <v>0</v>
      </c>
      <c r="E700">
        <v>1</v>
      </c>
      <c r="F700">
        <v>12</v>
      </c>
      <c r="G700" s="1" t="s">
        <v>655</v>
      </c>
      <c r="H700" s="16" t="s">
        <v>3332</v>
      </c>
      <c r="I700" s="18"/>
      <c r="J700" t="str">
        <f>IF(LEN(VLOOKUP(表1[[#This Row],[id]],数据引用!A:C,3,FALSE))&gt;0,VLOOKUP(表1[[#This Row],[id]],数据引用!A:C,3,FALSE),"")</f>
        <v>boss练习</v>
      </c>
      <c r="K700" t="s">
        <v>1202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700" s="5"/>
    </row>
    <row r="701" spans="1:16" ht="14.25" customHeight="1">
      <c r="A701">
        <v>964</v>
      </c>
      <c r="B701">
        <v>0</v>
      </c>
      <c r="C701">
        <v>0</v>
      </c>
      <c r="E701">
        <v>1</v>
      </c>
      <c r="F701">
        <v>12</v>
      </c>
      <c r="G701" s="1" t="s">
        <v>660</v>
      </c>
      <c r="H701" s="16" t="s">
        <v>3333</v>
      </c>
      <c r="I701" s="18"/>
      <c r="J701" t="str">
        <f>IF(LEN(VLOOKUP(表1[[#This Row],[id]],数据引用!A:C,3,FALSE))&gt;0,VLOOKUP(表1[[#This Row],[id]],数据引用!A:C,3,FALSE),"")</f>
        <v>再虐一遍</v>
      </c>
      <c r="K701" t="s">
        <v>1202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1" s="5"/>
    </row>
    <row r="702" spans="1:16" ht="14.25" customHeight="1">
      <c r="A702">
        <v>965</v>
      </c>
      <c r="B702">
        <v>0</v>
      </c>
      <c r="C702">
        <v>0</v>
      </c>
      <c r="E702">
        <v>1</v>
      </c>
      <c r="F702">
        <v>12</v>
      </c>
      <c r="G702" s="1" t="s">
        <v>658</v>
      </c>
      <c r="H702" s="16" t="s">
        <v>3334</v>
      </c>
      <c r="I702" s="18"/>
      <c r="J702" t="str">
        <f>IF(LEN(VLOOKUP(表1[[#This Row],[id]],数据引用!A:C,3,FALSE))&gt;0,VLOOKUP(表1[[#This Row],[id]],数据引用!A:C,3,FALSE),"")</f>
        <v>miniboss练习</v>
      </c>
      <c r="K702" t="s">
        <v>1202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702" s="5"/>
    </row>
    <row r="703" spans="1:16" ht="14.25" customHeight="1">
      <c r="A703">
        <v>966</v>
      </c>
      <c r="B703">
        <v>0</v>
      </c>
      <c r="C703">
        <v>0</v>
      </c>
      <c r="E703">
        <v>1</v>
      </c>
      <c r="F703">
        <v>12</v>
      </c>
      <c r="G703" s="1" t="s">
        <v>660</v>
      </c>
      <c r="H703" s="16" t="s">
        <v>3335</v>
      </c>
      <c r="I703" s="18"/>
      <c r="J703" t="str">
        <f>IF(LEN(VLOOKUP(表1[[#This Row],[id]],数据引用!A:C,3,FALSE))&gt;0,VLOOKUP(表1[[#This Row],[id]],数据引用!A:C,3,FALSE),"")</f>
        <v>再虐一遍</v>
      </c>
      <c r="K703" t="s">
        <v>1202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3" s="5"/>
    </row>
    <row r="704" spans="1:16" ht="14.25" customHeight="1">
      <c r="A704">
        <v>967</v>
      </c>
      <c r="B704">
        <v>0</v>
      </c>
      <c r="C704">
        <v>0</v>
      </c>
      <c r="E704">
        <v>1</v>
      </c>
      <c r="F704">
        <v>12</v>
      </c>
      <c r="G704" s="1" t="s">
        <v>661</v>
      </c>
      <c r="H704" s="16" t="s">
        <v>3336</v>
      </c>
      <c r="I704" s="18"/>
      <c r="J704" t="str">
        <f>IF(LEN(VLOOKUP(表1[[#This Row],[id]],数据引用!A:C,3,FALSE))&gt;0,VLOOKUP(表1[[#This Row],[id]],数据引用!A:C,3,FALSE),"")</f>
        <v>练习</v>
      </c>
      <c r="K704" t="s">
        <v>1202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font-size:12;"&gt;练习&lt;/text&gt;&lt;text transform="matrix(1 0 0 1 0 10.3205)" style="fill:#FFFFFF; font-family:'FZXS12--GB1-0'; font-size:12;"&gt;练习&lt;/text&gt;&lt;/svg&gt;</v>
      </c>
      <c r="P704" s="5"/>
    </row>
    <row r="705" spans="1:16" ht="14.25" customHeight="1">
      <c r="A705">
        <v>968</v>
      </c>
      <c r="B705">
        <v>0</v>
      </c>
      <c r="C705">
        <v>0</v>
      </c>
      <c r="E705">
        <v>1</v>
      </c>
      <c r="F705">
        <v>12</v>
      </c>
      <c r="G705" s="1" t="s">
        <v>660</v>
      </c>
      <c r="H705" s="16" t="s">
        <v>3337</v>
      </c>
      <c r="I705" s="18"/>
      <c r="J705" t="str">
        <f>IF(LEN(VLOOKUP(表1[[#This Row],[id]],数据引用!A:C,3,FALSE))&gt;0,VLOOKUP(表1[[#This Row],[id]],数据引用!A:C,3,FALSE),"")</f>
        <v>再虐一遍</v>
      </c>
      <c r="K705" t="s">
        <v>1202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5" s="5"/>
    </row>
    <row r="706" spans="1:16" ht="14.25" customHeight="1">
      <c r="A706">
        <v>969</v>
      </c>
      <c r="B706">
        <v>0</v>
      </c>
      <c r="C706">
        <v>0</v>
      </c>
      <c r="E706">
        <v>1</v>
      </c>
      <c r="F706">
        <v>12</v>
      </c>
      <c r="G706" s="8" t="s">
        <v>662</v>
      </c>
      <c r="H706" s="15" t="s">
        <v>3338</v>
      </c>
      <c r="I706" s="15" t="s">
        <v>4637</v>
      </c>
      <c r="J706" t="str">
        <f>IF(LEN(VLOOKUP(表1[[#This Row],[id]],数据引用!A:C,3,FALSE))&gt;0,VLOOKUP(表1[[#This Row],[id]],数据引用!A:C,3,FALSE),"")</f>
        <v/>
      </c>
      <c r="K706" t="s">
        <v>1202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6" s="5" t="s">
        <v>1282</v>
      </c>
    </row>
    <row r="707" spans="1:16" ht="14.25" customHeight="1">
      <c r="A707">
        <v>1000</v>
      </c>
      <c r="B707">
        <v>0</v>
      </c>
      <c r="C707">
        <v>0</v>
      </c>
      <c r="E707">
        <v>1</v>
      </c>
      <c r="F707">
        <v>12</v>
      </c>
      <c r="G707" s="12" t="s">
        <v>663</v>
      </c>
      <c r="H707" s="16" t="s">
        <v>3339</v>
      </c>
      <c r="I707" s="16" t="s">
        <v>4295</v>
      </c>
      <c r="J707" t="str">
        <f>IF(LEN(VLOOKUP(表1[[#This Row],[id]],数据引用!A:C,3,FALSE))&gt;0,VLOOKUP(表1[[#This Row],[id]],数据引用!A:C,3,FALSE),"")</f>
        <v>完成</v>
      </c>
      <c r="K707" t="s">
        <v>1203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707" s="5" t="s">
        <v>1282</v>
      </c>
    </row>
    <row r="708" spans="1:16" ht="14.25" customHeight="1">
      <c r="A708">
        <v>1001</v>
      </c>
      <c r="B708">
        <v>0</v>
      </c>
      <c r="C708">
        <v>0</v>
      </c>
      <c r="E708">
        <v>1</v>
      </c>
      <c r="F708">
        <v>12</v>
      </c>
      <c r="G708" s="1" t="s">
        <v>664</v>
      </c>
      <c r="H708" s="16" t="s">
        <v>3340</v>
      </c>
      <c r="I708" s="16" t="s">
        <v>4296</v>
      </c>
      <c r="J708" t="str">
        <f>IF(LEN(VLOOKUP(表1[[#This Row],[id]],数据引用!A:C,3,FALSE))&gt;0,VLOOKUP(表1[[#This Row],[id]],数据引用!A:C,3,FALSE),"")</f>
        <v>上一页</v>
      </c>
      <c r="K708" t="s">
        <v>1203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708" s="5" t="s">
        <v>1282</v>
      </c>
    </row>
    <row r="709" spans="1:16" ht="14.25" customHeight="1">
      <c r="A709">
        <v>1002</v>
      </c>
      <c r="B709">
        <v>0</v>
      </c>
      <c r="C709">
        <v>0</v>
      </c>
      <c r="E709">
        <v>1</v>
      </c>
      <c r="F709">
        <v>12</v>
      </c>
      <c r="G709" s="1" t="s">
        <v>665</v>
      </c>
      <c r="H709" s="16" t="s">
        <v>3341</v>
      </c>
      <c r="I709" s="16" t="s">
        <v>4297</v>
      </c>
      <c r="J709" t="str">
        <f>IF(LEN(VLOOKUP(表1[[#This Row],[id]],数据引用!A:C,3,FALSE))&gt;0,VLOOKUP(表1[[#This Row],[id]],数据引用!A:C,3,FALSE),"")</f>
        <v>下一页</v>
      </c>
      <c r="K709" t="s">
        <v>1203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709" s="5" t="s">
        <v>1282</v>
      </c>
    </row>
    <row r="710" spans="1:16" ht="14.25" customHeight="1">
      <c r="A710">
        <v>1003</v>
      </c>
      <c r="B710">
        <v>0</v>
      </c>
      <c r="C710">
        <v>0</v>
      </c>
      <c r="E710">
        <v>1</v>
      </c>
      <c r="F710">
        <v>12</v>
      </c>
      <c r="G710" s="1" t="s">
        <v>666</v>
      </c>
      <c r="H710" s="16" t="s">
        <v>3342</v>
      </c>
      <c r="I710" s="16" t="s">
        <v>4298</v>
      </c>
      <c r="J710" t="str">
        <f>IF(LEN(VLOOKUP(表1[[#This Row],[id]],数据引用!A:C,3,FALSE))&gt;0,VLOOKUP(表1[[#This Row],[id]],数据引用!A:C,3,FALSE),"")</f>
        <v>是</v>
      </c>
      <c r="K710" t="s">
        <v>1203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font-size:12;"&gt;是&lt;/text&gt;&lt;text transform="matrix(1 0 0 1 0 10.3205)" style="fill:#FFFFFF; font-family:'FZXS12--GB1-0'; font-size:12;"&gt;是&lt;/text&gt;&lt;/svg&gt;</v>
      </c>
      <c r="P710" s="5" t="s">
        <v>1282</v>
      </c>
    </row>
    <row r="711" spans="1:16" ht="14.25" customHeight="1">
      <c r="A711">
        <v>1004</v>
      </c>
      <c r="B711">
        <v>0</v>
      </c>
      <c r="C711">
        <v>0</v>
      </c>
      <c r="E711">
        <v>1</v>
      </c>
      <c r="F711">
        <v>12</v>
      </c>
      <c r="G711" s="1" t="s">
        <v>667</v>
      </c>
      <c r="H711" s="16" t="s">
        <v>3343</v>
      </c>
      <c r="I711" s="16" t="s">
        <v>4299</v>
      </c>
      <c r="J711" t="str">
        <f>IF(LEN(VLOOKUP(表1[[#This Row],[id]],数据引用!A:C,3,FALSE))&gt;0,VLOOKUP(表1[[#This Row],[id]],数据引用!A:C,3,FALSE),"")</f>
        <v>否</v>
      </c>
      <c r="K711" t="s">
        <v>1203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font-size:12;"&gt;否&lt;/text&gt;&lt;text transform="matrix(1 0 0 1 0 10.3205)" style="fill:#FFFFFF; font-family:'FZXS12--GB1-0'; font-size:12;"&gt;否&lt;/text&gt;&lt;/svg&gt;</v>
      </c>
      <c r="P711" s="5" t="s">
        <v>1282</v>
      </c>
    </row>
    <row r="712" spans="1:16" ht="14.25" customHeight="1">
      <c r="A712">
        <v>1005</v>
      </c>
      <c r="B712">
        <v>0</v>
      </c>
      <c r="C712">
        <v>0</v>
      </c>
      <c r="E712">
        <v>1</v>
      </c>
      <c r="F712">
        <v>12</v>
      </c>
      <c r="G712" s="12" t="s">
        <v>668</v>
      </c>
      <c r="H712" s="16" t="s">
        <v>3344</v>
      </c>
      <c r="I712" s="16" t="s">
        <v>4300</v>
      </c>
      <c r="J712" t="str">
        <f>IF(LEN(VLOOKUP(表1[[#This Row],[id]],数据引用!A:C,3,FALSE))&gt;0,VLOOKUP(表1[[#This Row],[id]],数据引用!A:C,3,FALSE),"")</f>
        <v>好的</v>
      </c>
      <c r="K712" t="s">
        <v>1203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font-size:12;"&gt;好的&lt;/text&gt;&lt;text transform="matrix(1 0 0 1 0 10.3205)" style="fill:#FFFFFF; font-family:'FZXS12--GB1-0'; font-size:12;"&gt;好的&lt;/text&gt;&lt;/svg&gt;</v>
      </c>
      <c r="P712" s="5" t="s">
        <v>1282</v>
      </c>
    </row>
    <row r="713" spans="1:16" ht="14.25" customHeight="1">
      <c r="A713">
        <v>1006</v>
      </c>
      <c r="B713">
        <v>0</v>
      </c>
      <c r="C713">
        <v>0</v>
      </c>
      <c r="E713">
        <v>1</v>
      </c>
      <c r="F713">
        <v>12</v>
      </c>
      <c r="G713" s="1" t="s">
        <v>110</v>
      </c>
      <c r="H713" s="16" t="s">
        <v>3345</v>
      </c>
      <c r="I713" s="16" t="s">
        <v>4301</v>
      </c>
      <c r="J713" t="str">
        <f>IF(LEN(VLOOKUP(表1[[#This Row],[id]],数据引用!A:C,3,FALSE))&gt;0,VLOOKUP(表1[[#This Row],[id]],数据引用!A:C,3,FALSE),"")</f>
        <v>随机</v>
      </c>
      <c r="K713" t="s">
        <v>1203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font-size:12;"&gt;随机&lt;/text&gt;&lt;text transform="matrix(1 0 0 1 0 10.3205)" style="fill:#FFFFFF; font-family:'FZXS12--GB1-0'; font-size:12;"&gt;随机&lt;/text&gt;&lt;/svg&gt;</v>
      </c>
      <c r="P713" s="5" t="s">
        <v>1282</v>
      </c>
    </row>
    <row r="714" spans="1:16" ht="14.25" customHeight="1">
      <c r="A714">
        <v>1007</v>
      </c>
      <c r="B714">
        <v>0</v>
      </c>
      <c r="C714">
        <v>0</v>
      </c>
      <c r="E714">
        <v>1</v>
      </c>
      <c r="F714">
        <v>12</v>
      </c>
      <c r="G714" s="1" t="s">
        <v>669</v>
      </c>
      <c r="H714" s="16" t="s">
        <v>3346</v>
      </c>
      <c r="I714" s="16" t="s">
        <v>4302</v>
      </c>
      <c r="J714" t="str">
        <f>IF(LEN(VLOOKUP(表1[[#This Row],[id]],数据引用!A:C,3,FALSE))&gt;0,VLOOKUP(表1[[#This Row],[id]],数据引用!A:C,3,FALSE),"")</f>
        <v>取消</v>
      </c>
      <c r="K714" t="s">
        <v>1203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font-size:12;"&gt;取消&lt;/text&gt;&lt;text transform="matrix(1 0 0 1 0 10.3205)" style="fill:#FFFFFF; font-family:'FZXS12--GB1-0'; font-size:12;"&gt;取消&lt;/text&gt;&lt;/svg&gt;</v>
      </c>
      <c r="P714" s="5" t="s">
        <v>1282</v>
      </c>
    </row>
    <row r="715" spans="1:16" ht="14.25" customHeight="1">
      <c r="A715">
        <v>1050</v>
      </c>
      <c r="B715">
        <v>0</v>
      </c>
      <c r="C715">
        <v>0</v>
      </c>
      <c r="E715" t="s">
        <v>2572</v>
      </c>
      <c r="F715">
        <v>18</v>
      </c>
      <c r="G715" s="1" t="s">
        <v>670</v>
      </c>
      <c r="H715" s="16" t="s">
        <v>3347</v>
      </c>
      <c r="I715" s="18"/>
      <c r="J715" t="str">
        <f>IF(LEN(VLOOKUP(表1[[#This Row],[id]],数据引用!A:C,3,FALSE))&gt;0,VLOOKUP(表1[[#This Row],[id]],数据引用!A:C,3,FALSE),"")</f>
        <v>暂停</v>
      </c>
      <c r="K715" t="s">
        <v>1204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font-size:12;"&gt;暂停&lt;/text&gt;&lt;text transform="matrix(1 0 0 1 0 10.3205)" style="fill:#FFFFFF; font-family:'FZXS12--GB1-0'; font-size:12;"&gt;暂停&lt;/text&gt;&lt;/svg&gt;</v>
      </c>
      <c r="P715" s="5"/>
    </row>
    <row r="716" spans="1:16" ht="14.25" customHeight="1">
      <c r="A716">
        <v>1051</v>
      </c>
      <c r="B716">
        <v>0</v>
      </c>
      <c r="C716">
        <v>0</v>
      </c>
      <c r="E716">
        <v>1</v>
      </c>
      <c r="F716">
        <v>12</v>
      </c>
      <c r="G716" s="1" t="s">
        <v>671</v>
      </c>
      <c r="H716" s="16" t="s">
        <v>3348</v>
      </c>
      <c r="I716" s="16" t="s">
        <v>4303</v>
      </c>
      <c r="J716" t="str">
        <f>IF(LEN(VLOOKUP(表1[[#This Row],[id]],数据引用!A:C,3,FALSE))&gt;0,VLOOKUP(表1[[#This Row],[id]],数据引用!A:C,3,FALSE),"")</f>
        <v>继续游戏</v>
      </c>
      <c r="K716" t="s">
        <v>1204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font-size:12;"&gt;继续游戏&lt;/text&gt;&lt;text transform="matrix(1 0 0 1 0 10.3205)" style="fill:#FFFFFF; font-family:'FZXS12--GB1-0'; font-size:12;"&gt;继续游戏&lt;/text&gt;&lt;/svg&gt;</v>
      </c>
      <c r="P716" s="5" t="s">
        <v>1282</v>
      </c>
    </row>
    <row r="717" spans="1:16" ht="14.25" customHeight="1">
      <c r="A717">
        <v>1052</v>
      </c>
      <c r="B717">
        <v>0</v>
      </c>
      <c r="C717">
        <v>0</v>
      </c>
      <c r="E717">
        <v>1</v>
      </c>
      <c r="F717">
        <v>12</v>
      </c>
      <c r="G717" s="1" t="s">
        <v>672</v>
      </c>
      <c r="H717" s="16" t="s">
        <v>3349</v>
      </c>
      <c r="I717" s="16" t="s">
        <v>4304</v>
      </c>
      <c r="J717" t="str">
        <f>IF(LEN(VLOOKUP(表1[[#This Row],[id]],数据引用!A:C,3,FALSE))&gt;0,VLOOKUP(表1[[#This Row],[id]],数据引用!A:C,3,FALSE),"")</f>
        <v>排行榜</v>
      </c>
      <c r="K717" t="s">
        <v>1204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717" s="5" t="s">
        <v>1282</v>
      </c>
    </row>
    <row r="718" spans="1:16" ht="14.25" customHeight="1">
      <c r="A718">
        <v>1053</v>
      </c>
      <c r="B718">
        <v>0</v>
      </c>
      <c r="C718">
        <v>0</v>
      </c>
      <c r="E718">
        <v>1</v>
      </c>
      <c r="F718">
        <v>12</v>
      </c>
      <c r="G718" s="1" t="s">
        <v>673</v>
      </c>
      <c r="H718" s="16" t="s">
        <v>3350</v>
      </c>
      <c r="I718" s="16" t="s">
        <v>4305</v>
      </c>
      <c r="J718" t="str">
        <f>IF(LEN(VLOOKUP(表1[[#This Row],[id]],数据引用!A:C,3,FALSE))&gt;0,VLOOKUP(表1[[#This Row],[id]],数据引用!A:C,3,FALSE),"")</f>
        <v>回放</v>
      </c>
      <c r="K718" t="s">
        <v>1204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font-size:12;"&gt;回放&lt;/text&gt;&lt;text transform="matrix(1 0 0 1 0 10.3205)" style="fill:#FFFFFF; font-family:'FZXS12--GB1-0'; font-size:12;"&gt;回放&lt;/text&gt;&lt;/svg&gt;</v>
      </c>
      <c r="P718" s="5" t="s">
        <v>1282</v>
      </c>
    </row>
    <row r="719" spans="1:16" ht="14.25" customHeight="1">
      <c r="A719">
        <v>1054</v>
      </c>
      <c r="B719">
        <v>0</v>
      </c>
      <c r="C719">
        <v>0</v>
      </c>
      <c r="E719">
        <v>1</v>
      </c>
      <c r="F719">
        <v>12</v>
      </c>
      <c r="G719" s="1" t="s">
        <v>674</v>
      </c>
      <c r="H719" s="16" t="s">
        <v>3351</v>
      </c>
      <c r="I719" s="16" t="s">
        <v>4306</v>
      </c>
      <c r="J719" t="str">
        <f>IF(LEN(VLOOKUP(表1[[#This Row],[id]],数据引用!A:C,3,FALSE))&gt;0,VLOOKUP(表1[[#This Row],[id]],数据引用!A:C,3,FALSE),"")</f>
        <v>设置</v>
      </c>
      <c r="K719" t="s">
        <v>1204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719" s="5" t="s">
        <v>1282</v>
      </c>
    </row>
    <row r="720" spans="1:16" ht="14.25" customHeight="1">
      <c r="A720">
        <v>1055</v>
      </c>
      <c r="B720">
        <v>0</v>
      </c>
      <c r="C720">
        <v>0</v>
      </c>
      <c r="E720">
        <v>1</v>
      </c>
      <c r="F720">
        <v>12</v>
      </c>
      <c r="G720" s="1" t="s">
        <v>675</v>
      </c>
      <c r="H720" s="16" t="s">
        <v>3352</v>
      </c>
      <c r="I720" s="16" t="s">
        <v>4307</v>
      </c>
      <c r="J720" t="str">
        <f>IF(LEN(VLOOKUP(表1[[#This Row],[id]],数据引用!A:C,3,FALSE))&gt;0,VLOOKUP(表1[[#This Row],[id]],数据引用!A:C,3,FALSE),"")</f>
        <v>自定义音乐</v>
      </c>
      <c r="K720" t="s">
        <v>1204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720" s="5" t="s">
        <v>1282</v>
      </c>
    </row>
    <row r="721" spans="1:16" ht="14.25" customHeight="1">
      <c r="A721">
        <v>1056</v>
      </c>
      <c r="B721">
        <v>0</v>
      </c>
      <c r="C721">
        <v>0</v>
      </c>
      <c r="E721">
        <v>1</v>
      </c>
      <c r="F721">
        <v>12</v>
      </c>
      <c r="G721" s="1" t="s">
        <v>676</v>
      </c>
      <c r="H721" s="16" t="s">
        <v>3353</v>
      </c>
      <c r="I721" s="16" t="s">
        <v>4308</v>
      </c>
      <c r="J721" t="str">
        <f>IF(LEN(VLOOKUP(表1[[#This Row],[id]],数据引用!A:C,3,FALSE))&gt;0,VLOOKUP(表1[[#This Row],[id]],数据引用!A:C,3,FALSE),"")</f>
        <v>MOD</v>
      </c>
      <c r="K721" t="s">
        <v>1204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font-size:12;"&gt;MOD&lt;/text&gt;&lt;text transform="matrix(1 0 0 1 0 10.3205)" style="fill:#FFFFFF; font-family:'FZXS12--GB1-0'; font-size:12;"&gt;MOD&lt;/text&gt;&lt;/svg&gt;</v>
      </c>
      <c r="P721" s="5" t="s">
        <v>1282</v>
      </c>
    </row>
    <row r="722" spans="1:16" ht="14.25" customHeight="1">
      <c r="A722">
        <v>1057</v>
      </c>
      <c r="B722">
        <v>0</v>
      </c>
      <c r="C722">
        <v>0</v>
      </c>
      <c r="E722">
        <v>1</v>
      </c>
      <c r="F722">
        <v>12</v>
      </c>
      <c r="G722" s="1" t="s">
        <v>587</v>
      </c>
      <c r="H722" s="16" t="s">
        <v>3354</v>
      </c>
      <c r="I722" s="16" t="s">
        <v>4309</v>
      </c>
      <c r="J722" t="str">
        <f>IF(LEN(VLOOKUP(表1[[#This Row],[id]],数据引用!A:C,3,FALSE))&gt;0,VLOOKUP(表1[[#This Row],[id]],数据引用!A:C,3,FALSE),"")</f>
        <v>重新开始</v>
      </c>
      <c r="K722" t="s">
        <v>1204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722" s="5" t="s">
        <v>1282</v>
      </c>
    </row>
    <row r="723" spans="1:16" ht="14.25" customHeight="1">
      <c r="A723">
        <v>1058</v>
      </c>
      <c r="B723">
        <v>0</v>
      </c>
      <c r="C723">
        <v>0</v>
      </c>
      <c r="E723">
        <v>1</v>
      </c>
      <c r="F723">
        <v>12</v>
      </c>
      <c r="G723" s="1" t="s">
        <v>677</v>
      </c>
      <c r="H723" s="16" t="s">
        <v>3355</v>
      </c>
      <c r="I723" s="16" t="s">
        <v>4310</v>
      </c>
      <c r="J723" t="str">
        <f>IF(LEN(VLOOKUP(表1[[#This Row],[id]],数据引用!A:C,3,FALSE))&gt;0,VLOOKUP(表1[[#This Row],[id]],数据引用!A:C,3,FALSE),"")</f>
        <v>返回大厅</v>
      </c>
      <c r="K723" t="s">
        <v>1204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723" s="5" t="s">
        <v>1282</v>
      </c>
    </row>
    <row r="724" spans="1:16" ht="14.25" customHeight="1">
      <c r="A724">
        <v>1059</v>
      </c>
      <c r="B724">
        <v>0</v>
      </c>
      <c r="C724">
        <v>0</v>
      </c>
      <c r="E724">
        <v>1</v>
      </c>
      <c r="F724">
        <v>12</v>
      </c>
      <c r="G724" s="1" t="s">
        <v>678</v>
      </c>
      <c r="H724" s="16" t="s">
        <v>3356</v>
      </c>
      <c r="I724" s="16" t="s">
        <v>4311</v>
      </c>
      <c r="J724" t="str">
        <f>IF(LEN(VLOOKUP(表1[[#This Row],[id]],数据引用!A:C,3,FALSE))&gt;0,VLOOKUP(表1[[#This Row],[id]],数据引用!A:C,3,FALSE),"")</f>
        <v>退出关卡编辑器</v>
      </c>
      <c r="K724" t="s">
        <v>1204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font-size:12;"&gt;退出关卡编辑器&lt;/text&gt;&lt;text transform="matrix(1 0 0 1 0 10.3205)" style="fill:#FFFFFF; font-family:'FZXS12--GB1-0'; font-size:12;"&gt;退出关卡编辑器&lt;/text&gt;&lt;/svg&gt;</v>
      </c>
      <c r="P724" s="5" t="s">
        <v>1282</v>
      </c>
    </row>
    <row r="725" spans="1:16" ht="14.25" customHeight="1">
      <c r="A725">
        <v>1060</v>
      </c>
      <c r="B725">
        <v>0</v>
      </c>
      <c r="C725">
        <v>0</v>
      </c>
      <c r="E725">
        <v>1</v>
      </c>
      <c r="F725">
        <v>12</v>
      </c>
      <c r="G725" s="1" t="s">
        <v>679</v>
      </c>
      <c r="H725" s="16" t="s">
        <v>3357</v>
      </c>
      <c r="I725" s="16" t="s">
        <v>4312</v>
      </c>
      <c r="J725" t="str">
        <f>IF(LEN(VLOOKUP(表1[[#This Row],[id]],数据引用!A:C,3,FALSE))&gt;0,VLOOKUP(表1[[#This Row],[id]],数据引用!A:C,3,FALSE),"")</f>
        <v>退出游戏</v>
      </c>
      <c r="K725" t="s">
        <v>1204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font-size:12;"&gt;退出游戏&lt;/text&gt;&lt;text transform="matrix(1 0 0 1 0 10.3205)" style="fill:#FFFFFF; font-family:'FZXS12--GB1-0'; font-size:12;"&gt;退出游戏&lt;/text&gt;&lt;/svg&gt;</v>
      </c>
      <c r="P725" s="5" t="s">
        <v>1282</v>
      </c>
    </row>
    <row r="726" spans="1:16" ht="14.25" customHeight="1">
      <c r="A726">
        <v>1061</v>
      </c>
      <c r="B726">
        <v>0</v>
      </c>
      <c r="C726">
        <v>0</v>
      </c>
      <c r="E726" t="s">
        <v>2570</v>
      </c>
      <c r="F726">
        <v>6</v>
      </c>
      <c r="G726" s="1" t="s">
        <v>599</v>
      </c>
      <c r="H726" s="16" t="s">
        <v>3358</v>
      </c>
      <c r="I726" s="18"/>
      <c r="J726" t="str">
        <f>IF(LEN(VLOOKUP(表1[[#This Row],[id]],数据引用!A:C,3,FALSE))&gt;0,VLOOKUP(表1[[#This Row],[id]],数据引用!A:C,3,FALSE),"")</f>
        <v>低比例</v>
      </c>
      <c r="K726" t="s">
        <v>1204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font-size:12;"&gt;低比例&lt;/text&gt;&lt;text transform="matrix(1 0 0 1 0 10.3205)" style="fill:#FFFFFF; font-family:'FZXS12--GB1-0'; font-size:12;"&gt;低比例&lt;/text&gt;&lt;/svg&gt;</v>
      </c>
      <c r="P726" s="5"/>
    </row>
    <row r="727" spans="1:16" ht="14.25" customHeight="1">
      <c r="A727">
        <v>1100</v>
      </c>
      <c r="B727">
        <v>0</v>
      </c>
      <c r="C727">
        <v>0</v>
      </c>
      <c r="E727" t="s">
        <v>2572</v>
      </c>
      <c r="F727">
        <v>18</v>
      </c>
      <c r="G727" s="1" t="s">
        <v>680</v>
      </c>
      <c r="H727" s="16" t="s">
        <v>3359</v>
      </c>
      <c r="I727" s="18"/>
      <c r="J727" t="str">
        <f>IF(LEN(VLOOKUP(表1[[#This Row],[id]],数据引用!A:C,3,FALSE))&gt;0,VLOOKUP(表1[[#This Row],[id]],数据引用!A:C,3,FALSE),"")</f>
        <v>音频选项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font-size:12;"&gt;音频选项&lt;/text&gt;&lt;text transform="matrix(1 0 0 1 0 10.3205)" style="fill:#FFFFFF; font-family:'FZXS12--GB1-0'; font-size:12;"&gt;音频选项&lt;/text&gt;&lt;/svg&gt;</v>
      </c>
      <c r="P727" s="5"/>
    </row>
    <row r="728" spans="1:16" ht="14.25" customHeight="1">
      <c r="A728">
        <v>1101</v>
      </c>
      <c r="B728">
        <v>0</v>
      </c>
      <c r="C728">
        <v>0</v>
      </c>
      <c r="E728">
        <v>1</v>
      </c>
      <c r="F728">
        <v>12</v>
      </c>
      <c r="G728" s="1" t="s">
        <v>681</v>
      </c>
      <c r="H728" s="16" t="s">
        <v>3360</v>
      </c>
      <c r="I728" s="16" t="s">
        <v>4313</v>
      </c>
      <c r="J728" t="str">
        <f>IF(LEN(VLOOKUP(表1[[#This Row],[id]],数据引用!A:C,3,FALSE))&gt;0,VLOOKUP(表1[[#This Row],[id]],数据引用!A:C,3,FALSE),"")</f>
        <v>音效音量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font-size:12;"&gt;音效音量&lt;/text&gt;&lt;text transform="matrix(1 0 0 1 0 10.3205)" style="fill:#FFFFFF; font-family:'FZXS12--GB1-0'; font-size:12;"&gt;音效音量&lt;/text&gt;&lt;/svg&gt;</v>
      </c>
      <c r="P728" s="5" t="s">
        <v>1282</v>
      </c>
    </row>
    <row r="729" spans="1:16" ht="14.25" customHeight="1">
      <c r="A729">
        <v>1102</v>
      </c>
      <c r="B729">
        <v>0</v>
      </c>
      <c r="C729">
        <v>0</v>
      </c>
      <c r="E729">
        <v>1</v>
      </c>
      <c r="F729">
        <v>12</v>
      </c>
      <c r="G729" s="1" t="s">
        <v>682</v>
      </c>
      <c r="H729" s="16" t="s">
        <v>3361</v>
      </c>
      <c r="I729" s="16" t="s">
        <v>4314</v>
      </c>
      <c r="J729" t="str">
        <f>IF(LEN(VLOOKUP(表1[[#This Row],[id]],数据引用!A:C,3,FALSE))&gt;0,VLOOKUP(表1[[#This Row],[id]],数据引用!A:C,3,FALSE),"")</f>
        <v>音乐音量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font-size:12;"&gt;音乐音量&lt;/text&gt;&lt;text transform="matrix(1 0 0 1 0 10.3205)" style="fill:#FFFFFF; font-family:'FZXS12--GB1-0'; font-size:12;"&gt;音乐音量&lt;/text&gt;&lt;/svg&gt;</v>
      </c>
      <c r="P729" s="5" t="s">
        <v>1282</v>
      </c>
    </row>
    <row r="730" spans="1:16" ht="14.25" customHeight="1">
      <c r="A730">
        <v>1103</v>
      </c>
      <c r="B730">
        <v>0</v>
      </c>
      <c r="C730">
        <v>0</v>
      </c>
      <c r="E730">
        <v>1</v>
      </c>
      <c r="F730">
        <v>12</v>
      </c>
      <c r="G730" s="1" t="s">
        <v>683</v>
      </c>
      <c r="H730" s="16" t="s">
        <v>3362</v>
      </c>
      <c r="I730" s="16" t="s">
        <v>4315</v>
      </c>
      <c r="J730" t="str">
        <f>IF(LEN(VLOOKUP(表1[[#This Row],[id]],数据引用!A:C,3,FALSE))&gt;0,VLOOKUP(表1[[#This Row],[id]],数据引用!A:C,3,FALSE),"")</f>
        <v>Boss预警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font-size:12;"&gt;Boss预警&lt;/text&gt;&lt;text transform="matrix(1 0 0 1 0 10.3205)" style="fill:#FFFFFF; font-family:'FZXS12--GB1-0'; font-size:12;"&gt;Boss预警&lt;/text&gt;&lt;/svg&gt;</v>
      </c>
      <c r="P730" s="5" t="s">
        <v>1282</v>
      </c>
    </row>
    <row r="731" spans="1:16" ht="14.25" customHeight="1">
      <c r="A731">
        <v>1200</v>
      </c>
      <c r="B731">
        <v>0</v>
      </c>
      <c r="C731">
        <v>0</v>
      </c>
      <c r="E731" t="s">
        <v>2572</v>
      </c>
      <c r="F731">
        <v>18</v>
      </c>
      <c r="G731" s="1" t="s">
        <v>684</v>
      </c>
      <c r="H731" s="16" t="s">
        <v>3363</v>
      </c>
      <c r="I731" s="18"/>
      <c r="J731" t="str">
        <f>IF(LEN(VLOOKUP(表1[[#This Row],[id]],数据引用!A:C,3,FALSE))&gt;0,VLOOKUP(表1[[#This Row],[id]],数据引用!A:C,3,FALSE),"")</f>
        <v>手动节拍探测</v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font-size:12;"&gt;手动节拍探测&lt;/text&gt;&lt;text transform="matrix(1 0 0 1 0 10.3205)" style="fill:#FFFFFF; font-family:'FZXS12--GB1-0'; font-size:12;"&gt;手动节拍探测&lt;/text&gt;&lt;/svg&gt;</v>
      </c>
      <c r="P731" s="5"/>
    </row>
    <row r="732" spans="1:16" ht="14.25" customHeight="1">
      <c r="A732">
        <v>1201</v>
      </c>
      <c r="B732">
        <v>0</v>
      </c>
      <c r="C732">
        <v>0</v>
      </c>
      <c r="E732">
        <v>1</v>
      </c>
      <c r="F732">
        <v>12</v>
      </c>
      <c r="G732" s="1" t="s">
        <v>685</v>
      </c>
      <c r="H732" s="16" t="s">
        <v>3364</v>
      </c>
      <c r="I732" s="18"/>
      <c r="J732" t="str">
        <f>IF(LEN(VLOOKUP(表1[[#This Row],[id]],数据引用!A:C,3,FALSE))&gt;0,VLOOKUP(表1[[#This Row],[id]],数据引用!A:C,3,FALSE),"")</f>
        <v>按照节拍按 方向 键，按ESC退出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font-size:12;"&gt;按照节拍按 方向 键，按ESC退出&lt;/text&gt;&lt;text transform="matrix(1 0 0 1 0 10.3205)" style="fill:#FFFFFF; font-family:'FZXS12--GB1-0'; font-size:12;"&gt;按照节拍按 方向 键，按ESC退出&lt;/text&gt;&lt;/svg&gt;</v>
      </c>
      <c r="P732" s="5"/>
    </row>
    <row r="733" spans="1:16" ht="14.25" customHeight="1">
      <c r="A733">
        <v>1202</v>
      </c>
      <c r="B733">
        <v>0</v>
      </c>
      <c r="C733">
        <v>0</v>
      </c>
      <c r="E733">
        <v>1</v>
      </c>
      <c r="F733">
        <v>12</v>
      </c>
      <c r="G733" s="1" t="s">
        <v>686</v>
      </c>
      <c r="H733" s="16" t="s">
        <v>3365</v>
      </c>
      <c r="I733" s="18"/>
      <c r="J733" t="str">
        <f>IF(LEN(VLOOKUP(表1[[#This Row],[id]],数据引用!A:C,3,FALSE))&gt;0,VLOOKUP(表1[[#This Row],[id]],数据引用!A:C,3,FALSE),"")</f>
        <v>按 方向键 开始</v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方向键 开始&lt;/text&gt;&lt;text transform="matrix(1 0 0 1 0 10.3205)" style="fill:#FFFFFF; font-family:'FZXS12--GB1-0'; font-size:12;"&gt;按 方向键 开始&lt;/text&gt;&lt;/svg&gt;</v>
      </c>
      <c r="P733" s="5"/>
    </row>
    <row r="734" spans="1:16" ht="14.25" customHeight="1">
      <c r="A734">
        <v>1203</v>
      </c>
      <c r="B734">
        <v>0</v>
      </c>
      <c r="C734">
        <v>0</v>
      </c>
      <c r="E734">
        <v>1</v>
      </c>
      <c r="F734">
        <v>12</v>
      </c>
      <c r="G734" s="1" t="s">
        <v>687</v>
      </c>
      <c r="H734" s="15" t="s">
        <v>3366</v>
      </c>
      <c r="I734" s="18"/>
      <c r="J734" t="str">
        <f>IF(LEN(VLOOKUP(表1[[#This Row],[id]],数据引用!A:C,3,FALSE))&gt;0,VLOOKUP(表1[[#This Row],[id]],数据引用!A:C,3,FALSE),"")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4" s="5"/>
    </row>
    <row r="735" spans="1:16" ht="14.25" customHeight="1">
      <c r="A735">
        <v>1300</v>
      </c>
      <c r="B735">
        <v>0</v>
      </c>
      <c r="C735">
        <v>0</v>
      </c>
      <c r="E735" t="s">
        <v>2572</v>
      </c>
      <c r="F735">
        <v>18</v>
      </c>
      <c r="G735" s="1" t="s">
        <v>688</v>
      </c>
      <c r="H735" s="16" t="s">
        <v>3367</v>
      </c>
      <c r="I735" s="18"/>
      <c r="J735" t="str">
        <f>IF(LEN(VLOOKUP(表1[[#This Row],[id]],数据引用!A:C,3,FALSE))&gt;0,VLOOKUP(表1[[#This Row],[id]],数据引用!A:C,3,FALSE),"")</f>
        <v>死灵舞者</v>
      </c>
      <c r="K735" t="s">
        <v>1205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735" s="5"/>
    </row>
    <row r="736" spans="1:16" ht="14.25" customHeight="1">
      <c r="A736">
        <v>1301</v>
      </c>
      <c r="B736">
        <v>0</v>
      </c>
      <c r="C736">
        <v>0</v>
      </c>
      <c r="E736" t="s">
        <v>2572</v>
      </c>
      <c r="F736">
        <v>18</v>
      </c>
      <c r="G736" s="1" t="s">
        <v>689</v>
      </c>
      <c r="H736" s="16" t="s">
        <v>3368</v>
      </c>
      <c r="I736" s="18"/>
      <c r="J736" t="str">
        <f>IF(LEN(VLOOKUP(表1[[#This Row],[id]],数据引用!A:C,3,FALSE))&gt;0,VLOOKUP(表1[[#This Row],[id]],数据引用!A:C,3,FALSE),"")</f>
        <v>金刚鼓王</v>
      </c>
      <c r="K736" t="s">
        <v>1205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736" s="5"/>
    </row>
    <row r="737" spans="1:16" ht="14.25" customHeight="1">
      <c r="A737">
        <v>1302</v>
      </c>
      <c r="B737">
        <v>0</v>
      </c>
      <c r="C737">
        <v>0</v>
      </c>
      <c r="E737" t="s">
        <v>2572</v>
      </c>
      <c r="F737">
        <v>18</v>
      </c>
      <c r="G737" s="1" t="s">
        <v>690</v>
      </c>
      <c r="H737" s="16" t="s">
        <v>3369</v>
      </c>
      <c r="I737" s="18"/>
      <c r="J737" t="str">
        <f>IF(LEN(VLOOKUP(表1[[#This Row],[id]],数据引用!A:C,3,FALSE))&gt;0,VLOOKUP(表1[[#This Row],[id]],数据引用!A:C,3,FALSE),"")</f>
        <v>死亡重金属</v>
      </c>
      <c r="K737" t="s">
        <v>1205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737" s="5"/>
    </row>
    <row r="738" spans="1:16" ht="14.25" customHeight="1">
      <c r="A738">
        <v>1303</v>
      </c>
      <c r="B738">
        <v>0</v>
      </c>
      <c r="C738">
        <v>0</v>
      </c>
      <c r="E738" t="s">
        <v>2572</v>
      </c>
      <c r="F738">
        <v>18</v>
      </c>
      <c r="G738" s="1" t="s">
        <v>691</v>
      </c>
      <c r="H738" s="16" t="s">
        <v>3370</v>
      </c>
      <c r="I738" s="18"/>
      <c r="J738" t="str">
        <f>IF(LEN(VLOOKUP(表1[[#This Row],[id]],数据引用!A:C,3,FALSE))&gt;0,VLOOKUP(表1[[#This Row],[id]],数据引用!A:C,3,FALSE),"")</f>
        <v>深蓝象棋</v>
      </c>
      <c r="K738" t="s">
        <v>1205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738" s="5"/>
    </row>
    <row r="739" spans="1:16" ht="14.25" customHeight="1">
      <c r="A739">
        <v>1304</v>
      </c>
      <c r="B739">
        <v>0</v>
      </c>
      <c r="C739">
        <v>0</v>
      </c>
      <c r="E739" t="s">
        <v>2572</v>
      </c>
      <c r="F739">
        <v>18</v>
      </c>
      <c r="G739" s="1" t="s">
        <v>692</v>
      </c>
      <c r="H739" s="16" t="s">
        <v>3371</v>
      </c>
      <c r="I739" s="18"/>
      <c r="J739" t="str">
        <f>IF(LEN(VLOOKUP(表1[[#This Row],[id]],数据引用!A:C,3,FALSE))&gt;0,VLOOKUP(表1[[#This Row],[id]],数据引用!A:C,3,FALSE),"")</f>
        <v>珊瑚乐团</v>
      </c>
      <c r="K739" t="s">
        <v>1205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739" s="5"/>
    </row>
    <row r="740" spans="1:16" ht="14.25" customHeight="1">
      <c r="A740">
        <v>1305</v>
      </c>
      <c r="B740">
        <v>0</v>
      </c>
      <c r="C740">
        <v>0</v>
      </c>
      <c r="E740" t="s">
        <v>2572</v>
      </c>
      <c r="F740">
        <v>18</v>
      </c>
      <c r="G740" s="1" t="s">
        <v>693</v>
      </c>
      <c r="H740" s="16" t="s">
        <v>3372</v>
      </c>
      <c r="I740" s="18"/>
      <c r="J740" t="str">
        <f>IF(LEN(VLOOKUP(表1[[#This Row],[id]],数据引用!A:C,3,FALSE))&gt;0,VLOOKUP(表1[[#This Row],[id]],数据引用!A:C,3,FALSE),"")</f>
        <v>死亡丧钟</v>
      </c>
      <c r="K740" t="s">
        <v>1205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740" s="5"/>
    </row>
    <row r="741" spans="1:16" ht="14.25" customHeight="1">
      <c r="A741">
        <v>1306</v>
      </c>
      <c r="B741">
        <v>0</v>
      </c>
      <c r="C741">
        <v>0</v>
      </c>
      <c r="E741" t="s">
        <v>2572</v>
      </c>
      <c r="F741">
        <v>18</v>
      </c>
      <c r="G741" s="1" t="s">
        <v>694</v>
      </c>
      <c r="H741" s="16" t="s">
        <v>3373</v>
      </c>
      <c r="I741" s="18"/>
      <c r="J741" t="str">
        <f>IF(LEN(VLOOKUP(表1[[#This Row],[id]],数据引用!A:C,3,FALSE))&gt;0,VLOOKUP(表1[[#This Row],[id]],数据引用!A:C,3,FALSE),"")</f>
        <v>黄金鲁特琴</v>
      </c>
      <c r="K741" t="s">
        <v>1205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741" s="5"/>
    </row>
    <row r="742" spans="1:16" ht="14.25" customHeight="1">
      <c r="A742">
        <v>1400</v>
      </c>
      <c r="B742">
        <v>0</v>
      </c>
      <c r="C742">
        <v>0</v>
      </c>
      <c r="E742" t="s">
        <v>2572</v>
      </c>
      <c r="F742">
        <v>18</v>
      </c>
      <c r="G742" s="1" t="s">
        <v>695</v>
      </c>
      <c r="H742" s="16" t="s">
        <v>3374</v>
      </c>
      <c r="I742" s="18"/>
      <c r="J742" t="str">
        <f>IF(LEN(VLOOKUP(表1[[#This Row],[id]],数据引用!A:C,3,FALSE))&gt;0,VLOOKUP(表1[[#This Row],[id]],数据引用!A:C,3,FALSE),"")</f>
        <v>声音延迟校准</v>
      </c>
      <c r="K742" t="s">
        <v>1206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font-size:12;"&gt;声音延迟校准&lt;/text&gt;&lt;text transform="matrix(1 0 0 1 0 10.3205)" style="fill:#FFFFFF; font-family:'FZXS12--GB1-0'; font-size:12;"&gt;声音延迟校准&lt;/text&gt;&lt;/svg&gt;</v>
      </c>
      <c r="P742" s="5"/>
    </row>
    <row r="743" spans="1:16" ht="14.25" customHeight="1">
      <c r="A743">
        <v>1401</v>
      </c>
      <c r="B743">
        <v>0</v>
      </c>
      <c r="C743">
        <v>0</v>
      </c>
      <c r="E743" t="s">
        <v>2572</v>
      </c>
      <c r="F743">
        <v>18</v>
      </c>
      <c r="G743" s="1" t="s">
        <v>696</v>
      </c>
      <c r="H743" s="16" t="s">
        <v>3375</v>
      </c>
      <c r="I743" s="18"/>
      <c r="J743" t="str">
        <f>IF(LEN(VLOOKUP(表1[[#This Row],[id]],数据引用!A:C,3,FALSE))&gt;0,VLOOKUP(表1[[#This Row],[id]],数据引用!A:C,3,FALSE),"")</f>
        <v>视频延迟校准</v>
      </c>
      <c r="K743" t="s">
        <v>1206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font-size:12;"&gt;视频延迟校准&lt;/text&gt;&lt;text transform="matrix(1 0 0 1 0 10.3205)" style="fill:#FFFFFF; font-family:'FZXS12--GB1-0'; font-size:12;"&gt;视频延迟校准&lt;/text&gt;&lt;/svg&gt;</v>
      </c>
      <c r="P743" s="5"/>
    </row>
    <row r="744" spans="1:16" ht="14.25" customHeight="1">
      <c r="A744">
        <v>1402</v>
      </c>
      <c r="B744">
        <v>0</v>
      </c>
      <c r="C744">
        <v>0</v>
      </c>
      <c r="E744">
        <v>1</v>
      </c>
      <c r="F744">
        <v>12</v>
      </c>
      <c r="G744" s="1" t="s">
        <v>697</v>
      </c>
      <c r="H744" s="16" t="s">
        <v>3376</v>
      </c>
      <c r="I744" s="18"/>
      <c r="J744" t="str">
        <f>IF(LEN(VLOOKUP(表1[[#This Row],[id]],数据引用!A:C,3,FALSE))&gt;0,VLOOKUP(表1[[#This Row],[id]],数据引用!A:C,3,FALSE),"")</f>
        <v>当你听到声音时按 ↑ 键</v>
      </c>
      <c r="K744" t="s">
        <v>1206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font-size:12;"&gt;当你听到声音时按 ↑ 键&lt;/text&gt;&lt;text transform="matrix(1 0 0 1 0 10.3205)" style="fill:#FFFFFF; font-family:'FZXS12--GB1-0'; font-size:12;"&gt;当你听到声音时按 ↑ 键&lt;/text&gt;&lt;/svg&gt;</v>
      </c>
      <c r="P744" s="5"/>
    </row>
    <row r="745" spans="1:16" ht="14.25" customHeight="1">
      <c r="A745">
        <v>1403</v>
      </c>
      <c r="B745">
        <v>0</v>
      </c>
      <c r="C745">
        <v>0</v>
      </c>
      <c r="E745">
        <v>1</v>
      </c>
      <c r="F745">
        <v>12</v>
      </c>
      <c r="G745" s="1" t="s">
        <v>698</v>
      </c>
      <c r="H745" s="16" t="s">
        <v>3377</v>
      </c>
      <c r="I745" s="18"/>
      <c r="J745" t="str">
        <f>IF(LEN(VLOOKUP(表1[[#This Row],[id]],数据引用!A:C,3,FALSE))&gt;0,VLOOKUP(表1[[#This Row],[id]],数据引用!A:C,3,FALSE),"")</f>
        <v>当你听到节拍时按 ↑ 键</v>
      </c>
      <c r="K745" t="s">
        <v>1206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font-size:12;"&gt;当你听到节拍时按 ↑ 键&lt;/text&gt;&lt;text transform="matrix(1 0 0 1 0 10.3205)" style="fill:#FFFFFF; font-family:'FZXS12--GB1-0'; font-size:12;"&gt;当你听到节拍时按 ↑ 键&lt;/text&gt;&lt;/svg&gt;</v>
      </c>
      <c r="P745" s="5"/>
    </row>
    <row r="746" spans="1:16" ht="14.25" customHeight="1">
      <c r="A746">
        <v>1404</v>
      </c>
      <c r="B746">
        <v>0</v>
      </c>
      <c r="C746">
        <v>0</v>
      </c>
      <c r="E746">
        <v>1</v>
      </c>
      <c r="F746">
        <v>12</v>
      </c>
      <c r="G746" s="1" t="s">
        <v>699</v>
      </c>
      <c r="H746" s="16" t="s">
        <v>3378</v>
      </c>
      <c r="I746" s="18"/>
      <c r="J746" t="str">
        <f>IF(LEN(VLOOKUP(表1[[#This Row],[id]],数据引用!A:C,3,FALSE))&gt;0,VLOOKUP(表1[[#This Row],[id]],数据引用!A:C,3,FALSE),"")</f>
        <v>或按 S 跳过校准</v>
      </c>
      <c r="K746" t="s">
        <v>1206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font-size:12;"&gt;或按 S 跳过校准&lt;/text&gt;&lt;text transform="matrix(1 0 0 1 0 10.3205)" style="fill:#FFFFFF; font-family:'FZXS12--GB1-0'; font-size:12;"&gt;或按 S 跳过校准&lt;/text&gt;&lt;/svg&gt;</v>
      </c>
      <c r="P746" s="5"/>
    </row>
    <row r="747" spans="1:16" ht="14.25" customHeight="1">
      <c r="A747">
        <v>1405</v>
      </c>
      <c r="B747">
        <v>0</v>
      </c>
      <c r="C747">
        <v>0</v>
      </c>
      <c r="E747">
        <v>1</v>
      </c>
      <c r="F747">
        <v>12</v>
      </c>
      <c r="G747" s="1" t="s">
        <v>700</v>
      </c>
      <c r="H747" s="16" t="s">
        <v>3379</v>
      </c>
      <c r="I747" s="18"/>
      <c r="J747" t="str">
        <f>IF(LEN(VLOOKUP(表1[[#This Row],[id]],数据引用!A:C,3,FALSE))&gt;0,VLOOKUP(表1[[#This Row],[id]],数据引用!A:C,3,FALSE),"")</f>
        <v>（校准可能耗时较长）</v>
      </c>
      <c r="K747" t="s">
        <v>1206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font-size:12;"&gt;（校准可能耗时较长）&lt;/text&gt;&lt;text transform="matrix(1 0 0 1 0 10.3205)" style="fill:#FFFFFF; font-family:'FZXS12--GB1-0'; font-size:12;"&gt;（校准可能耗时较长）&lt;/text&gt;&lt;/svg&gt;</v>
      </c>
      <c r="P747" s="5"/>
    </row>
    <row r="748" spans="1:16" ht="14.25" customHeight="1">
      <c r="A748">
        <v>1406</v>
      </c>
      <c r="B748">
        <v>0</v>
      </c>
      <c r="C748">
        <v>0</v>
      </c>
      <c r="E748">
        <v>1</v>
      </c>
      <c r="F748">
        <v>12</v>
      </c>
      <c r="G748" s="1" t="s">
        <v>701</v>
      </c>
      <c r="H748" s="16" t="s">
        <v>3380</v>
      </c>
      <c r="I748" s="18"/>
      <c r="J748" t="str">
        <f>IF(LEN(VLOOKUP(表1[[#This Row],[id]],数据引用!A:C,3,FALSE))&gt;0,VLOOKUP(表1[[#This Row],[id]],数据引用!A:C,3,FALSE),"")</f>
        <v>延迟校准结果</v>
      </c>
      <c r="K748" t="s">
        <v>1206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font-size:12;"&gt;延迟校准结果&lt;/text&gt;&lt;text transform="matrix(1 0 0 1 0 10.3205)" style="fill:#FFFFFF; font-family:'FZXS12--GB1-0'; font-size:12;"&gt;延迟校准结果&lt;/text&gt;&lt;/svg&gt;</v>
      </c>
      <c r="P748" s="5"/>
    </row>
    <row r="749" spans="1:16" ht="14.25" customHeight="1">
      <c r="A749">
        <v>1407</v>
      </c>
      <c r="B749">
        <v>0</v>
      </c>
      <c r="C749">
        <v>0</v>
      </c>
      <c r="E749">
        <v>1</v>
      </c>
      <c r="F749">
        <v>12</v>
      </c>
      <c r="G749" s="1" t="s">
        <v>702</v>
      </c>
      <c r="H749" s="16" t="s">
        <v>3381</v>
      </c>
      <c r="I749" s="18"/>
      <c r="J749" t="str">
        <f>IF(LEN(VLOOKUP(表1[[#This Row],[id]],数据引用!A:C,3,FALSE))&gt;0,VLOOKUP(表1[[#This Row],[id]],数据引用!A:C,3,FALSE),"")</f>
        <v>声音延迟：</v>
      </c>
      <c r="K749" t="s">
        <v>1206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font-size:12;"&gt;声音延迟：&lt;/text&gt;&lt;text transform="matrix(1 0 0 1 0 10.3205)" style="fill:#FFFFFF; font-family:'FZXS12--GB1-0'; font-size:12;"&gt;声音延迟：&lt;/text&gt;&lt;/svg&gt;</v>
      </c>
      <c r="P749" s="5"/>
    </row>
    <row r="750" spans="1:16" ht="14.25" customHeight="1">
      <c r="A750">
        <v>1408</v>
      </c>
      <c r="B750">
        <v>0</v>
      </c>
      <c r="C750">
        <v>0</v>
      </c>
      <c r="E750">
        <v>1</v>
      </c>
      <c r="F750">
        <v>12</v>
      </c>
      <c r="G750" s="1" t="s">
        <v>703</v>
      </c>
      <c r="H750" s="16" t="s">
        <v>3382</v>
      </c>
      <c r="I750" s="18"/>
      <c r="J750" t="str">
        <f>IF(LEN(VLOOKUP(表1[[#This Row],[id]],数据引用!A:C,3,FALSE))&gt;0,VLOOKUP(表1[[#This Row],[id]],数据引用!A:C,3,FALSE),"")</f>
        <v>视频延迟：</v>
      </c>
      <c r="K750" t="s">
        <v>1206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font-size:12;"&gt;视频延迟：&lt;/text&gt;&lt;text transform="matrix(1 0 0 1 0 10.3205)" style="fill:#FFFFFF; font-family:'FZXS12--GB1-0'; font-size:12;"&gt;视频延迟：&lt;/text&gt;&lt;/svg&gt;</v>
      </c>
      <c r="P750" s="5"/>
    </row>
    <row r="751" spans="1:16" ht="14.25" customHeight="1">
      <c r="A751">
        <v>1409</v>
      </c>
      <c r="B751">
        <v>0</v>
      </c>
      <c r="C751">
        <v>0</v>
      </c>
      <c r="E751">
        <v>1</v>
      </c>
      <c r="F751">
        <v>12</v>
      </c>
      <c r="G751" s="1" t="s">
        <v>704</v>
      </c>
      <c r="H751" s="16" t="s">
        <v>3383</v>
      </c>
      <c r="I751" s="18"/>
      <c r="J751" t="str">
        <f>IF(LEN(VLOOKUP(表1[[#This Row],[id]],数据引用!A:C,3,FALSE))&gt;0,VLOOKUP(表1[[#This Row],[id]],数据引用!A:C,3,FALSE),"")</f>
        <v>按 左右 键调整声音延迟</v>
      </c>
      <c r="K751" t="s">
        <v>1206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键调整声音延迟&lt;/text&gt;&lt;text transform="matrix(1 0 0 1 0 10.3205)" style="fill:#FFFFFF; font-family:'FZXS12--GB1-0'; font-size:12;"&gt;按 左右 键调整声音延迟&lt;/text&gt;&lt;/svg&gt;</v>
      </c>
      <c r="P751" s="5"/>
    </row>
    <row r="752" spans="1:16" ht="14.25" customHeight="1">
      <c r="A752">
        <v>1410</v>
      </c>
      <c r="B752">
        <v>0</v>
      </c>
      <c r="C752">
        <v>0</v>
      </c>
      <c r="E752">
        <v>1</v>
      </c>
      <c r="F752">
        <v>12</v>
      </c>
      <c r="G752" s="1" t="s">
        <v>705</v>
      </c>
      <c r="H752" s="16" t="s">
        <v>3384</v>
      </c>
      <c r="I752" s="18"/>
      <c r="J752" t="str">
        <f>IF(LEN(VLOOKUP(表1[[#This Row],[id]],数据引用!A:C,3,FALSE))&gt;0,VLOOKUP(表1[[#This Row],[id]],数据引用!A:C,3,FALSE),"")</f>
        <v>按 左右 键调整视频延迟</v>
      </c>
      <c r="K752" t="s">
        <v>1206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键调整视频延迟&lt;/text&gt;&lt;text transform="matrix(1 0 0 1 0 10.3205)" style="fill:#FFFFFF; font-family:'FZXS12--GB1-0'; font-size:12;"&gt;按 左右 键调整视频延迟&lt;/text&gt;&lt;/svg&gt;</v>
      </c>
      <c r="P752" s="5"/>
    </row>
    <row r="753" spans="1:16" ht="14.25" customHeight="1">
      <c r="A753">
        <v>1411</v>
      </c>
      <c r="B753">
        <v>0</v>
      </c>
      <c r="C753">
        <v>0</v>
      </c>
      <c r="E753">
        <v>1</v>
      </c>
      <c r="F753">
        <v>12</v>
      </c>
      <c r="G753" s="1" t="s">
        <v>706</v>
      </c>
      <c r="H753" s="16" t="s">
        <v>3385</v>
      </c>
      <c r="I753" s="18"/>
      <c r="J753" t="str">
        <f>IF(LEN(VLOOKUP(表1[[#This Row],[id]],数据引用!A:C,3,FALSE))&gt;0,VLOOKUP(表1[[#This Row],[id]],数据引用!A:C,3,FALSE),"")</f>
        <v>按 回车 保存并退出</v>
      </c>
      <c r="K753" t="s">
        <v>1206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回车 保存并退出&lt;/text&gt;&lt;text transform="matrix(1 0 0 1 0 10.3205)" style="fill:#FFFFFF; font-family:'FZXS12--GB1-0'; font-size:12;"&gt;按 回车 保存并退出&lt;/text&gt;&lt;/svg&gt;</v>
      </c>
      <c r="P753" s="5"/>
    </row>
    <row r="754" spans="1:16" ht="14.25" customHeight="1">
      <c r="A754">
        <v>1500</v>
      </c>
      <c r="B754">
        <v>0</v>
      </c>
      <c r="C754">
        <v>0</v>
      </c>
      <c r="E754" t="s">
        <v>2572</v>
      </c>
      <c r="F754">
        <v>18</v>
      </c>
      <c r="G754" s="1" t="s">
        <v>676</v>
      </c>
      <c r="H754" s="16" t="s">
        <v>3386</v>
      </c>
      <c r="I754" s="18"/>
      <c r="J754" t="str">
        <f>IF(LEN(VLOOKUP(表1[[#This Row],[id]],数据引用!A:C,3,FALSE))&gt;0,VLOOKUP(表1[[#This Row],[id]],数据引用!A:C,3,FALSE),"")</f>
        <v>MODS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font-size:12;"&gt;MODS&lt;/text&gt;&lt;text transform="matrix(1 0 0 1 0 10.3205)" style="fill:#FFFFFF; font-family:'FZXS12--GB1-0'; font-size:12;"&gt;MODS&lt;/text&gt;&lt;/svg&gt;</v>
      </c>
      <c r="P754" s="5"/>
    </row>
    <row r="755" spans="1:16" ht="14.25" customHeight="1">
      <c r="A755">
        <v>1501</v>
      </c>
      <c r="B755">
        <v>0</v>
      </c>
      <c r="C755">
        <v>0</v>
      </c>
      <c r="E755">
        <v>1</v>
      </c>
      <c r="F755">
        <v>12</v>
      </c>
      <c r="G755" s="1" t="s">
        <v>707</v>
      </c>
      <c r="H755" s="16" t="s">
        <v>3387</v>
      </c>
      <c r="I755" s="16" t="s">
        <v>4316</v>
      </c>
      <c r="J755" t="str">
        <f>IF(LEN(VLOOKUP(表1[[#This Row],[id]],数据引用!A:C,3,FALSE))&gt;0,VLOOKUP(表1[[#This Row],[id]],数据引用!A:C,3,FALSE),"")</f>
        <v>默认启用MOD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font-size:12;"&gt;默认启用MOD&lt;/text&gt;&lt;text transform="matrix(1 0 0 1 0 10.3205)" style="fill:#FFFFFF; font-family:'FZXS12--GB1-0'; font-size:12;"&gt;默认启用MOD&lt;/text&gt;&lt;/svg&gt;</v>
      </c>
      <c r="P755" s="5" t="s">
        <v>1282</v>
      </c>
    </row>
    <row r="756" spans="1:16" ht="14.25" customHeight="1">
      <c r="A756">
        <v>1502</v>
      </c>
      <c r="B756">
        <v>0</v>
      </c>
      <c r="C756">
        <v>0</v>
      </c>
      <c r="E756">
        <v>1</v>
      </c>
      <c r="F756">
        <v>12</v>
      </c>
      <c r="G756" s="1" t="s">
        <v>708</v>
      </c>
      <c r="H756" s="16" t="s">
        <v>3388</v>
      </c>
      <c r="I756" s="16" t="s">
        <v>4317</v>
      </c>
      <c r="J756" t="str">
        <f>IF(LEN(VLOOKUP(表1[[#This Row],[id]],数据引用!A:C,3,FALSE))&gt;0,VLOOKUP(表1[[#This Row],[id]],数据引用!A:C,3,FALSE),"")</f>
        <v>发布这个MOD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font-size:12;"&gt;发布这个MOD&lt;/text&gt;&lt;text transform="matrix(1 0 0 1 0 10.3205)" style="fill:#FFFFFF; font-family:'FZXS12--GB1-0'; font-size:12;"&gt;发布这个MOD&lt;/text&gt;&lt;/svg&gt;</v>
      </c>
      <c r="P756" s="5" t="s">
        <v>1282</v>
      </c>
    </row>
    <row r="757" spans="1:16" ht="14.25" customHeight="1">
      <c r="A757">
        <v>1503</v>
      </c>
      <c r="B757">
        <v>0</v>
      </c>
      <c r="C757">
        <v>0</v>
      </c>
      <c r="E757">
        <v>1</v>
      </c>
      <c r="F757">
        <v>12</v>
      </c>
      <c r="G757" s="1" t="s">
        <v>709</v>
      </c>
      <c r="H757" s="16" t="s">
        <v>3389</v>
      </c>
      <c r="I757" s="16" t="s">
        <v>4318</v>
      </c>
      <c r="J757" t="str">
        <f>IF(LEN(VLOOKUP(表1[[#This Row],[id]],数据引用!A:C,3,FALSE))&gt;0,VLOOKUP(表1[[#This Row],[id]],数据引用!A:C,3,FALSE),"")</f>
        <v>使用这个MOD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font-size:12;"&gt;使用这个MOD&lt;/text&gt;&lt;text transform="matrix(1 0 0 1 0 10.3205)" style="fill:#FFFFFF; font-family:'FZXS12--GB1-0'; font-size:12;"&gt;使用这个MOD&lt;/text&gt;&lt;/svg&gt;</v>
      </c>
      <c r="P757" s="5" t="s">
        <v>1282</v>
      </c>
    </row>
    <row r="758" spans="1:16" ht="14.25" customHeight="1">
      <c r="A758">
        <v>1504</v>
      </c>
      <c r="B758">
        <v>0</v>
      </c>
      <c r="C758">
        <v>0</v>
      </c>
      <c r="E758">
        <v>1</v>
      </c>
      <c r="F758">
        <v>12</v>
      </c>
      <c r="G758" s="1" t="s">
        <v>710</v>
      </c>
      <c r="H758" s="16" t="s">
        <v>3390</v>
      </c>
      <c r="I758" s="18"/>
      <c r="J758" t="str">
        <f>IF(LEN(VLOOKUP(表1[[#This Row],[id]],数据引用!A:C,3,FALSE))&gt;0,VLOOKUP(表1[[#This Row],[id]],数据引用!A:C,3,FALSE),"")</f>
        <v>上传中...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758" s="5"/>
    </row>
    <row r="759" spans="1:16" ht="14.25" customHeight="1">
      <c r="A759">
        <v>1505</v>
      </c>
      <c r="B759">
        <v>0</v>
      </c>
      <c r="C759">
        <v>0</v>
      </c>
      <c r="E759">
        <v>1</v>
      </c>
      <c r="F759">
        <v>12</v>
      </c>
      <c r="G759" s="1" t="s">
        <v>711</v>
      </c>
      <c r="H759" s="16" t="s">
        <v>3391</v>
      </c>
      <c r="I759" s="18"/>
      <c r="J759" t="str">
        <f>IF(LEN(VLOOKUP(表1[[#This Row],[id]],数据引用!A:C,3,FALSE))&gt;0,VLOOKUP(表1[[#This Row],[id]],数据引用!A:C,3,FALSE),"")</f>
        <v>上传MOD失败！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font-size:12;"&gt;上传MOD失败！&lt;/text&gt;&lt;text transform="matrix(1 0 0 1 0 10.3205)" style="fill:#FFFFFF; font-family:'FZXS12--GB1-0'; font-size:12;"&gt;上传MOD失败！&lt;/text&gt;&lt;/svg&gt;</v>
      </c>
      <c r="P759" s="5"/>
    </row>
    <row r="760" spans="1:16" ht="14.25" customHeight="1">
      <c r="A760">
        <v>1506</v>
      </c>
      <c r="B760">
        <v>0</v>
      </c>
      <c r="C760">
        <v>0</v>
      </c>
      <c r="E760">
        <v>1</v>
      </c>
      <c r="F760">
        <v>12</v>
      </c>
      <c r="G760" s="1" t="s">
        <v>712</v>
      </c>
      <c r="H760" s="16" t="s">
        <v>3392</v>
      </c>
      <c r="I760" s="18"/>
      <c r="J760" t="str">
        <f>IF(LEN(VLOOKUP(表1[[#This Row],[id]],数据引用!A:C,3,FALSE))&gt;0,VLOOKUP(表1[[#This Row],[id]],数据引用!A:C,3,FALSE),"")</f>
        <v>上传成功！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font-size:12;"&gt;上传成功！&lt;/text&gt;&lt;text transform="matrix(1 0 0 1 0 10.3205)" style="fill:#FFFFFF; font-family:'FZXS12--GB1-0'; font-size:12;"&gt;上传成功！&lt;/text&gt;&lt;/svg&gt;</v>
      </c>
      <c r="P760" s="5"/>
    </row>
    <row r="761" spans="1:16" ht="14.25" customHeight="1">
      <c r="A761">
        <v>1507</v>
      </c>
      <c r="B761">
        <v>0</v>
      </c>
      <c r="C761">
        <v>0</v>
      </c>
      <c r="E761" t="s">
        <v>2570</v>
      </c>
      <c r="F761">
        <v>6</v>
      </c>
      <c r="G761" s="1" t="s">
        <v>1224</v>
      </c>
      <c r="H761" s="16" t="s">
        <v>3393</v>
      </c>
      <c r="I761" s="18"/>
      <c r="J761" t="str">
        <f>IF(LEN(VLOOKUP(表1[[#This Row],[id]],数据引用!A:C,3,FALSE))&gt;0,VLOOKUP(表1[[#This Row],[id]],数据引用!A:C,3,FALSE),"")</f>
        <v>MOD制作FAQ请访问NECRODANCER.COM/WORKSHOP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font-size:12;"&gt;MOD制作FAQ请访问NECRODANCER.COM/WORKSHOP&lt;/text&gt;&lt;text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customHeight="1">
      <c r="A762">
        <v>1508</v>
      </c>
      <c r="B762">
        <v>0</v>
      </c>
      <c r="C762">
        <v>0</v>
      </c>
      <c r="E762">
        <v>1</v>
      </c>
      <c r="F762">
        <v>12</v>
      </c>
      <c r="G762" s="1" t="s">
        <v>713</v>
      </c>
      <c r="H762" s="16" t="s">
        <v>3394</v>
      </c>
      <c r="I762" s="18"/>
      <c r="J762" t="str">
        <f>IF(LEN(VLOOKUP(表1[[#This Row],[id]],数据引用!A:C,3,FALSE))&gt;0,VLOOKUP(表1[[#This Row],[id]],数据引用!A:C,3,FALSE),"")</f>
        <v>因为这个MOD修改了NECRODANCER.XML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font-size:12;"&gt;因为这个MOD修改了NECRODANCER.XML&lt;/text&gt;&lt;text transform="matrix(1 0 0 1 0 10.3205)" style="fill:#FFFFFF; font-family:'FZXS12--GB1-0'; font-size:12;"&gt;因为这个MOD修改了NECRODANCER.XML&lt;/text&gt;&lt;/svg&gt;</v>
      </c>
      <c r="P762" s="5"/>
    </row>
    <row r="763" spans="1:16" ht="14.25" customHeight="1">
      <c r="A763">
        <v>1509</v>
      </c>
      <c r="B763">
        <v>0</v>
      </c>
      <c r="C763">
        <v>0</v>
      </c>
      <c r="E763">
        <v>1</v>
      </c>
      <c r="F763">
        <v>12</v>
      </c>
      <c r="G763" s="1" t="s">
        <v>714</v>
      </c>
      <c r="H763" s="16" t="s">
        <v>3395</v>
      </c>
      <c r="I763" s="18"/>
      <c r="J763" t="str">
        <f>IF(LEN(VLOOKUP(表1[[#This Row],[id]],数据引用!A:C,3,FALSE))&gt;0,VLOOKUP(表1[[#This Row],[id]],数据引用!A:C,3,FALSE),"")</f>
        <v>你将无法获得成就和排行榜排名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font-size:12;"&gt;你将无法获得成就和排行榜排名&lt;/text&gt;&lt;text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customHeight="1">
      <c r="A764">
        <v>1510</v>
      </c>
      <c r="B764">
        <v>0</v>
      </c>
      <c r="C764">
        <v>0</v>
      </c>
      <c r="E764">
        <v>1</v>
      </c>
      <c r="F764">
        <v>12</v>
      </c>
      <c r="G764" s="1" t="s">
        <v>615</v>
      </c>
      <c r="H764" s="16" t="s">
        <v>3396</v>
      </c>
      <c r="I764" s="18"/>
      <c r="J764" t="str">
        <f>IF(LEN(VLOOKUP(表1[[#This Row],[id]],数据引用!A:C,3,FALSE))&gt;0,VLOOKUP(表1[[#This Row],[id]],数据引用!A:C,3,FALSE),"")</f>
        <v>继续？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764" s="5"/>
    </row>
    <row r="765" spans="1:16" ht="14.25" customHeight="1">
      <c r="A765">
        <v>1511</v>
      </c>
      <c r="B765">
        <v>0</v>
      </c>
      <c r="C765">
        <v>0</v>
      </c>
      <c r="E765">
        <v>1</v>
      </c>
      <c r="F765">
        <v>12</v>
      </c>
      <c r="G765" s="1" t="s">
        <v>715</v>
      </c>
      <c r="H765" s="16" t="s">
        <v>3397</v>
      </c>
      <c r="I765" s="18"/>
      <c r="J765" t="str">
        <f>IF(LEN(VLOOKUP(表1[[#This Row],[id]],数据引用!A:C,3,FALSE))&gt;0,VLOOKUP(表1[[#This Row],[id]],数据引用!A:C,3,FALSE),"")</f>
        <v>读取图片失败：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font-size:12;"&gt;读取图片失败：&lt;/text&gt;&lt;text transform="matrix(1 0 0 1 0 10.3205)" style="fill:#FFFFFF; font-family:'FZXS12--GB1-0'; font-size:12;"&gt;读取图片失败：&lt;/text&gt;&lt;/svg&gt;</v>
      </c>
      <c r="P765" s="5"/>
    </row>
    <row r="766" spans="1:16" ht="14.25" customHeight="1">
      <c r="A766">
        <v>1512</v>
      </c>
      <c r="B766">
        <v>0</v>
      </c>
      <c r="C766">
        <v>0</v>
      </c>
      <c r="E766">
        <v>1</v>
      </c>
      <c r="F766">
        <v>12</v>
      </c>
      <c r="G766" s="12" t="s">
        <v>716</v>
      </c>
      <c r="H766" s="16" t="s">
        <v>3398</v>
      </c>
      <c r="I766" s="18"/>
      <c r="J766" t="str">
        <f>IF(LEN(VLOOKUP(表1[[#This Row],[id]],数据引用!A:C,3,FALSE))&gt;0,VLOOKUP(表1[[#This Row],[id]],数据引用!A:C,3,FALSE),"")</f>
        <v>MOD:</v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font-size:12;"&gt;MOD:&lt;/text&gt;&lt;text transform="matrix(1 0 0 1 0 10.3205)" style="fill:#FFFFFF; font-family:'FZXS12--GB1-0'; font-size:12;"&gt;MOD:&lt;/text&gt;&lt;/svg&gt;</v>
      </c>
      <c r="P766" s="5"/>
    </row>
    <row r="767" spans="1:16" ht="14.25" customHeight="1">
      <c r="A767">
        <v>1513</v>
      </c>
      <c r="B767">
        <v>0</v>
      </c>
      <c r="C767">
        <v>0</v>
      </c>
      <c r="E767">
        <v>1</v>
      </c>
      <c r="F767">
        <v>12</v>
      </c>
      <c r="G767" s="1" t="s">
        <v>717</v>
      </c>
      <c r="H767" s="16" t="s">
        <v>3399</v>
      </c>
      <c r="I767" s="18"/>
      <c r="J767" t="str">
        <f>IF(LEN(VLOOKUP(表1[[#This Row],[id]],数据引用!A:C,3,FALSE))&gt;0,VLOOKUP(表1[[#This Row],[id]],数据引用!A:C,3,FALSE),"")</f>
        <v>联系MOD作者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font-size:12;"&gt;联系MOD作者&lt;/text&gt;&lt;text transform="matrix(1 0 0 1 0 10.3205)" style="fill:#FFFFFF; font-family:'FZXS12--GB1-0'; font-size:12;"&gt;联系MOD作者&lt;/text&gt;&lt;/svg&gt;</v>
      </c>
      <c r="P767" s="5"/>
    </row>
    <row r="768" spans="1:16" ht="14.25" customHeight="1">
      <c r="A768">
        <v>1514</v>
      </c>
      <c r="B768">
        <v>0</v>
      </c>
      <c r="C768">
        <v>0</v>
      </c>
      <c r="E768">
        <v>1</v>
      </c>
      <c r="F768">
        <v>12</v>
      </c>
      <c r="G768" s="1" t="s">
        <v>718</v>
      </c>
      <c r="H768" s="16" t="s">
        <v>3400</v>
      </c>
      <c r="I768" s="16" t="s">
        <v>4319</v>
      </c>
      <c r="J768" t="str">
        <f>IF(LEN(VLOOKUP(表1[[#This Row],[id]],数据引用!A:C,3,FALSE))&gt;0,VLOOKUP(表1[[#This Row],[id]],数据引用!A:C,3,FALSE),"")</f>
        <v>使用MOD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font-size:12;"&gt;使用MOD&lt;/text&gt;&lt;text transform="matrix(1 0 0 1 0 10.3205)" style="fill:#FFFFFF; font-family:'FZXS12--GB1-0'; font-size:12;"&gt;使用MOD&lt;/text&gt;&lt;/svg&gt;</v>
      </c>
      <c r="P768" s="5" t="s">
        <v>1282</v>
      </c>
    </row>
    <row r="769" spans="1:16" ht="14.25" customHeight="1">
      <c r="A769">
        <v>1515</v>
      </c>
      <c r="B769">
        <v>0</v>
      </c>
      <c r="C769">
        <v>0</v>
      </c>
      <c r="E769">
        <v>1</v>
      </c>
      <c r="F769">
        <v>12</v>
      </c>
      <c r="G769" s="1" t="s">
        <v>719</v>
      </c>
      <c r="H769" s="16" t="s">
        <v>3401</v>
      </c>
      <c r="I769" s="16" t="s">
        <v>4320</v>
      </c>
      <c r="J769" t="str">
        <f>IF(LEN(VLOOKUP(表1[[#This Row],[id]],数据引用!A:C,3,FALSE))&gt;0,VLOOKUP(表1[[#This Row],[id]],数据引用!A:C,3,FALSE),"")</f>
        <v>发布MOD到Workshop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font-size:12;"&gt;发布MOD到Workshop&lt;/text&gt;&lt;text transform="matrix(1 0 0 1 0 10.3205)" style="fill:#FFFFFF; font-family:'FZXS12--GB1-0'; font-size:12;"&gt;发布MOD到Workshop&lt;/text&gt;&lt;/svg&gt;</v>
      </c>
      <c r="P769" s="5" t="s">
        <v>1282</v>
      </c>
    </row>
    <row r="770" spans="1:16" ht="14.25" customHeight="1">
      <c r="A770">
        <v>1516</v>
      </c>
      <c r="B770">
        <v>0</v>
      </c>
      <c r="C770">
        <v>0</v>
      </c>
      <c r="E770">
        <v>1</v>
      </c>
      <c r="F770">
        <v>12</v>
      </c>
      <c r="G770" s="1" t="s">
        <v>720</v>
      </c>
      <c r="H770" s="16" t="s">
        <v>3402</v>
      </c>
      <c r="I770" s="16" t="s">
        <v>4321</v>
      </c>
      <c r="J770" t="str">
        <f>IF(LEN(VLOOKUP(表1[[#This Row],[id]],数据引用!A:C,3,FALSE))&gt;0,VLOOKUP(表1[[#This Row],[id]],数据引用!A:C,3,FALSE),"")</f>
        <v>停用MOD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font-size:12;"&gt;停用MOD&lt;/text&gt;&lt;text transform="matrix(1 0 0 1 0 10.3205)" style="fill:#FFFFFF; font-family:'FZXS12--GB1-0'; font-size:12;"&gt;停用MOD&lt;/text&gt;&lt;/svg&gt;</v>
      </c>
      <c r="P770" s="5" t="s">
        <v>1282</v>
      </c>
    </row>
    <row r="771" spans="1:16" ht="14.25" customHeight="1">
      <c r="A771">
        <v>1600</v>
      </c>
      <c r="B771">
        <v>0</v>
      </c>
      <c r="C771">
        <v>0</v>
      </c>
      <c r="E771" t="s">
        <v>2572</v>
      </c>
      <c r="F771">
        <v>18</v>
      </c>
      <c r="G771" s="8" t="s">
        <v>721</v>
      </c>
      <c r="H771" s="16" t="s">
        <v>3403</v>
      </c>
      <c r="I771" s="18"/>
      <c r="J771" t="str">
        <f>IF(LEN(VLOOKUP(表1[[#This Row],[id]],数据引用!A:C,3,FALSE))&gt;0,VLOOKUP(表1[[#This Row],[id]],数据引用!A:C,3,FALSE),"")</f>
        <v>按键绑定</v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P771" s="5"/>
    </row>
    <row r="772" spans="1:16" ht="14.25" customHeight="1">
      <c r="A772">
        <v>1601</v>
      </c>
      <c r="B772">
        <v>0</v>
      </c>
      <c r="C772">
        <v>0</v>
      </c>
      <c r="E772">
        <v>1</v>
      </c>
      <c r="F772">
        <v>12</v>
      </c>
      <c r="G772" s="8" t="s">
        <v>722</v>
      </c>
      <c r="H772" s="16" t="s">
        <v>3404</v>
      </c>
      <c r="I772" s="16" t="s">
        <v>4322</v>
      </c>
      <c r="J772" t="str">
        <f>IF(LEN(VLOOKUP(表1[[#This Row],[id]],数据引用!A:C,3,FALSE))&gt;0,VLOOKUP(表1[[#This Row],[id]],数据引用!A:C,3,FALSE),"")</f>
        <v>当前玩家：</v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font-size:12;"&gt;当前玩家：&lt;/text&gt;&lt;text transform="matrix(1 0 0 1 0 10.3205)" style="fill:#FFFFFF; font-family:'FZXS12--GB1-0'; font-size:12;"&gt;当前玩家：&lt;/text&gt;&lt;/svg&gt;</v>
      </c>
      <c r="P772" s="5" t="s">
        <v>1282</v>
      </c>
    </row>
    <row r="773" spans="1:16" ht="14.25" customHeight="1">
      <c r="A773">
        <v>1602</v>
      </c>
      <c r="B773">
        <v>0</v>
      </c>
      <c r="C773">
        <v>0</v>
      </c>
      <c r="E773">
        <v>1</v>
      </c>
      <c r="F773">
        <v>12</v>
      </c>
      <c r="G773" s="8" t="s">
        <v>723</v>
      </c>
      <c r="H773" s="16" t="s">
        <v>3405</v>
      </c>
      <c r="I773" s="16" t="s">
        <v>4323</v>
      </c>
      <c r="J773" t="str">
        <f>IF(LEN(VLOOKUP(表1[[#This Row],[id]],数据引用!A:C,3,FALSE))&gt;0,VLOOKUP(表1[[#This Row],[id]],数据引用!A:C,3,FALSE),"")</f>
        <v>恢复默认按键</v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font-size:12;"&gt;恢复默认按键&lt;/text&gt;&lt;text transform="matrix(1 0 0 1 0 10.3205)" style="fill:#FFFFFF; font-family:'FZXS12--GB1-0'; font-size:12;"&gt;恢复默认按键&lt;/text&gt;&lt;/svg&gt;</v>
      </c>
      <c r="P773" s="5" t="s">
        <v>1282</v>
      </c>
    </row>
    <row r="774" spans="1:16" ht="14.25" customHeight="1">
      <c r="A774">
        <v>1603</v>
      </c>
      <c r="B774">
        <v>0</v>
      </c>
      <c r="C774">
        <v>0</v>
      </c>
      <c r="E774">
        <v>1</v>
      </c>
      <c r="F774">
        <v>12</v>
      </c>
      <c r="G774" s="8" t="s">
        <v>724</v>
      </c>
      <c r="H774" s="15" t="s">
        <v>3406</v>
      </c>
      <c r="I774" s="15" t="s">
        <v>4324</v>
      </c>
      <c r="J774" t="str">
        <f>IF(LEN(VLOOKUP(表1[[#This Row],[id]],数据引用!A:C,3,FALSE))&gt;0,VLOOKUP(表1[[#This Row],[id]],数据引用!A:C,3,FALSE),"")</f>
        <v/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4" s="5" t="s">
        <v>1282</v>
      </c>
    </row>
    <row r="775" spans="1:16" ht="14.25" customHeight="1">
      <c r="A775">
        <v>1604</v>
      </c>
      <c r="B775">
        <v>0</v>
      </c>
      <c r="C775">
        <v>0</v>
      </c>
      <c r="E775">
        <v>1</v>
      </c>
      <c r="F775">
        <v>12</v>
      </c>
      <c r="G775" s="8" t="s">
        <v>725</v>
      </c>
      <c r="H775" s="15" t="s">
        <v>3407</v>
      </c>
      <c r="I775" s="15" t="s">
        <v>4325</v>
      </c>
      <c r="J775" t="str">
        <f>IF(LEN(VLOOKUP(表1[[#This Row],[id]],数据引用!A:C,3,FALSE))&gt;0,VLOOKUP(表1[[#This Row],[id]],数据引用!A:C,3,FALSE),"")</f>
        <v/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5" s="5" t="s">
        <v>1282</v>
      </c>
    </row>
    <row r="776" spans="1:16" ht="14.25" customHeight="1">
      <c r="A776">
        <v>1605</v>
      </c>
      <c r="B776">
        <v>0</v>
      </c>
      <c r="C776">
        <v>0</v>
      </c>
      <c r="E776" t="s">
        <v>2570</v>
      </c>
      <c r="F776">
        <v>6</v>
      </c>
      <c r="G776" s="8" t="s">
        <v>726</v>
      </c>
      <c r="H776" s="15" t="s">
        <v>3408</v>
      </c>
      <c r="I776" s="18"/>
      <c r="J776" t="str">
        <f>IF(LEN(VLOOKUP(表1[[#This Row],[id]],数据引用!A:C,3,FALSE))&gt;0,VLOOKUP(表1[[#This Row],[id]],数据引用!A:C,3,FALSE),"")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6" s="5"/>
    </row>
    <row r="777" spans="1:16" ht="14.25" customHeight="1">
      <c r="A777">
        <v>1606</v>
      </c>
      <c r="B777">
        <v>0</v>
      </c>
      <c r="C777">
        <v>0</v>
      </c>
      <c r="E777" t="s">
        <v>2570</v>
      </c>
      <c r="F777">
        <v>6</v>
      </c>
      <c r="G777" s="8" t="s">
        <v>727</v>
      </c>
      <c r="H777" s="15" t="s">
        <v>3409</v>
      </c>
      <c r="I777" s="15" t="s">
        <v>4326</v>
      </c>
      <c r="J777" t="str">
        <f>IF(LEN(VLOOKUP(表1[[#This Row],[id]],数据引用!A:C,3,FALSE))&gt;0,VLOOKUP(表1[[#This Row],[id]],数据引用!A:C,3,FALSE),"")</f>
        <v/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7" s="5" t="s">
        <v>1282</v>
      </c>
    </row>
    <row r="778" spans="1:16" ht="14.25" customHeight="1">
      <c r="A778">
        <v>1607</v>
      </c>
      <c r="B778">
        <v>0</v>
      </c>
      <c r="C778">
        <v>0</v>
      </c>
      <c r="E778" t="s">
        <v>2570</v>
      </c>
      <c r="F778">
        <v>6</v>
      </c>
      <c r="G778" s="8" t="s">
        <v>728</v>
      </c>
      <c r="H778" s="15" t="s">
        <v>3410</v>
      </c>
      <c r="I778" s="15" t="s">
        <v>4327</v>
      </c>
      <c r="J778" t="str">
        <f>IF(LEN(VLOOKUP(表1[[#This Row],[id]],数据引用!A:C,3,FALSE))&gt;0,VLOOKUP(表1[[#This Row],[id]],数据引用!A:C,3,FALSE),"")</f>
        <v/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8" s="5" t="s">
        <v>1282</v>
      </c>
    </row>
    <row r="779" spans="1:16" ht="14.25" customHeight="1">
      <c r="A779">
        <v>1608</v>
      </c>
      <c r="B779">
        <v>0</v>
      </c>
      <c r="C779">
        <v>0</v>
      </c>
      <c r="E779" t="s">
        <v>2570</v>
      </c>
      <c r="F779">
        <v>6</v>
      </c>
      <c r="G779" s="8" t="s">
        <v>729</v>
      </c>
      <c r="H779" s="15" t="s">
        <v>3411</v>
      </c>
      <c r="I779" s="15" t="s">
        <v>4328</v>
      </c>
      <c r="J779" t="str">
        <f>IF(LEN(VLOOKUP(表1[[#This Row],[id]],数据引用!A:C,3,FALSE))&gt;0,VLOOKUP(表1[[#This Row],[id]],数据引用!A:C,3,FALSE),"")</f>
        <v/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9" s="5" t="s">
        <v>1282</v>
      </c>
    </row>
    <row r="780" spans="1:16" ht="14.25" customHeight="1">
      <c r="A780">
        <v>1609</v>
      </c>
      <c r="B780">
        <v>0</v>
      </c>
      <c r="C780">
        <v>0</v>
      </c>
      <c r="E780" t="s">
        <v>2570</v>
      </c>
      <c r="F780">
        <v>6</v>
      </c>
      <c r="G780" s="8" t="s">
        <v>730</v>
      </c>
      <c r="H780" s="15" t="s">
        <v>3412</v>
      </c>
      <c r="I780" s="15" t="s">
        <v>4329</v>
      </c>
      <c r="J780" t="str">
        <f>IF(LEN(VLOOKUP(表1[[#This Row],[id]],数据引用!A:C,3,FALSE))&gt;0,VLOOKUP(表1[[#This Row],[id]],数据引用!A:C,3,FALSE),"")</f>
        <v/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0" s="5" t="s">
        <v>1282</v>
      </c>
    </row>
    <row r="781" spans="1:16" ht="14.25" customHeight="1">
      <c r="A781">
        <v>1610</v>
      </c>
      <c r="B781">
        <v>0</v>
      </c>
      <c r="C781">
        <v>0</v>
      </c>
      <c r="E781" t="s">
        <v>2570</v>
      </c>
      <c r="F781">
        <v>6</v>
      </c>
      <c r="G781" s="8" t="s">
        <v>731</v>
      </c>
      <c r="H781" s="15" t="s">
        <v>3413</v>
      </c>
      <c r="I781" s="15" t="s">
        <v>4330</v>
      </c>
      <c r="J781" t="str">
        <f>IF(LEN(VLOOKUP(表1[[#This Row],[id]],数据引用!A:C,3,FALSE))&gt;0,VLOOKUP(表1[[#This Row],[id]],数据引用!A:C,3,FALSE),"")</f>
        <v/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1" s="5" t="s">
        <v>1282</v>
      </c>
    </row>
    <row r="782" spans="1:16" ht="14.25" customHeight="1">
      <c r="A782">
        <v>1611</v>
      </c>
      <c r="B782">
        <v>0</v>
      </c>
      <c r="C782">
        <v>0</v>
      </c>
      <c r="E782" t="s">
        <v>2570</v>
      </c>
      <c r="F782">
        <v>6</v>
      </c>
      <c r="G782" s="8" t="s">
        <v>732</v>
      </c>
      <c r="H782" s="15" t="s">
        <v>3414</v>
      </c>
      <c r="I782" s="15" t="s">
        <v>4331</v>
      </c>
      <c r="J782" t="str">
        <f>IF(LEN(VLOOKUP(表1[[#This Row],[id]],数据引用!A:C,3,FALSE))&gt;0,VLOOKUP(表1[[#This Row],[id]],数据引用!A:C,3,FALSE),"")</f>
        <v/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2" s="5" t="s">
        <v>1282</v>
      </c>
    </row>
    <row r="783" spans="1:16" ht="14.25" customHeight="1">
      <c r="A783">
        <v>1612</v>
      </c>
      <c r="B783">
        <v>0</v>
      </c>
      <c r="C783">
        <v>0</v>
      </c>
      <c r="E783" t="s">
        <v>2570</v>
      </c>
      <c r="F783">
        <v>6</v>
      </c>
      <c r="G783" s="8" t="s">
        <v>733</v>
      </c>
      <c r="H783" s="15" t="s">
        <v>3415</v>
      </c>
      <c r="I783" s="15" t="s">
        <v>4332</v>
      </c>
      <c r="J783" t="str">
        <f>IF(LEN(VLOOKUP(表1[[#This Row],[id]],数据引用!A:C,3,FALSE))&gt;0,VLOOKUP(表1[[#This Row],[id]],数据引用!A:C,3,FALSE),"")</f>
        <v/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3" s="5" t="s">
        <v>1282</v>
      </c>
    </row>
    <row r="784" spans="1:16" ht="14.25" customHeight="1">
      <c r="A784">
        <v>1613</v>
      </c>
      <c r="B784">
        <v>0</v>
      </c>
      <c r="C784">
        <v>0</v>
      </c>
      <c r="E784" t="s">
        <v>2570</v>
      </c>
      <c r="F784">
        <v>6</v>
      </c>
      <c r="G784" s="8" t="s">
        <v>734</v>
      </c>
      <c r="H784" s="15" t="s">
        <v>3416</v>
      </c>
      <c r="I784" s="15" t="s">
        <v>4333</v>
      </c>
      <c r="J784" t="str">
        <f>IF(LEN(VLOOKUP(表1[[#This Row],[id]],数据引用!A:C,3,FALSE))&gt;0,VLOOKUP(表1[[#This Row],[id]],数据引用!A:C,3,FALSE),"")</f>
        <v/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4" s="5" t="s">
        <v>1282</v>
      </c>
    </row>
    <row r="785" spans="1:16" ht="14.25" customHeight="1">
      <c r="A785">
        <v>1614</v>
      </c>
      <c r="B785">
        <v>0</v>
      </c>
      <c r="C785">
        <v>0</v>
      </c>
      <c r="E785" t="s">
        <v>2570</v>
      </c>
      <c r="F785">
        <v>6</v>
      </c>
      <c r="G785" s="8" t="s">
        <v>735</v>
      </c>
      <c r="H785" s="15" t="s">
        <v>3417</v>
      </c>
      <c r="I785" s="15" t="s">
        <v>4334</v>
      </c>
      <c r="J785" t="str">
        <f>IF(LEN(VLOOKUP(表1[[#This Row],[id]],数据引用!A:C,3,FALSE))&gt;0,VLOOKUP(表1[[#This Row],[id]],数据引用!A:C,3,FALSE),"")</f>
        <v/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5" s="5" t="s">
        <v>1282</v>
      </c>
    </row>
    <row r="786" spans="1:16" ht="14.25" customHeight="1">
      <c r="A786">
        <v>1615</v>
      </c>
      <c r="B786">
        <v>0</v>
      </c>
      <c r="C786">
        <v>0</v>
      </c>
      <c r="E786" t="s">
        <v>2570</v>
      </c>
      <c r="F786">
        <v>6</v>
      </c>
      <c r="G786" s="8" t="s">
        <v>736</v>
      </c>
      <c r="H786" s="15" t="s">
        <v>3418</v>
      </c>
      <c r="I786" s="15" t="s">
        <v>4335</v>
      </c>
      <c r="J786" t="str">
        <f>IF(LEN(VLOOKUP(表1[[#This Row],[id]],数据引用!A:C,3,FALSE))&gt;0,VLOOKUP(表1[[#This Row],[id]],数据引用!A:C,3,FALSE),"")</f>
        <v/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6" s="5" t="s">
        <v>1282</v>
      </c>
    </row>
    <row r="787" spans="1:16" ht="14.25" customHeight="1">
      <c r="A787">
        <v>1616</v>
      </c>
      <c r="B787">
        <v>0</v>
      </c>
      <c r="C787">
        <v>0</v>
      </c>
      <c r="E787" t="s">
        <v>2570</v>
      </c>
      <c r="F787">
        <v>6</v>
      </c>
      <c r="G787" s="8" t="s">
        <v>737</v>
      </c>
      <c r="H787" s="15" t="s">
        <v>3419</v>
      </c>
      <c r="I787" s="15" t="s">
        <v>4336</v>
      </c>
      <c r="J787" t="str">
        <f>IF(LEN(VLOOKUP(表1[[#This Row],[id]],数据引用!A:C,3,FALSE))&gt;0,VLOOKUP(表1[[#This Row],[id]],数据引用!A:C,3,FALSE),"")</f>
        <v/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7" s="5" t="s">
        <v>1282</v>
      </c>
    </row>
    <row r="788" spans="1:16" ht="14.25" customHeight="1">
      <c r="A788">
        <v>1617</v>
      </c>
      <c r="B788">
        <v>0</v>
      </c>
      <c r="C788">
        <v>0</v>
      </c>
      <c r="E788" t="s">
        <v>2570</v>
      </c>
      <c r="F788">
        <v>6</v>
      </c>
      <c r="G788" s="8" t="s">
        <v>738</v>
      </c>
      <c r="H788" s="15" t="s">
        <v>3420</v>
      </c>
      <c r="I788" s="15" t="s">
        <v>4337</v>
      </c>
      <c r="J788" t="str">
        <f>IF(LEN(VLOOKUP(表1[[#This Row],[id]],数据引用!A:C,3,FALSE))&gt;0,VLOOKUP(表1[[#This Row],[id]],数据引用!A:C,3,FALSE),"")</f>
        <v/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8" s="5" t="s">
        <v>1282</v>
      </c>
    </row>
    <row r="789" spans="1:16" ht="14.25" customHeight="1">
      <c r="A789">
        <v>1618</v>
      </c>
      <c r="B789">
        <v>0</v>
      </c>
      <c r="C789">
        <v>0</v>
      </c>
      <c r="E789" t="s">
        <v>2570</v>
      </c>
      <c r="F789">
        <v>6</v>
      </c>
      <c r="G789" s="8" t="s">
        <v>739</v>
      </c>
      <c r="H789" s="15" t="s">
        <v>3421</v>
      </c>
      <c r="I789" s="15" t="s">
        <v>4338</v>
      </c>
      <c r="J789" t="str">
        <f>IF(LEN(VLOOKUP(表1[[#This Row],[id]],数据引用!A:C,3,FALSE))&gt;0,VLOOKUP(表1[[#This Row],[id]],数据引用!A:C,3,FALSE),"")</f>
        <v/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9" s="5" t="s">
        <v>1282</v>
      </c>
    </row>
    <row r="790" spans="1:16" ht="14.25" customHeight="1">
      <c r="A790">
        <v>1619</v>
      </c>
      <c r="B790">
        <v>0</v>
      </c>
      <c r="C790">
        <v>0</v>
      </c>
      <c r="E790" t="s">
        <v>2570</v>
      </c>
      <c r="F790">
        <v>6</v>
      </c>
      <c r="G790" s="8" t="s">
        <v>740</v>
      </c>
      <c r="H790" s="15" t="s">
        <v>3422</v>
      </c>
      <c r="I790" s="15" t="s">
        <v>4339</v>
      </c>
      <c r="J790" t="str">
        <f>IF(LEN(VLOOKUP(表1[[#This Row],[id]],数据引用!A:C,3,FALSE))&gt;0,VLOOKUP(表1[[#This Row],[id]],数据引用!A:C,3,FALSE),"")</f>
        <v/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0" s="5" t="s">
        <v>1282</v>
      </c>
    </row>
    <row r="791" spans="1:16" ht="14.25" customHeight="1">
      <c r="A791">
        <v>1620</v>
      </c>
      <c r="B791">
        <v>0</v>
      </c>
      <c r="C791">
        <v>0</v>
      </c>
      <c r="E791" t="s">
        <v>2570</v>
      </c>
      <c r="F791">
        <v>6</v>
      </c>
      <c r="G791" s="8" t="s">
        <v>587</v>
      </c>
      <c r="H791" s="15" t="s">
        <v>3423</v>
      </c>
      <c r="I791" s="15" t="s">
        <v>4340</v>
      </c>
      <c r="J791" t="str">
        <f>IF(LEN(VLOOKUP(表1[[#This Row],[id]],数据引用!A:C,3,FALSE))&gt;0,VLOOKUP(表1[[#This Row],[id]],数据引用!A:C,3,FALSE),"")</f>
        <v/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1" s="5" t="s">
        <v>1282</v>
      </c>
    </row>
    <row r="792" spans="1:16" ht="14.25" customHeight="1">
      <c r="A792">
        <v>1621</v>
      </c>
      <c r="B792">
        <v>0</v>
      </c>
      <c r="C792">
        <v>0</v>
      </c>
      <c r="E792" t="s">
        <v>2570</v>
      </c>
      <c r="F792">
        <v>6</v>
      </c>
      <c r="G792" s="8" t="s">
        <v>741</v>
      </c>
      <c r="H792" s="15" t="s">
        <v>3424</v>
      </c>
      <c r="I792" s="15" t="s">
        <v>4341</v>
      </c>
      <c r="J792" t="str">
        <f>IF(LEN(VLOOKUP(表1[[#This Row],[id]],数据引用!A:C,3,FALSE))&gt;0,VLOOKUP(表1[[#This Row],[id]],数据引用!A:C,3,FALSE),"")</f>
        <v/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2" s="5" t="s">
        <v>1282</v>
      </c>
    </row>
    <row r="793" spans="1:16" ht="14.25" customHeight="1">
      <c r="A793">
        <v>1700</v>
      </c>
      <c r="B793">
        <v>0</v>
      </c>
      <c r="C793">
        <v>0</v>
      </c>
      <c r="E793" t="s">
        <v>2572</v>
      </c>
      <c r="F793">
        <v>18</v>
      </c>
      <c r="G793" s="1" t="s">
        <v>742</v>
      </c>
      <c r="H793" s="16" t="s">
        <v>3425</v>
      </c>
      <c r="I793" s="18"/>
      <c r="J793" t="str">
        <f>IF(LEN(VLOOKUP(表1[[#This Row],[id]],数据引用!A:C,3,FALSE))&gt;0,VLOOKUP(表1[[#This Row],[id]],数据引用!A:C,3,FALSE),"")</f>
        <v>更换音乐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793" s="5"/>
    </row>
    <row r="794" spans="1:16" ht="14.25" customHeight="1">
      <c r="A794">
        <v>1800</v>
      </c>
      <c r="B794">
        <v>0</v>
      </c>
      <c r="C794">
        <v>0</v>
      </c>
      <c r="E794" t="s">
        <v>2572</v>
      </c>
      <c r="F794">
        <v>18</v>
      </c>
      <c r="G794" s="1" t="s">
        <v>743</v>
      </c>
      <c r="H794" s="16" t="s">
        <v>3426</v>
      </c>
      <c r="I794" s="18"/>
      <c r="J794" t="str">
        <f>IF(LEN(VLOOKUP(表1[[#This Row],[id]],数据引用!A:C,3,FALSE))&gt;0,VLOOKUP(表1[[#This Row],[id]],数据引用!A:C,3,FALSE),"")</f>
        <v>视频设置</v>
      </c>
      <c r="K794" t="s">
        <v>1207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794" s="5"/>
    </row>
    <row r="795" spans="1:16" ht="14.25" customHeight="1">
      <c r="A795">
        <v>1801</v>
      </c>
      <c r="B795">
        <v>0</v>
      </c>
      <c r="C795">
        <v>0</v>
      </c>
      <c r="E795">
        <v>1</v>
      </c>
      <c r="F795">
        <v>12</v>
      </c>
      <c r="G795" s="1" t="s">
        <v>744</v>
      </c>
      <c r="H795" s="16" t="s">
        <v>3427</v>
      </c>
      <c r="I795" s="16" t="s">
        <v>4342</v>
      </c>
      <c r="J795" t="str">
        <f>IF(LEN(VLOOKUP(表1[[#This Row],[id]],数据引用!A:C,3,FALSE))&gt;0,VLOOKUP(表1[[#This Row],[id]],数据引用!A:C,3,FALSE),"")</f>
        <v>全屏</v>
      </c>
      <c r="K795" t="s">
        <v>1207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font-size:12;"&gt;全屏&lt;/text&gt;&lt;text transform="matrix(1 0 0 1 0 10.3205)" style="fill:#FFFFFF; font-family:'FZXS12--GB1-0'; font-size:12;"&gt;全屏&lt;/text&gt;&lt;/svg&gt;</v>
      </c>
      <c r="P795" s="5" t="s">
        <v>1282</v>
      </c>
    </row>
    <row r="796" spans="1:16" ht="14.25" customHeight="1">
      <c r="A796">
        <v>1802</v>
      </c>
      <c r="B796">
        <v>0</v>
      </c>
      <c r="C796">
        <v>0</v>
      </c>
      <c r="E796">
        <v>1</v>
      </c>
      <c r="F796">
        <v>12</v>
      </c>
      <c r="G796" s="1" t="s">
        <v>745</v>
      </c>
      <c r="H796" s="16" t="s">
        <v>3428</v>
      </c>
      <c r="I796" s="16" t="s">
        <v>4343</v>
      </c>
      <c r="J796" t="str">
        <f>IF(LEN(VLOOKUP(表1[[#This Row],[id]],数据引用!A:C,3,FALSE))&gt;0,VLOOKUP(表1[[#This Row],[id]],数据引用!A:C,3,FALSE),"")</f>
        <v>垂直同步</v>
      </c>
      <c r="K796" t="s">
        <v>1207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font-size:12;"&gt;垂直同步&lt;/text&gt;&lt;text transform="matrix(1 0 0 1 0 10.3205)" style="fill:#FFFFFF; font-family:'FZXS12--GB1-0'; font-size:12;"&gt;垂直同步&lt;/text&gt;&lt;/svg&gt;</v>
      </c>
      <c r="P796" s="5" t="s">
        <v>1282</v>
      </c>
    </row>
    <row r="797" spans="1:16" ht="14.25" customHeight="1">
      <c r="A797">
        <v>1803</v>
      </c>
      <c r="B797">
        <v>0</v>
      </c>
      <c r="C797">
        <v>0</v>
      </c>
      <c r="E797">
        <v>1</v>
      </c>
      <c r="F797">
        <v>12</v>
      </c>
      <c r="G797" s="1" t="s">
        <v>746</v>
      </c>
      <c r="H797" s="16" t="s">
        <v>3429</v>
      </c>
      <c r="I797" s="16" t="s">
        <v>4344</v>
      </c>
      <c r="J797" t="str">
        <f>IF(LEN(VLOOKUP(表1[[#This Row],[id]],数据引用!A:C,3,FALSE))&gt;0,VLOOKUP(表1[[#This Row],[id]],数据引用!A:C,3,FALSE),"")</f>
        <v>缩放级别：默认</v>
      </c>
      <c r="K797" t="s">
        <v>1207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font-size:12;"&gt;缩放级别：默认&lt;/text&gt;&lt;text transform="matrix(1 0 0 1 0 10.3205)" style="fill:#FFFFFF; font-family:'FZXS12--GB1-0'; font-size:12;"&gt;缩放级别：默认&lt;/text&gt;&lt;/svg&gt;</v>
      </c>
      <c r="P797" s="5" t="s">
        <v>1282</v>
      </c>
    </row>
    <row r="798" spans="1:16" ht="14.25" customHeight="1">
      <c r="A798">
        <v>1804</v>
      </c>
      <c r="B798">
        <v>0</v>
      </c>
      <c r="C798">
        <v>0</v>
      </c>
      <c r="E798">
        <v>1</v>
      </c>
      <c r="F798">
        <v>12</v>
      </c>
      <c r="G798" s="1" t="s">
        <v>747</v>
      </c>
      <c r="H798" s="16" t="s">
        <v>3430</v>
      </c>
      <c r="I798" s="16" t="s">
        <v>4345</v>
      </c>
      <c r="J798" t="str">
        <f>IF(LEN(VLOOKUP(表1[[#This Row],[id]],数据引用!A:C,3,FALSE))&gt;0,VLOOKUP(表1[[#This Row],[id]],数据引用!A:C,3,FALSE),"")</f>
        <v>缩放级别：</v>
      </c>
      <c r="K798" t="s">
        <v>1207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font-size:12;"&gt;缩放级别：&lt;/text&gt;&lt;text transform="matrix(1 0 0 1 0 10.3205)" style="fill:#FFFFFF; font-family:'FZXS12--GB1-0'; font-size:12;"&gt;缩放级别：&lt;/text&gt;&lt;/svg&gt;</v>
      </c>
      <c r="P798" s="5" t="s">
        <v>1282</v>
      </c>
    </row>
    <row r="799" spans="1:16" ht="14.25" customHeight="1">
      <c r="A799">
        <v>1805</v>
      </c>
      <c r="B799">
        <v>0</v>
      </c>
      <c r="C799">
        <v>0</v>
      </c>
      <c r="E799">
        <v>1</v>
      </c>
      <c r="F799">
        <v>12</v>
      </c>
      <c r="G799" s="1" t="s">
        <v>1219</v>
      </c>
      <c r="H799" s="16" t="s">
        <v>3431</v>
      </c>
      <c r="I799" s="16" t="s">
        <v>4346</v>
      </c>
      <c r="J799" t="str">
        <f>IF(LEN(VLOOKUP(表1[[#This Row],[id]],数据引用!A:C,3,FALSE))&gt;0,VLOOKUP(表1[[#This Row],[id]],数据引用!A:C,3,FALSE),"")</f>
        <v>显示心脏</v>
      </c>
      <c r="K799" t="s">
        <v>1207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font-size:12;"&gt;显示心脏&lt;/text&gt;&lt;text transform="matrix(1 0 0 1 0 10.3205)" style="fill:#FFFFFF; font-family:'FZXS12--GB1-0'; font-size:12;"&gt;显示心脏&lt;/text&gt;&lt;/svg&gt;</v>
      </c>
      <c r="P799" s="5" t="s">
        <v>1282</v>
      </c>
    </row>
    <row r="800" spans="1:16" ht="14.25" customHeight="1">
      <c r="A800">
        <v>1806</v>
      </c>
      <c r="B800">
        <v>0</v>
      </c>
      <c r="C800">
        <v>0</v>
      </c>
      <c r="E800">
        <v>1</v>
      </c>
      <c r="F800">
        <v>12</v>
      </c>
      <c r="G800" s="1" t="s">
        <v>748</v>
      </c>
      <c r="H800" s="16" t="s">
        <v>3432</v>
      </c>
      <c r="I800" s="16" t="s">
        <v>4347</v>
      </c>
      <c r="J800" t="str">
        <f>IF(LEN(VLOOKUP(表1[[#This Row],[id]],数据引用!A:C,3,FALSE))&gt;0,VLOOKUP(表1[[#This Row],[id]],数据引用!A:C,3,FALSE),"")</f>
        <v>显示节拍</v>
      </c>
      <c r="K800" t="s">
        <v>1207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font-size:12;"&gt;显示节拍&lt;/text&gt;&lt;text transform="matrix(1 0 0 1 0 10.3205)" style="fill:#FFFFFF; font-family:'FZXS12--GB1-0'; font-size:12;"&gt;显示节拍&lt;/text&gt;&lt;/svg&gt;</v>
      </c>
      <c r="P800" s="5" t="s">
        <v>1282</v>
      </c>
    </row>
    <row r="801" spans="1:16" ht="14.25" customHeight="1">
      <c r="A801">
        <v>1807</v>
      </c>
      <c r="B801">
        <v>0</v>
      </c>
      <c r="C801">
        <v>0</v>
      </c>
      <c r="E801">
        <v>1</v>
      </c>
      <c r="F801">
        <v>12</v>
      </c>
      <c r="G801" s="1" t="s">
        <v>749</v>
      </c>
      <c r="H801" s="16" t="s">
        <v>3433</v>
      </c>
      <c r="I801" s="16" t="s">
        <v>4348</v>
      </c>
      <c r="J801" t="str">
        <f>IF(LEN(VLOOKUP(表1[[#This Row],[id]],数据引用!A:C,3,FALSE))&gt;0,VLOOKUP(表1[[#This Row],[id]],数据引用!A:C,3,FALSE),"")</f>
        <v>屏幕震动</v>
      </c>
      <c r="K801" t="s">
        <v>1207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font-size:12;"&gt;屏幕震动&lt;/text&gt;&lt;text transform="matrix(1 0 0 1 0 10.3205)" style="fill:#FFFFFF; font-family:'FZXS12--GB1-0'; font-size:12;"&gt;屏幕震动&lt;/text&gt;&lt;/svg&gt;</v>
      </c>
      <c r="P801" s="5" t="s">
        <v>1282</v>
      </c>
    </row>
    <row r="802" spans="1:16" ht="14.25" customHeight="1">
      <c r="A802">
        <v>1808</v>
      </c>
      <c r="B802">
        <v>0</v>
      </c>
      <c r="C802">
        <v>0</v>
      </c>
      <c r="E802">
        <v>1</v>
      </c>
      <c r="F802">
        <v>12</v>
      </c>
      <c r="G802" s="1" t="s">
        <v>750</v>
      </c>
      <c r="H802" s="16" t="s">
        <v>3434</v>
      </c>
      <c r="I802" s="16" t="s">
        <v>4349</v>
      </c>
      <c r="J802" t="str">
        <f>IF(LEN(VLOOKUP(表1[[#This Row],[id]],数据引用!A:C,3,FALSE))&gt;0,VLOOKUP(表1[[#This Row],[id]],数据引用!A:C,3,FALSE),"")</f>
        <v>竞速计时器</v>
      </c>
      <c r="K802" t="s">
        <v>1207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font-size:12;"&gt;竞速计时器&lt;/text&gt;&lt;text transform="matrix(1 0 0 1 0 10.3205)" style="fill:#FFFFFF; font-family:'FZXS12--GB1-0'; font-size:12;"&gt;竞速计时器&lt;/text&gt;&lt;/svg&gt;</v>
      </c>
      <c r="P802" s="5" t="s">
        <v>1282</v>
      </c>
    </row>
    <row r="803" spans="1:16" ht="14.25" customHeight="1">
      <c r="A803">
        <v>1809</v>
      </c>
      <c r="B803">
        <v>0</v>
      </c>
      <c r="C803">
        <v>0</v>
      </c>
      <c r="E803">
        <v>1</v>
      </c>
      <c r="F803">
        <v>12</v>
      </c>
      <c r="G803" s="1" t="s">
        <v>751</v>
      </c>
      <c r="H803" s="16" t="s">
        <v>3435</v>
      </c>
      <c r="I803" s="16" t="s">
        <v>4350</v>
      </c>
      <c r="J803" t="str">
        <f>IF(LEN(VLOOKUP(表1[[#This Row],[id]],数据引用!A:C,3,FALSE))&gt;0,VLOOKUP(表1[[#This Row],[id]],数据引用!A:C,3,FALSE),"")</f>
        <v>DISCO地板</v>
      </c>
      <c r="K803" t="s">
        <v>1207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font-size:12;"&gt;DISCO地板&lt;/text&gt;&lt;text transform="matrix(1 0 0 1 0 10.3205)" style="fill:#FFFFFF; font-family:'FZXS12--GB1-0'; font-size:12;"&gt;DISCO地板&lt;/text&gt;&lt;/svg&gt;</v>
      </c>
      <c r="P803" s="5" t="s">
        <v>1282</v>
      </c>
    </row>
    <row r="804" spans="1:16" ht="14.25" customHeight="1">
      <c r="A804">
        <v>1810</v>
      </c>
      <c r="B804">
        <v>0</v>
      </c>
      <c r="C804">
        <v>0</v>
      </c>
      <c r="E804">
        <v>1</v>
      </c>
      <c r="F804">
        <v>12</v>
      </c>
      <c r="G804" s="1" t="s">
        <v>752</v>
      </c>
      <c r="H804" s="16" t="s">
        <v>3436</v>
      </c>
      <c r="I804" s="16" t="s">
        <v>4351</v>
      </c>
      <c r="J804" t="str">
        <f>IF(LEN(VLOOKUP(表1[[#This Row],[id]],数据引用!A:C,3,FALSE))&gt;0,VLOOKUP(表1[[#This Row],[id]],数据引用!A:C,3,FALSE),"")</f>
        <v>死亡重放</v>
      </c>
      <c r="K804" t="s">
        <v>1207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font-size:12;"&gt;死亡重放&lt;/text&gt;&lt;text transform="matrix(1 0 0 1 0 10.3205)" style="fill:#FFFFFF; font-family:'FZXS12--GB1-0'; font-size:12;"&gt;死亡重放&lt;/text&gt;&lt;/svg&gt;</v>
      </c>
      <c r="P804" s="5" t="s">
        <v>1282</v>
      </c>
    </row>
    <row r="805" spans="1:16" ht="14.25" customHeight="1">
      <c r="A805">
        <v>1811</v>
      </c>
      <c r="B805">
        <v>0</v>
      </c>
      <c r="C805">
        <v>0</v>
      </c>
      <c r="E805">
        <v>1</v>
      </c>
      <c r="F805">
        <v>12</v>
      </c>
      <c r="G805" s="1" t="s">
        <v>753</v>
      </c>
      <c r="H805" s="16" t="s">
        <v>3437</v>
      </c>
      <c r="I805" s="16" t="s">
        <v>4352</v>
      </c>
      <c r="J805" t="str">
        <f>IF(LEN(VLOOKUP(表1[[#This Row],[id]],数据引用!A:C,3,FALSE))&gt;0,VLOOKUP(表1[[#This Row],[id]],数据引用!A:C,3,FALSE),"")</f>
        <v>修改分辨率</v>
      </c>
      <c r="K805" t="s">
        <v>1207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font-size:12;"&gt;修改分辨率&lt;/text&gt;&lt;text transform="matrix(1 0 0 1 0 10.3205)" style="fill:#FFFFFF; font-family:'FZXS12--GB1-0'; font-size:12;"&gt;修改分辨率&lt;/text&gt;&lt;/svg&gt;</v>
      </c>
      <c r="P805" s="5" t="s">
        <v>1282</v>
      </c>
    </row>
    <row r="806" spans="1:16" ht="14.25" customHeight="1">
      <c r="A806">
        <v>1812</v>
      </c>
      <c r="B806">
        <v>0</v>
      </c>
      <c r="C806">
        <v>0</v>
      </c>
      <c r="E806">
        <v>1</v>
      </c>
      <c r="F806">
        <v>12</v>
      </c>
      <c r="G806" s="1" t="s">
        <v>754</v>
      </c>
      <c r="H806" s="16" t="s">
        <v>3438</v>
      </c>
      <c r="I806" s="18"/>
      <c r="J806" t="str">
        <f>IF(LEN(VLOOKUP(表1[[#This Row],[id]],数据引用!A:C,3,FALSE))&gt;0,VLOOKUP(表1[[#This Row],[id]],数据引用!A:C,3,FALSE),"")</f>
        <v>输入宽度</v>
      </c>
      <c r="K806" t="s">
        <v>1207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font-size:12;"&gt;输入宽度&lt;/text&gt;&lt;text transform="matrix(1 0 0 1 0 10.3205)" style="fill:#FFFFFF; font-family:'FZXS12--GB1-0'; font-size:12;"&gt;输入宽度&lt;/text&gt;&lt;/svg&gt;</v>
      </c>
      <c r="P806" s="5"/>
    </row>
    <row r="807" spans="1:16" ht="14.25" customHeight="1">
      <c r="A807">
        <v>1813</v>
      </c>
      <c r="B807">
        <v>0</v>
      </c>
      <c r="C807">
        <v>0</v>
      </c>
      <c r="E807">
        <v>1</v>
      </c>
      <c r="F807">
        <v>12</v>
      </c>
      <c r="G807" s="1" t="s">
        <v>755</v>
      </c>
      <c r="H807" s="16" t="s">
        <v>3439</v>
      </c>
      <c r="I807" s="18"/>
      <c r="J807" t="str">
        <f>IF(LEN(VLOOKUP(表1[[#This Row],[id]],数据引用!A:C,3,FALSE))&gt;0,VLOOKUP(表1[[#This Row],[id]],数据引用!A:C,3,FALSE),"")</f>
        <v>当前：</v>
      </c>
      <c r="K807" t="s">
        <v>1207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font-size:12;"&gt;当前：&lt;/text&gt;&lt;text transform="matrix(1 0 0 1 0 10.3205)" style="fill:#FFFFFF; font-family:'FZXS12--GB1-0'; font-size:12;"&gt;当前：&lt;/text&gt;&lt;/svg&gt;</v>
      </c>
      <c r="P807" s="5"/>
    </row>
    <row r="808" spans="1:16" ht="14.25" customHeight="1">
      <c r="A808">
        <v>1814</v>
      </c>
      <c r="B808">
        <v>0</v>
      </c>
      <c r="C808">
        <v>0</v>
      </c>
      <c r="E808">
        <v>1</v>
      </c>
      <c r="F808">
        <v>12</v>
      </c>
      <c r="G808" s="1" t="s">
        <v>756</v>
      </c>
      <c r="H808" s="16" t="s">
        <v>3440</v>
      </c>
      <c r="I808" s="18"/>
      <c r="J808" t="str">
        <f>IF(LEN(VLOOKUP(表1[[#This Row],[id]],数据引用!A:C,3,FALSE))&gt;0,VLOOKUP(表1[[#This Row],[id]],数据引用!A:C,3,FALSE),"")</f>
        <v>输入高度</v>
      </c>
      <c r="K808" t="s">
        <v>1207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font-size:12;"&gt;输入高度&lt;/text&gt;&lt;text transform="matrix(1 0 0 1 0 10.3205)" style="fill:#FFFFFF; font-family:'FZXS12--GB1-0'; font-size:12;"&gt;输入高度&lt;/text&gt;&lt;/svg&gt;</v>
      </c>
      <c r="P808" s="5"/>
    </row>
    <row r="809" spans="1:16" ht="14.25" customHeight="1">
      <c r="A809">
        <v>1815</v>
      </c>
      <c r="B809">
        <v>0</v>
      </c>
      <c r="C809">
        <v>0</v>
      </c>
      <c r="E809">
        <v>1</v>
      </c>
      <c r="F809">
        <v>12</v>
      </c>
      <c r="G809" s="1" t="s">
        <v>757</v>
      </c>
      <c r="H809" s="16" t="s">
        <v>3441</v>
      </c>
      <c r="I809" s="18"/>
      <c r="J809" t="str">
        <f>IF(LEN(VLOOKUP(表1[[#This Row],[id]],数据引用!A:C,3,FALSE))&gt;0,VLOOKUP(表1[[#This Row],[id]],数据引用!A:C,3,FALSE),"")</f>
        <v>保留分辨率设置？</v>
      </c>
      <c r="K809" t="s">
        <v>1207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font-size:12;"&gt;保留分辨率设置？&lt;/text&gt;&lt;text transform="matrix(1 0 0 1 0 10.3205)" style="fill:#FFFFFF; font-family:'FZXS12--GB1-0'; font-size:12;"&gt;保留分辨率设置？&lt;/text&gt;&lt;/svg&gt;</v>
      </c>
      <c r="P809" s="5"/>
    </row>
    <row r="810" spans="1:16" ht="14.25" customHeight="1">
      <c r="A810">
        <v>1816</v>
      </c>
      <c r="B810">
        <v>0</v>
      </c>
      <c r="C810">
        <v>0</v>
      </c>
      <c r="E810">
        <v>1</v>
      </c>
      <c r="F810">
        <v>12</v>
      </c>
      <c r="G810" s="1" t="s">
        <v>758</v>
      </c>
      <c r="H810" s="16" t="s">
        <v>3442</v>
      </c>
      <c r="I810" s="18"/>
      <c r="J810" t="str">
        <f>IF(LEN(VLOOKUP(表1[[#This Row],[id]],数据引用!A:C,3,FALSE))&gt;0,VLOOKUP(表1[[#This Row],[id]],数据引用!A:C,3,FALSE),"")</f>
        <v>无效的分辨率</v>
      </c>
      <c r="K810" t="s">
        <v>1207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font-size:12;"&gt;无效的分辨率&lt;/text&gt;&lt;text transform="matrix(1 0 0 1 0 10.3205)" style="fill:#FFFFFF; font-family:'FZXS12--GB1-0'; font-size:12;"&gt;无效的分辨率&lt;/text&gt;&lt;/svg&gt;</v>
      </c>
      <c r="P810" s="5"/>
    </row>
    <row r="811" spans="1:16" ht="14.25" customHeight="1">
      <c r="A811">
        <v>1900</v>
      </c>
      <c r="B811">
        <v>0</v>
      </c>
      <c r="C811">
        <v>0</v>
      </c>
      <c r="E811" t="s">
        <v>2572</v>
      </c>
      <c r="F811">
        <v>18</v>
      </c>
      <c r="G811" s="1" t="s">
        <v>674</v>
      </c>
      <c r="H811" s="16" t="s">
        <v>3443</v>
      </c>
      <c r="I811" s="18"/>
      <c r="J811" t="str">
        <f>IF(LEN(VLOOKUP(表1[[#This Row],[id]],数据引用!A:C,3,FALSE))&gt;0,VLOOKUP(表1[[#This Row],[id]],数据引用!A:C,3,FALSE),"")</f>
        <v>设置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811" s="5"/>
    </row>
    <row r="812" spans="1:16" ht="14.25" customHeight="1">
      <c r="A812">
        <v>1901</v>
      </c>
      <c r="B812">
        <v>0</v>
      </c>
      <c r="C812">
        <v>0</v>
      </c>
      <c r="E812">
        <v>1</v>
      </c>
      <c r="F812">
        <v>12</v>
      </c>
      <c r="G812" s="1" t="s">
        <v>759</v>
      </c>
      <c r="H812" s="16" t="s">
        <v>3444</v>
      </c>
      <c r="I812" s="16" t="s">
        <v>4353</v>
      </c>
      <c r="J812" t="str">
        <f>IF(LEN(VLOOKUP(表1[[#This Row],[id]],数据引用!A:C,3,FALSE))&gt;0,VLOOKUP(表1[[#This Row],[id]],数据引用!A:C,3,FALSE),"")</f>
        <v>游戏设置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12" s="5" t="s">
        <v>1282</v>
      </c>
    </row>
    <row r="813" spans="1:16" ht="14.25" customHeight="1">
      <c r="A813">
        <v>1902</v>
      </c>
      <c r="B813">
        <v>0</v>
      </c>
      <c r="C813">
        <v>0</v>
      </c>
      <c r="E813">
        <v>1</v>
      </c>
      <c r="F813">
        <v>12</v>
      </c>
      <c r="G813" s="1" t="s">
        <v>680</v>
      </c>
      <c r="H813" s="16" t="s">
        <v>3445</v>
      </c>
      <c r="I813" s="16" t="s">
        <v>4354</v>
      </c>
      <c r="J813" t="str">
        <f>IF(LEN(VLOOKUP(表1[[#This Row],[id]],数据引用!A:C,3,FALSE))&gt;0,VLOOKUP(表1[[#This Row],[id]],数据引用!A:C,3,FALSE),"")</f>
        <v>声音设置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font-size:12;"&gt;声音设置&lt;/text&gt;&lt;text transform="matrix(1 0 0 1 0 10.3205)" style="fill:#FFFFFF; font-family:'FZXS12--GB1-0'; font-size:12;"&gt;声音设置&lt;/text&gt;&lt;/svg&gt;</v>
      </c>
      <c r="P813" s="5" t="s">
        <v>1282</v>
      </c>
    </row>
    <row r="814" spans="1:16" ht="14.25" customHeight="1">
      <c r="A814">
        <v>1903</v>
      </c>
      <c r="B814">
        <v>0</v>
      </c>
      <c r="C814">
        <v>0</v>
      </c>
      <c r="E814">
        <v>1</v>
      </c>
      <c r="F814">
        <v>12</v>
      </c>
      <c r="G814" s="1" t="s">
        <v>743</v>
      </c>
      <c r="H814" s="16" t="s">
        <v>3446</v>
      </c>
      <c r="I814" s="16" t="s">
        <v>4355</v>
      </c>
      <c r="J814" t="str">
        <f>IF(LEN(VLOOKUP(表1[[#This Row],[id]],数据引用!A:C,3,FALSE))&gt;0,VLOOKUP(表1[[#This Row],[id]],数据引用!A:C,3,FALSE),"")</f>
        <v>视频设置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814" s="5" t="s">
        <v>1282</v>
      </c>
    </row>
    <row r="815" spans="1:16" ht="14.25" customHeight="1">
      <c r="A815">
        <v>1904</v>
      </c>
      <c r="B815">
        <v>0</v>
      </c>
      <c r="C815">
        <v>0</v>
      </c>
      <c r="E815">
        <v>1</v>
      </c>
      <c r="F815">
        <v>12</v>
      </c>
      <c r="G815" s="1" t="s">
        <v>721</v>
      </c>
      <c r="H815" s="16" t="s">
        <v>3447</v>
      </c>
      <c r="I815" s="16" t="s">
        <v>4356</v>
      </c>
      <c r="J815" t="str">
        <f>IF(LEN(VLOOKUP(表1[[#This Row],[id]],数据引用!A:C,3,FALSE))&gt;0,VLOOKUP(表1[[#This Row],[id]],数据引用!A:C,3,FALSE),"")</f>
        <v>按键绑定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P815" s="5" t="s">
        <v>1282</v>
      </c>
    </row>
    <row r="816" spans="1:16" ht="14.25" customHeight="1">
      <c r="A816">
        <v>1905</v>
      </c>
      <c r="B816">
        <v>0</v>
      </c>
      <c r="C816">
        <v>0</v>
      </c>
      <c r="E816">
        <v>1</v>
      </c>
      <c r="F816">
        <v>12</v>
      </c>
      <c r="G816" s="1" t="s">
        <v>760</v>
      </c>
      <c r="H816" s="16" t="s">
        <v>3448</v>
      </c>
      <c r="I816" s="16" t="s">
        <v>4357</v>
      </c>
      <c r="J816" t="str">
        <f>IF(LEN(VLOOKUP(表1[[#This Row],[id]],数据引用!A:C,3,FALSE))&gt;0,VLOOKUP(表1[[#This Row],[id]],数据引用!A:C,3,FALSE),"")</f>
        <v>延迟校准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font-size:12;"&gt;延迟校准&lt;/text&gt;&lt;text transform="matrix(1 0 0 1 0 10.3205)" style="fill:#FFFFFF; font-family:'FZXS12--GB1-0'; font-size:12;"&gt;延迟校准&lt;/text&gt;&lt;/svg&gt;</v>
      </c>
      <c r="P816" s="5" t="s">
        <v>1282</v>
      </c>
    </row>
    <row r="817" spans="1:16" ht="14.25" customHeight="1">
      <c r="A817">
        <v>1906</v>
      </c>
      <c r="B817">
        <v>0</v>
      </c>
      <c r="C817">
        <v>0</v>
      </c>
      <c r="E817">
        <v>1</v>
      </c>
      <c r="F817">
        <v>12</v>
      </c>
      <c r="G817" s="1" t="s">
        <v>742</v>
      </c>
      <c r="H817" s="16" t="s">
        <v>3449</v>
      </c>
      <c r="I817" s="16" t="s">
        <v>4358</v>
      </c>
      <c r="J817" t="str">
        <f>IF(LEN(VLOOKUP(表1[[#This Row],[id]],数据引用!A:C,3,FALSE))&gt;0,VLOOKUP(表1[[#This Row],[id]],数据引用!A:C,3,FALSE),"")</f>
        <v>更换音乐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817" s="5" t="s">
        <v>1282</v>
      </c>
    </row>
    <row r="818" spans="1:16" ht="14.25" customHeight="1">
      <c r="A818">
        <v>1907</v>
      </c>
      <c r="B818">
        <v>0</v>
      </c>
      <c r="C818">
        <v>0</v>
      </c>
      <c r="E818">
        <v>1</v>
      </c>
      <c r="F818">
        <v>12</v>
      </c>
      <c r="G818" s="1" t="s">
        <v>761</v>
      </c>
      <c r="H818" s="16" t="s">
        <v>3450</v>
      </c>
      <c r="I818" s="16" t="s">
        <v>4359</v>
      </c>
      <c r="J818" t="str">
        <f>IF(LEN(VLOOKUP(表1[[#This Row],[id]],数据引用!A:C,3,FALSE))&gt;0,VLOOKUP(表1[[#This Row],[id]],数据引用!A:C,3,FALSE),"")</f>
        <v>语言设置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font-size:12;"&gt;语言设置&lt;/text&gt;&lt;text transform="matrix(1 0 0 1 0 10.3205)" style="fill:#FFFFFF; font-family:'FZXS12--GB1-0'; font-size:12;"&gt;语言设置&lt;/text&gt;&lt;/svg&gt;</v>
      </c>
      <c r="P818" s="5" t="s">
        <v>1282</v>
      </c>
    </row>
    <row r="819" spans="1:16" ht="14.25" customHeight="1">
      <c r="A819">
        <v>2000</v>
      </c>
      <c r="B819">
        <v>0</v>
      </c>
      <c r="C819">
        <v>0</v>
      </c>
      <c r="E819" t="s">
        <v>2572</v>
      </c>
      <c r="F819">
        <v>18</v>
      </c>
      <c r="G819" s="1" t="s">
        <v>762</v>
      </c>
      <c r="H819" s="16" t="s">
        <v>3451</v>
      </c>
      <c r="I819" s="18"/>
      <c r="J819" t="str">
        <f>IF(LEN(VLOOKUP(表1[[#This Row],[id]],数据引用!A:C,3,FALSE))&gt;0,VLOOKUP(表1[[#This Row],[id]],数据引用!A:C,3,FALSE),"")</f>
        <v>回放（按时间排序）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font-size:12;"&gt;回放（按时间排序）&lt;/text&gt;&lt;text transform="matrix(1 0 0 1 0 10.3205)" style="fill:#FFFFFF; font-family:'FZXS12--GB1-0'; font-size:12;"&gt;回放（按时间排序）&lt;/text&gt;&lt;/svg&gt;</v>
      </c>
      <c r="P819" s="5"/>
    </row>
    <row r="820" spans="1:16" ht="14.25" customHeight="1">
      <c r="A820">
        <v>2001</v>
      </c>
      <c r="B820">
        <v>0</v>
      </c>
      <c r="C820">
        <v>0</v>
      </c>
      <c r="E820">
        <v>1</v>
      </c>
      <c r="F820">
        <v>12</v>
      </c>
      <c r="G820" s="1" t="s">
        <v>763</v>
      </c>
      <c r="H820" s="16" t="s">
        <v>3452</v>
      </c>
      <c r="I820" s="16" t="s">
        <v>4360</v>
      </c>
      <c r="J820" t="str">
        <f>IF(LEN(VLOOKUP(表1[[#This Row],[id]],数据引用!A:C,3,FALSE))&gt;0,VLOOKUP(表1[[#This Row],[id]],数据引用!A:C,3,FALSE),"")</f>
        <v>区域1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820" s="5" t="s">
        <v>1282</v>
      </c>
    </row>
    <row r="821" spans="1:16" ht="14.25" customHeight="1">
      <c r="A821">
        <v>2002</v>
      </c>
      <c r="B821">
        <v>0</v>
      </c>
      <c r="C821">
        <v>0</v>
      </c>
      <c r="E821">
        <v>1</v>
      </c>
      <c r="F821">
        <v>12</v>
      </c>
      <c r="G821" s="1" t="s">
        <v>764</v>
      </c>
      <c r="H821" s="16" t="s">
        <v>3453</v>
      </c>
      <c r="I821" s="16" t="s">
        <v>4361</v>
      </c>
      <c r="J821" t="str">
        <f>IF(LEN(VLOOKUP(表1[[#This Row],[id]],数据引用!A:C,3,FALSE))&gt;0,VLOOKUP(表1[[#This Row],[id]],数据引用!A:C,3,FALSE),"")</f>
        <v>区域2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821" s="5" t="s">
        <v>1282</v>
      </c>
    </row>
    <row r="822" spans="1:16" ht="14.25" customHeight="1">
      <c r="A822">
        <v>2003</v>
      </c>
      <c r="B822">
        <v>0</v>
      </c>
      <c r="C822">
        <v>0</v>
      </c>
      <c r="E822">
        <v>1</v>
      </c>
      <c r="F822">
        <v>12</v>
      </c>
      <c r="G822" s="1" t="s">
        <v>765</v>
      </c>
      <c r="H822" s="16" t="s">
        <v>3454</v>
      </c>
      <c r="I822" s="16" t="s">
        <v>4362</v>
      </c>
      <c r="J822" t="str">
        <f>IF(LEN(VLOOKUP(表1[[#This Row],[id]],数据引用!A:C,3,FALSE))&gt;0,VLOOKUP(表1[[#This Row],[id]],数据引用!A:C,3,FALSE),"")</f>
        <v>区域3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P822" s="5" t="s">
        <v>1282</v>
      </c>
    </row>
    <row r="823" spans="1:16" ht="14.25" customHeight="1">
      <c r="A823">
        <v>2004</v>
      </c>
      <c r="B823">
        <v>0</v>
      </c>
      <c r="C823">
        <v>0</v>
      </c>
      <c r="E823">
        <v>1</v>
      </c>
      <c r="F823">
        <v>12</v>
      </c>
      <c r="G823" s="1" t="s">
        <v>766</v>
      </c>
      <c r="H823" s="16" t="s">
        <v>3455</v>
      </c>
      <c r="I823" s="16" t="s">
        <v>4363</v>
      </c>
      <c r="J823" t="str">
        <f>IF(LEN(VLOOKUP(表1[[#This Row],[id]],数据引用!A:C,3,FALSE))&gt;0,VLOOKUP(表1[[#This Row],[id]],数据引用!A:C,3,FALSE),"")</f>
        <v>区域4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823" s="5" t="s">
        <v>1282</v>
      </c>
    </row>
    <row r="824" spans="1:16" ht="14.25" customHeight="1">
      <c r="A824">
        <v>2005</v>
      </c>
      <c r="B824">
        <v>0</v>
      </c>
      <c r="C824">
        <v>0</v>
      </c>
      <c r="E824">
        <v>1</v>
      </c>
      <c r="F824">
        <v>12</v>
      </c>
      <c r="G824" s="1" t="s">
        <v>67</v>
      </c>
      <c r="H824" s="16" t="s">
        <v>3456</v>
      </c>
      <c r="I824" s="16" t="s">
        <v>4364</v>
      </c>
      <c r="J824" t="str">
        <f>IF(LEN(VLOOKUP(表1[[#This Row],[id]],数据引用!A:C,3,FALSE))&gt;0,VLOOKUP(表1[[#This Row],[id]],数据引用!A:C,3,FALSE),"")</f>
        <v>跳舞毯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font-size:12;"&gt;跳舞毯&lt;/text&gt;&lt;text transform="matrix(1 0 0 1 0 10.3205)" style="fill:#FFFFFF; font-family:'FZXS12--GB1-0'; font-size:12;"&gt;跳舞毯&lt;/text&gt;&lt;/svg&gt;</v>
      </c>
      <c r="P824" s="5" t="s">
        <v>1282</v>
      </c>
    </row>
    <row r="825" spans="1:16" ht="14.25" customHeight="1">
      <c r="A825">
        <v>2006</v>
      </c>
      <c r="B825">
        <v>0</v>
      </c>
      <c r="C825">
        <v>0</v>
      </c>
      <c r="E825">
        <v>1</v>
      </c>
      <c r="F825">
        <v>12</v>
      </c>
      <c r="G825" s="1" t="s">
        <v>65</v>
      </c>
      <c r="H825" s="16" t="s">
        <v>3457</v>
      </c>
      <c r="I825" s="16" t="s">
        <v>4365</v>
      </c>
      <c r="J825" t="str">
        <f>IF(LEN(VLOOKUP(表1[[#This Row],[id]],数据引用!A:C,3,FALSE))&gt;0,VLOOKUP(表1[[#This Row],[id]],数据引用!A:C,3,FALSE),"")</f>
        <v>全区域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P825" s="5" t="s">
        <v>1282</v>
      </c>
    </row>
    <row r="826" spans="1:16" ht="14.25" customHeight="1">
      <c r="A826">
        <v>2007</v>
      </c>
      <c r="B826">
        <v>0</v>
      </c>
      <c r="C826">
        <v>0</v>
      </c>
      <c r="E826">
        <v>1</v>
      </c>
      <c r="F826">
        <v>12</v>
      </c>
      <c r="G826" s="1" t="s">
        <v>767</v>
      </c>
      <c r="H826" s="16" t="s">
        <v>3458</v>
      </c>
      <c r="I826" s="16" t="s">
        <v>4366</v>
      </c>
      <c r="J826" t="str">
        <f>IF(LEN(VLOOKUP(表1[[#This Row],[id]],数据引用!A:C,3,FALSE))&gt;0,VLOOKUP(表1[[#This Row],[id]],数据引用!A:C,3,FALSE),"")</f>
        <v>使用种子的全区域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font-size:12;"&gt;使用种子的全区域&lt;/text&gt;&lt;text transform="matrix(1 0 0 1 0 10.3205)" style="fill:#FFFFFF; font-family:'FZXS12--GB1-0'; font-size:12;"&gt;使用种子的全区域&lt;/text&gt;&lt;/svg&gt;</v>
      </c>
      <c r="P826" s="5" t="s">
        <v>1282</v>
      </c>
    </row>
    <row r="827" spans="1:16" ht="14.25" customHeight="1">
      <c r="A827">
        <v>2008</v>
      </c>
      <c r="B827">
        <v>0</v>
      </c>
      <c r="C827">
        <v>0</v>
      </c>
      <c r="E827" t="s">
        <v>2572</v>
      </c>
      <c r="F827">
        <v>18</v>
      </c>
      <c r="G827" s="1" t="s">
        <v>768</v>
      </c>
      <c r="H827" s="16" t="s">
        <v>3459</v>
      </c>
      <c r="I827" s="16" t="s">
        <v>4367</v>
      </c>
      <c r="J827" t="str">
        <f>IF(LEN(VLOOKUP(表1[[#This Row],[id]],数据引用!A:C,3,FALSE))&gt;0,VLOOKUP(表1[[#This Row],[id]],数据引用!A:C,3,FALSE),"")</f>
        <v>每日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font-size:12;"&gt;每日&lt;/text&gt;&lt;text transform="matrix(1 0 0 1 0 10.3205)" style="fill:#FFFFFF; font-family:'FZXS12--GB1-0'; font-size:12;"&gt;每日&lt;/text&gt;&lt;/svg&gt;</v>
      </c>
      <c r="P827" s="5" t="s">
        <v>1282</v>
      </c>
    </row>
    <row r="828" spans="1:16" ht="14.25" customHeight="1">
      <c r="A828">
        <v>2009</v>
      </c>
      <c r="B828">
        <v>0</v>
      </c>
      <c r="C828">
        <v>0</v>
      </c>
      <c r="E828">
        <v>1</v>
      </c>
      <c r="F828">
        <v>12</v>
      </c>
      <c r="G828" s="1" t="s">
        <v>769</v>
      </c>
      <c r="H828" s="16" t="s">
        <v>3460</v>
      </c>
      <c r="I828" s="16" t="s">
        <v>4368</v>
      </c>
      <c r="J828" t="str">
        <f>IF(LEN(VLOOKUP(表1[[#This Row],[id]],数据引用!A:C,3,FALSE))&gt;0,VLOOKUP(表1[[#This Row],[id]],数据引用!A:C,3,FALSE),"")</f>
        <v>1月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font-size:12;"&gt;1月&lt;/text&gt;&lt;text transform="matrix(1 0 0 1 0 10.3205)" style="fill:#FFFFFF; font-family:'FZXS12--GB1-0'; font-size:12;"&gt;1月&lt;/text&gt;&lt;/svg&gt;</v>
      </c>
      <c r="P828" s="5" t="s">
        <v>1282</v>
      </c>
    </row>
    <row r="829" spans="1:16" ht="14.25" customHeight="1">
      <c r="A829">
        <v>2010</v>
      </c>
      <c r="B829">
        <v>0</v>
      </c>
      <c r="C829">
        <v>0</v>
      </c>
      <c r="E829">
        <v>1</v>
      </c>
      <c r="F829">
        <v>12</v>
      </c>
      <c r="G829" s="1" t="s">
        <v>770</v>
      </c>
      <c r="H829" s="16" t="s">
        <v>3461</v>
      </c>
      <c r="I829" s="16" t="s">
        <v>4369</v>
      </c>
      <c r="J829" t="str">
        <f>IF(LEN(VLOOKUP(表1[[#This Row],[id]],数据引用!A:C,3,FALSE))&gt;0,VLOOKUP(表1[[#This Row],[id]],数据引用!A:C,3,FALSE),"")</f>
        <v>2月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font-size:12;"&gt;2月&lt;/text&gt;&lt;text transform="matrix(1 0 0 1 0 10.3205)" style="fill:#FFFFFF; font-family:'FZXS12--GB1-0'; font-size:12;"&gt;2月&lt;/text&gt;&lt;/svg&gt;</v>
      </c>
      <c r="P829" s="5" t="s">
        <v>1282</v>
      </c>
    </row>
    <row r="830" spans="1:16" ht="14.25" customHeight="1">
      <c r="A830">
        <v>2011</v>
      </c>
      <c r="B830">
        <v>0</v>
      </c>
      <c r="C830">
        <v>0</v>
      </c>
      <c r="E830">
        <v>1</v>
      </c>
      <c r="F830">
        <v>12</v>
      </c>
      <c r="G830" s="1" t="s">
        <v>771</v>
      </c>
      <c r="H830" s="16" t="s">
        <v>3462</v>
      </c>
      <c r="I830" s="16" t="s">
        <v>4370</v>
      </c>
      <c r="J830" t="str">
        <f>IF(LEN(VLOOKUP(表1[[#This Row],[id]],数据引用!A:C,3,FALSE))&gt;0,VLOOKUP(表1[[#This Row],[id]],数据引用!A:C,3,FALSE),"")</f>
        <v>3月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font-size:12;"&gt;3月&lt;/text&gt;&lt;text transform="matrix(1 0 0 1 0 10.3205)" style="fill:#FFFFFF; font-family:'FZXS12--GB1-0'; font-size:12;"&gt;3月&lt;/text&gt;&lt;/svg&gt;</v>
      </c>
      <c r="P830" s="5" t="s">
        <v>1282</v>
      </c>
    </row>
    <row r="831" spans="1:16" ht="14.25" customHeight="1">
      <c r="A831">
        <v>2012</v>
      </c>
      <c r="B831">
        <v>0</v>
      </c>
      <c r="C831">
        <v>0</v>
      </c>
      <c r="E831">
        <v>1</v>
      </c>
      <c r="F831">
        <v>12</v>
      </c>
      <c r="G831" s="1" t="s">
        <v>772</v>
      </c>
      <c r="H831" s="16" t="s">
        <v>3463</v>
      </c>
      <c r="I831" s="16" t="s">
        <v>4371</v>
      </c>
      <c r="J831" t="str">
        <f>IF(LEN(VLOOKUP(表1[[#This Row],[id]],数据引用!A:C,3,FALSE))&gt;0,VLOOKUP(表1[[#This Row],[id]],数据引用!A:C,3,FALSE),"")</f>
        <v>4月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font-size:12;"&gt;4月&lt;/text&gt;&lt;text transform="matrix(1 0 0 1 0 10.3205)" style="fill:#FFFFFF; font-family:'FZXS12--GB1-0'; font-size:12;"&gt;4月&lt;/text&gt;&lt;/svg&gt;</v>
      </c>
      <c r="P831" s="5" t="s">
        <v>1282</v>
      </c>
    </row>
    <row r="832" spans="1:16" ht="14.25" customHeight="1">
      <c r="A832">
        <v>2013</v>
      </c>
      <c r="B832">
        <v>0</v>
      </c>
      <c r="C832">
        <v>0</v>
      </c>
      <c r="E832">
        <v>1</v>
      </c>
      <c r="F832">
        <v>12</v>
      </c>
      <c r="G832" s="1" t="s">
        <v>773</v>
      </c>
      <c r="H832" s="16" t="s">
        <v>3464</v>
      </c>
      <c r="I832" s="16" t="s">
        <v>4372</v>
      </c>
      <c r="J832" t="str">
        <f>IF(LEN(VLOOKUP(表1[[#This Row],[id]],数据引用!A:C,3,FALSE))&gt;0,VLOOKUP(表1[[#This Row],[id]],数据引用!A:C,3,FALSE),"")</f>
        <v>5月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font-size:12;"&gt;5月&lt;/text&gt;&lt;text transform="matrix(1 0 0 1 0 10.3205)" style="fill:#FFFFFF; font-family:'FZXS12--GB1-0'; font-size:12;"&gt;5月&lt;/text&gt;&lt;/svg&gt;</v>
      </c>
      <c r="P832" s="5" t="s">
        <v>1282</v>
      </c>
    </row>
    <row r="833" spans="1:16" ht="14.25" customHeight="1">
      <c r="A833">
        <v>2014</v>
      </c>
      <c r="B833">
        <v>0</v>
      </c>
      <c r="C833">
        <v>0</v>
      </c>
      <c r="E833">
        <v>1</v>
      </c>
      <c r="F833">
        <v>12</v>
      </c>
      <c r="G833" s="1" t="s">
        <v>774</v>
      </c>
      <c r="H833" s="16" t="s">
        <v>3465</v>
      </c>
      <c r="I833" s="16" t="s">
        <v>4373</v>
      </c>
      <c r="J833" t="str">
        <f>IF(LEN(VLOOKUP(表1[[#This Row],[id]],数据引用!A:C,3,FALSE))&gt;0,VLOOKUP(表1[[#This Row],[id]],数据引用!A:C,3,FALSE),"")</f>
        <v>6月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font-size:12;"&gt;6月&lt;/text&gt;&lt;text transform="matrix(1 0 0 1 0 10.3205)" style="fill:#FFFFFF; font-family:'FZXS12--GB1-0'; font-size:12;"&gt;6月&lt;/text&gt;&lt;/svg&gt;</v>
      </c>
      <c r="P833" s="5" t="s">
        <v>1282</v>
      </c>
    </row>
    <row r="834" spans="1:16" ht="14.25" customHeight="1">
      <c r="A834">
        <v>2015</v>
      </c>
      <c r="B834">
        <v>0</v>
      </c>
      <c r="C834">
        <v>0</v>
      </c>
      <c r="E834">
        <v>1</v>
      </c>
      <c r="F834">
        <v>12</v>
      </c>
      <c r="G834" s="1" t="s">
        <v>775</v>
      </c>
      <c r="H834" s="16" t="s">
        <v>3466</v>
      </c>
      <c r="I834" s="16" t="s">
        <v>4374</v>
      </c>
      <c r="J834" t="str">
        <f>IF(LEN(VLOOKUP(表1[[#This Row],[id]],数据引用!A:C,3,FALSE))&gt;0,VLOOKUP(表1[[#This Row],[id]],数据引用!A:C,3,FALSE),"")</f>
        <v>7月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font-size:12;"&gt;7月&lt;/text&gt;&lt;text transform="matrix(1 0 0 1 0 10.3205)" style="fill:#FFFFFF; font-family:'FZXS12--GB1-0'; font-size:12;"&gt;7月&lt;/text&gt;&lt;/svg&gt;</v>
      </c>
      <c r="P834" s="5" t="s">
        <v>1282</v>
      </c>
    </row>
    <row r="835" spans="1:16" ht="14.25" customHeight="1">
      <c r="A835">
        <v>2016</v>
      </c>
      <c r="B835">
        <v>0</v>
      </c>
      <c r="C835">
        <v>0</v>
      </c>
      <c r="E835">
        <v>1</v>
      </c>
      <c r="F835">
        <v>12</v>
      </c>
      <c r="G835" s="1" t="s">
        <v>776</v>
      </c>
      <c r="H835" s="16" t="s">
        <v>3467</v>
      </c>
      <c r="I835" s="16" t="s">
        <v>4375</v>
      </c>
      <c r="J835" t="str">
        <f>IF(LEN(VLOOKUP(表1[[#This Row],[id]],数据引用!A:C,3,FALSE))&gt;0,VLOOKUP(表1[[#This Row],[id]],数据引用!A:C,3,FALSE),"")</f>
        <v>8月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font-size:12;"&gt;8月&lt;/text&gt;&lt;text transform="matrix(1 0 0 1 0 10.3205)" style="fill:#FFFFFF; font-family:'FZXS12--GB1-0'; font-size:12;"&gt;8月&lt;/text&gt;&lt;/svg&gt;</v>
      </c>
      <c r="P835" s="5" t="s">
        <v>1282</v>
      </c>
    </row>
    <row r="836" spans="1:16" ht="14.25" customHeight="1">
      <c r="A836">
        <v>2017</v>
      </c>
      <c r="B836">
        <v>0</v>
      </c>
      <c r="C836">
        <v>0</v>
      </c>
      <c r="E836">
        <v>1</v>
      </c>
      <c r="F836">
        <v>12</v>
      </c>
      <c r="G836" s="1" t="s">
        <v>777</v>
      </c>
      <c r="H836" s="16" t="s">
        <v>3468</v>
      </c>
      <c r="I836" s="16" t="s">
        <v>4376</v>
      </c>
      <c r="J836" t="str">
        <f>IF(LEN(VLOOKUP(表1[[#This Row],[id]],数据引用!A:C,3,FALSE))&gt;0,VLOOKUP(表1[[#This Row],[id]],数据引用!A:C,3,FALSE),"")</f>
        <v>9月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font-size:12;"&gt;9月&lt;/text&gt;&lt;text transform="matrix(1 0 0 1 0 10.3205)" style="fill:#FFFFFF; font-family:'FZXS12--GB1-0'; font-size:12;"&gt;9月&lt;/text&gt;&lt;/svg&gt;</v>
      </c>
      <c r="P836" s="5" t="s">
        <v>1282</v>
      </c>
    </row>
    <row r="837" spans="1:16" ht="14.25" customHeight="1">
      <c r="A837">
        <v>2018</v>
      </c>
      <c r="B837">
        <v>0</v>
      </c>
      <c r="C837">
        <v>0</v>
      </c>
      <c r="E837">
        <v>1</v>
      </c>
      <c r="F837">
        <v>12</v>
      </c>
      <c r="G837" s="1" t="s">
        <v>778</v>
      </c>
      <c r="H837" s="16" t="s">
        <v>3469</v>
      </c>
      <c r="I837" s="16" t="s">
        <v>4377</v>
      </c>
      <c r="J837" t="str">
        <f>IF(LEN(VLOOKUP(表1[[#This Row],[id]],数据引用!A:C,3,FALSE))&gt;0,VLOOKUP(表1[[#This Row],[id]],数据引用!A:C,3,FALSE),"")</f>
        <v>10月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font-size:12;"&gt;10月&lt;/text&gt;&lt;text transform="matrix(1 0 0 1 0 10.3205)" style="fill:#FFFFFF; font-family:'FZXS12--GB1-0'; font-size:12;"&gt;10月&lt;/text&gt;&lt;/svg&gt;</v>
      </c>
      <c r="P837" s="5" t="s">
        <v>1282</v>
      </c>
    </row>
    <row r="838" spans="1:16" ht="14.25" customHeight="1">
      <c r="A838">
        <v>2019</v>
      </c>
      <c r="B838">
        <v>0</v>
      </c>
      <c r="C838">
        <v>0</v>
      </c>
      <c r="E838">
        <v>1</v>
      </c>
      <c r="F838">
        <v>12</v>
      </c>
      <c r="G838" s="1" t="s">
        <v>779</v>
      </c>
      <c r="H838" s="16" t="s">
        <v>3470</v>
      </c>
      <c r="I838" s="16" t="s">
        <v>4378</v>
      </c>
      <c r="J838" t="str">
        <f>IF(LEN(VLOOKUP(表1[[#This Row],[id]],数据引用!A:C,3,FALSE))&gt;0,VLOOKUP(表1[[#This Row],[id]],数据引用!A:C,3,FALSE),"")</f>
        <v>11月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font-size:12;"&gt;11月&lt;/text&gt;&lt;text transform="matrix(1 0 0 1 0 10.3205)" style="fill:#FFFFFF; font-family:'FZXS12--GB1-0'; font-size:12;"&gt;11月&lt;/text&gt;&lt;/svg&gt;</v>
      </c>
      <c r="P838" s="5" t="s">
        <v>1282</v>
      </c>
    </row>
    <row r="839" spans="1:16" ht="14.25" customHeight="1">
      <c r="A839">
        <v>2020</v>
      </c>
      <c r="B839">
        <v>0</v>
      </c>
      <c r="C839">
        <v>0</v>
      </c>
      <c r="E839">
        <v>1</v>
      </c>
      <c r="F839">
        <v>12</v>
      </c>
      <c r="G839" s="1" t="s">
        <v>780</v>
      </c>
      <c r="H839" s="16" t="s">
        <v>3471</v>
      </c>
      <c r="I839" s="16" t="s">
        <v>4379</v>
      </c>
      <c r="J839" t="str">
        <f>IF(LEN(VLOOKUP(表1[[#This Row],[id]],数据引用!A:C,3,FALSE))&gt;0,VLOOKUP(表1[[#This Row],[id]],数据引用!A:C,3,FALSE),"")</f>
        <v>12月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font-size:12;"&gt;12月&lt;/text&gt;&lt;text transform="matrix(1 0 0 1 0 10.3205)" style="fill:#FFFFFF; font-family:'FZXS12--GB1-0'; font-size:12;"&gt;12月&lt;/text&gt;&lt;/svg&gt;</v>
      </c>
      <c r="P839" s="5" t="s">
        <v>1282</v>
      </c>
    </row>
    <row r="840" spans="1:16" ht="14.25" customHeight="1">
      <c r="A840">
        <v>2050</v>
      </c>
      <c r="B840">
        <v>0</v>
      </c>
      <c r="C840">
        <v>0</v>
      </c>
      <c r="E840">
        <v>1</v>
      </c>
      <c r="F840">
        <v>12</v>
      </c>
      <c r="G840" s="8" t="s">
        <v>781</v>
      </c>
      <c r="H840" s="15" t="s">
        <v>3472</v>
      </c>
      <c r="I840" s="15" t="s">
        <v>4380</v>
      </c>
      <c r="J840" t="str">
        <f>IF(LEN(VLOOKUP(表1[[#This Row],[id]],数据引用!A:C,3,FALSE))&gt;0,VLOOKUP(表1[[#This Row],[id]],数据引用!A:C,3,FALSE),"")</f>
        <v/>
      </c>
      <c r="K840" t="s">
        <v>1208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0" s="5" t="s">
        <v>1282</v>
      </c>
    </row>
    <row r="841" spans="1:16" ht="14.25" customHeight="1">
      <c r="A841">
        <v>2051</v>
      </c>
      <c r="B841">
        <v>0</v>
      </c>
      <c r="C841">
        <v>0</v>
      </c>
      <c r="E841">
        <v>1</v>
      </c>
      <c r="F841">
        <v>12</v>
      </c>
      <c r="G841" s="8" t="s">
        <v>782</v>
      </c>
      <c r="H841" s="15" t="s">
        <v>3473</v>
      </c>
      <c r="I841" s="15" t="s">
        <v>4381</v>
      </c>
      <c r="J841" t="str">
        <f>IF(LEN(VLOOKUP(表1[[#This Row],[id]],数据引用!A:C,3,FALSE))&gt;0,VLOOKUP(表1[[#This Row],[id]],数据引用!A:C,3,FALSE),"")</f>
        <v/>
      </c>
      <c r="K841" t="s">
        <v>1208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1" s="5" t="s">
        <v>1282</v>
      </c>
    </row>
    <row r="842" spans="1:16" ht="14.25" customHeight="1">
      <c r="A842">
        <v>2052</v>
      </c>
      <c r="B842">
        <v>0</v>
      </c>
      <c r="C842">
        <v>0</v>
      </c>
      <c r="E842">
        <v>1</v>
      </c>
      <c r="F842">
        <v>12</v>
      </c>
      <c r="G842" s="8" t="s">
        <v>783</v>
      </c>
      <c r="H842" s="15" t="s">
        <v>3474</v>
      </c>
      <c r="I842" s="15" t="s">
        <v>4382</v>
      </c>
      <c r="J842" t="str">
        <f>IF(LEN(VLOOKUP(表1[[#This Row],[id]],数据引用!A:C,3,FALSE))&gt;0,VLOOKUP(表1[[#This Row],[id]],数据引用!A:C,3,FALSE),"")</f>
        <v/>
      </c>
      <c r="K842" t="s">
        <v>1208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2" s="5" t="s">
        <v>1282</v>
      </c>
    </row>
    <row r="843" spans="1:16" ht="14.25" customHeight="1">
      <c r="A843">
        <v>2053</v>
      </c>
      <c r="B843">
        <v>0</v>
      </c>
      <c r="C843">
        <v>0</v>
      </c>
      <c r="E843">
        <v>1</v>
      </c>
      <c r="F843">
        <v>12</v>
      </c>
      <c r="G843" s="8" t="s">
        <v>784</v>
      </c>
      <c r="H843" s="15" t="s">
        <v>3475</v>
      </c>
      <c r="I843" s="15" t="s">
        <v>4383</v>
      </c>
      <c r="J843" t="str">
        <f>IF(LEN(VLOOKUP(表1[[#This Row],[id]],数据引用!A:C,3,FALSE))&gt;0,VLOOKUP(表1[[#This Row],[id]],数据引用!A:C,3,FALSE),"")</f>
        <v/>
      </c>
      <c r="K843" t="s">
        <v>1208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3" s="5" t="s">
        <v>1282</v>
      </c>
    </row>
    <row r="844" spans="1:16" ht="14.25" customHeight="1">
      <c r="A844">
        <v>2054</v>
      </c>
      <c r="B844">
        <v>0</v>
      </c>
      <c r="C844">
        <v>0</v>
      </c>
      <c r="E844">
        <v>1</v>
      </c>
      <c r="F844">
        <v>12</v>
      </c>
      <c r="G844" s="8" t="s">
        <v>785</v>
      </c>
      <c r="H844" s="15" t="s">
        <v>3476</v>
      </c>
      <c r="I844" s="15" t="s">
        <v>4384</v>
      </c>
      <c r="J844" t="str">
        <f>IF(LEN(VLOOKUP(表1[[#This Row],[id]],数据引用!A:C,3,FALSE))&gt;0,VLOOKUP(表1[[#This Row],[id]],数据引用!A:C,3,FALSE),"")</f>
        <v/>
      </c>
      <c r="K844" t="s">
        <v>1208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4" s="5" t="s">
        <v>1282</v>
      </c>
    </row>
    <row r="845" spans="1:16" ht="14.25" customHeight="1">
      <c r="A845">
        <v>2055</v>
      </c>
      <c r="B845">
        <v>0</v>
      </c>
      <c r="C845">
        <v>0</v>
      </c>
      <c r="E845">
        <v>1</v>
      </c>
      <c r="F845">
        <v>12</v>
      </c>
      <c r="G845" s="8" t="s">
        <v>786</v>
      </c>
      <c r="H845" s="15" t="s">
        <v>3477</v>
      </c>
      <c r="I845" s="15" t="s">
        <v>4385</v>
      </c>
      <c r="J845" t="str">
        <f>IF(LEN(VLOOKUP(表1[[#This Row],[id]],数据引用!A:C,3,FALSE))&gt;0,VLOOKUP(表1[[#This Row],[id]],数据引用!A:C,3,FALSE),"")</f>
        <v/>
      </c>
      <c r="K845" t="s">
        <v>1208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5" s="5" t="s">
        <v>1282</v>
      </c>
    </row>
    <row r="846" spans="1:16" ht="14.25" customHeight="1">
      <c r="A846">
        <v>2056</v>
      </c>
      <c r="B846">
        <v>0</v>
      </c>
      <c r="C846">
        <v>0</v>
      </c>
      <c r="E846">
        <v>1</v>
      </c>
      <c r="F846">
        <v>12</v>
      </c>
      <c r="G846" s="8" t="s">
        <v>787</v>
      </c>
      <c r="H846" s="15" t="s">
        <v>3478</v>
      </c>
      <c r="I846" s="15" t="s">
        <v>4386</v>
      </c>
      <c r="J846" t="str">
        <f>IF(LEN(VLOOKUP(表1[[#This Row],[id]],数据引用!A:C,3,FALSE))&gt;0,VLOOKUP(表1[[#This Row],[id]],数据引用!A:C,3,FALSE),"")</f>
        <v/>
      </c>
      <c r="K846" t="s">
        <v>1208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6" s="5" t="s">
        <v>1282</v>
      </c>
    </row>
    <row r="847" spans="1:16" ht="14.25" customHeight="1">
      <c r="A847">
        <v>2057</v>
      </c>
      <c r="B847">
        <v>0</v>
      </c>
      <c r="C847">
        <v>0</v>
      </c>
      <c r="E847">
        <v>1</v>
      </c>
      <c r="F847">
        <v>12</v>
      </c>
      <c r="G847" s="8" t="s">
        <v>788</v>
      </c>
      <c r="H847" s="15" t="s">
        <v>3479</v>
      </c>
      <c r="I847" s="15" t="s">
        <v>4387</v>
      </c>
      <c r="J847" t="str">
        <f>IF(LEN(VLOOKUP(表1[[#This Row],[id]],数据引用!A:C,3,FALSE))&gt;0,VLOOKUP(表1[[#This Row],[id]],数据引用!A:C,3,FALSE),"")</f>
        <v/>
      </c>
      <c r="K847" t="s">
        <v>1208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7" s="5" t="s">
        <v>1282</v>
      </c>
    </row>
    <row r="848" spans="1:16" ht="14.25" customHeight="1">
      <c r="A848">
        <v>2058</v>
      </c>
      <c r="B848">
        <v>0</v>
      </c>
      <c r="C848">
        <v>0</v>
      </c>
      <c r="E848">
        <v>1</v>
      </c>
      <c r="F848">
        <v>12</v>
      </c>
      <c r="G848" s="8" t="s">
        <v>789</v>
      </c>
      <c r="H848" s="15" t="s">
        <v>3480</v>
      </c>
      <c r="I848" s="15" t="s">
        <v>4388</v>
      </c>
      <c r="J848" t="str">
        <f>IF(LEN(VLOOKUP(表1[[#This Row],[id]],数据引用!A:C,3,FALSE))&gt;0,VLOOKUP(表1[[#This Row],[id]],数据引用!A:C,3,FALSE),"")</f>
        <v/>
      </c>
      <c r="K848" t="s">
        <v>1208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8" s="5" t="s">
        <v>1282</v>
      </c>
    </row>
    <row r="849" spans="1:16" ht="14.25" customHeight="1">
      <c r="A849">
        <v>2059</v>
      </c>
      <c r="B849">
        <v>0</v>
      </c>
      <c r="C849">
        <v>0</v>
      </c>
      <c r="E849">
        <v>1</v>
      </c>
      <c r="F849">
        <v>12</v>
      </c>
      <c r="G849" s="8" t="s">
        <v>790</v>
      </c>
      <c r="H849" s="15" t="s">
        <v>3481</v>
      </c>
      <c r="I849" s="15" t="s">
        <v>4389</v>
      </c>
      <c r="J849" t="str">
        <f>IF(LEN(VLOOKUP(表1[[#This Row],[id]],数据引用!A:C,3,FALSE))&gt;0,VLOOKUP(表1[[#This Row],[id]],数据引用!A:C,3,FALSE),"")</f>
        <v/>
      </c>
      <c r="K849" t="s">
        <v>1208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9" s="5" t="s">
        <v>1282</v>
      </c>
    </row>
    <row r="850" spans="1:16" ht="14.25" customHeight="1">
      <c r="A850">
        <v>2060</v>
      </c>
      <c r="B850">
        <v>0</v>
      </c>
      <c r="C850">
        <v>0</v>
      </c>
      <c r="E850">
        <v>1</v>
      </c>
      <c r="F850">
        <v>12</v>
      </c>
      <c r="G850" s="8" t="s">
        <v>791</v>
      </c>
      <c r="H850" s="15" t="s">
        <v>3482</v>
      </c>
      <c r="I850" s="15" t="s">
        <v>4390</v>
      </c>
      <c r="J850" t="str">
        <f>IF(LEN(VLOOKUP(表1[[#This Row],[id]],数据引用!A:C,3,FALSE))&gt;0,VLOOKUP(表1[[#This Row],[id]],数据引用!A:C,3,FALSE),"")</f>
        <v/>
      </c>
      <c r="K850" t="s">
        <v>1208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50" s="5" t="s">
        <v>1282</v>
      </c>
    </row>
    <row r="851" spans="1:16" ht="14.25" customHeight="1">
      <c r="A851">
        <v>2100</v>
      </c>
      <c r="B851">
        <v>0</v>
      </c>
      <c r="C851">
        <v>0</v>
      </c>
      <c r="E851" t="s">
        <v>2572</v>
      </c>
      <c r="F851">
        <v>18</v>
      </c>
      <c r="G851" s="1" t="s">
        <v>759</v>
      </c>
      <c r="H851" s="16" t="s">
        <v>3483</v>
      </c>
      <c r="I851" s="18"/>
      <c r="J851" t="str">
        <f>IF(LEN(VLOOKUP(表1[[#This Row],[id]],数据引用!A:C,3,FALSE))&gt;0,VLOOKUP(表1[[#This Row],[id]],数据引用!A:C,3,FALSE),"")</f>
        <v>游戏设置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51" s="5"/>
    </row>
    <row r="852" spans="1:16" ht="14.25" customHeight="1">
      <c r="A852">
        <v>2101</v>
      </c>
      <c r="B852">
        <v>0</v>
      </c>
      <c r="C852">
        <v>0</v>
      </c>
      <c r="E852">
        <v>1</v>
      </c>
      <c r="F852">
        <v>12</v>
      </c>
      <c r="G852" s="1" t="s">
        <v>792</v>
      </c>
      <c r="H852" s="16" t="s">
        <v>3484</v>
      </c>
      <c r="I852" s="16" t="s">
        <v>4391</v>
      </c>
      <c r="J852" t="str">
        <f>IF(LEN(VLOOKUP(表1[[#This Row],[id]],数据引用!A:C,3,FALSE))&gt;0,VLOOKUP(表1[[#This Row],[id]],数据引用!A:C,3,FALSE),"")</f>
        <v>默认P1：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font-size:12;"&gt;默认P1：&lt;/text&gt;&lt;text transform="matrix(1 0 0 1 0 10.3205)" style="fill:#FFFFFF; font-family:'FZXS12--GB1-0'; font-size:12;"&gt;默认P1：&lt;/text&gt;&lt;/svg&gt;</v>
      </c>
      <c r="P852" s="5" t="s">
        <v>1282</v>
      </c>
    </row>
    <row r="853" spans="1:16" ht="14.25" customHeight="1">
      <c r="A853">
        <v>2102</v>
      </c>
      <c r="B853">
        <v>0</v>
      </c>
      <c r="C853">
        <v>0</v>
      </c>
      <c r="E853">
        <v>1</v>
      </c>
      <c r="F853">
        <v>12</v>
      </c>
      <c r="G853" s="1" t="s">
        <v>793</v>
      </c>
      <c r="H853" s="16" t="s">
        <v>3485</v>
      </c>
      <c r="I853" s="16" t="s">
        <v>4392</v>
      </c>
      <c r="J853" t="str">
        <f>IF(LEN(VLOOKUP(表1[[#This Row],[id]],数据引用!A:C,3,FALSE))&gt;0,VLOOKUP(表1[[#This Row],[id]],数据引用!A:C,3,FALSE),"")</f>
        <v>默认人物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font-size:12;"&gt;默认人物&lt;/text&gt;&lt;text transform="matrix(1 0 0 1 0 10.3205)" style="fill:#FFFFFF; font-family:'FZXS12--GB1-0'; font-size:12;"&gt;默认人物&lt;/text&gt;&lt;/svg&gt;</v>
      </c>
      <c r="P853" s="5" t="s">
        <v>1282</v>
      </c>
    </row>
    <row r="854" spans="1:16" ht="14.25" customHeight="1">
      <c r="A854">
        <v>2103</v>
      </c>
      <c r="B854">
        <v>0</v>
      </c>
      <c r="C854">
        <v>0</v>
      </c>
      <c r="E854">
        <v>1</v>
      </c>
      <c r="F854">
        <v>12</v>
      </c>
      <c r="G854" s="1" t="s">
        <v>794</v>
      </c>
      <c r="H854" s="16" t="s">
        <v>3486</v>
      </c>
      <c r="I854" s="16" t="s">
        <v>4393</v>
      </c>
      <c r="J854" t="str">
        <f>IF(LEN(VLOOKUP(表1[[#This Row],[id]],数据引用!A:C,3,FALSE))&gt;0,VLOOKUP(表1[[#This Row],[id]],数据引用!A:C,3,FALSE),"")</f>
        <v>显示物品信息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font-size:12;"&gt;显示物品信息&lt;/text&gt;&lt;text transform="matrix(1 0 0 1 0 10.3205)" style="fill:#FFFFFF; font-family:'FZXS12--GB1-0'; font-size:12;"&gt;显示物品信息&lt;/text&gt;&lt;/svg&gt;</v>
      </c>
      <c r="P854" s="5" t="s">
        <v>1282</v>
      </c>
    </row>
    <row r="855" spans="1:16" ht="14.25" customHeight="1">
      <c r="A855">
        <v>2104</v>
      </c>
      <c r="B855">
        <v>0</v>
      </c>
      <c r="C855">
        <v>0</v>
      </c>
      <c r="E855">
        <v>1</v>
      </c>
      <c r="F855">
        <v>12</v>
      </c>
      <c r="G855" s="1" t="s">
        <v>795</v>
      </c>
      <c r="H855" s="16" t="s">
        <v>3487</v>
      </c>
      <c r="I855" s="16" t="s">
        <v>4394</v>
      </c>
      <c r="J855" t="str">
        <f>IF(LEN(VLOOKUP(表1[[#This Row],[id]],数据引用!A:C,3,FALSE))&gt;0,VLOOKUP(表1[[#This Row],[id]],数据引用!A:C,3,FALSE),"")</f>
        <v>始终显示物品名称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font-size:12;"&gt;始终显示物品名称&lt;/text&gt;&lt;text transform="matrix(1 0 0 1 0 10.3205)" style="fill:#FFFFFF; font-family:'FZXS12--GB1-0'; font-size:12;"&gt;始终显示物品名称&lt;/text&gt;&lt;/svg&gt;</v>
      </c>
      <c r="P855" s="5" t="s">
        <v>1282</v>
      </c>
    </row>
    <row r="856" spans="1:16" ht="14.25" customHeight="1">
      <c r="A856">
        <v>2105</v>
      </c>
      <c r="B856">
        <v>0</v>
      </c>
      <c r="C856">
        <v>0</v>
      </c>
      <c r="E856">
        <v>1</v>
      </c>
      <c r="F856">
        <v>12</v>
      </c>
      <c r="G856" s="1" t="s">
        <v>796</v>
      </c>
      <c r="H856" s="16" t="s">
        <v>3488</v>
      </c>
      <c r="I856" s="16" t="s">
        <v>4395</v>
      </c>
      <c r="J856" t="str">
        <f>IF(LEN(VLOOKUP(表1[[#This Row],[id]],数据引用!A:C,3,FALSE))&gt;0,VLOOKUP(表1[[#This Row],[id]],数据引用!A:C,3,FALSE),"")</f>
        <v>始终显示怪物血量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font-size:12;"&gt;始终显示怪物血量&lt;/text&gt;&lt;text transform="matrix(1 0 0 1 0 10.3205)" style="fill:#FFFFFF; font-family:'FZXS12--GB1-0'; font-size:12;"&gt;始终显示怪物血量&lt;/text&gt;&lt;/svg&gt;</v>
      </c>
      <c r="P856" s="5" t="s">
        <v>1282</v>
      </c>
    </row>
    <row r="857" spans="1:16" ht="14.25" customHeight="1">
      <c r="A857">
        <v>2106</v>
      </c>
      <c r="B857">
        <v>0</v>
      </c>
      <c r="C857">
        <v>0</v>
      </c>
      <c r="E857">
        <v>1</v>
      </c>
      <c r="F857">
        <v>12</v>
      </c>
      <c r="G857" s="1" t="s">
        <v>797</v>
      </c>
      <c r="H857" s="16" t="s">
        <v>3489</v>
      </c>
      <c r="I857" s="16" t="s">
        <v>4396</v>
      </c>
      <c r="J857" t="str">
        <f>IF(LEN(VLOOKUP(表1[[#This Row],[id]],数据引用!A:C,3,FALSE))&gt;0,VLOOKUP(表1[[#This Row],[id]],数据引用!A:C,3,FALSE),"")</f>
        <v>大厅快速移动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font-size:12;"&gt;大厅快速移动&lt;/text&gt;&lt;text transform="matrix(1 0 0 1 0 10.3205)" style="fill:#FFFFFF; font-family:'FZXS12--GB1-0'; font-size:12;"&gt;大厅快速移动&lt;/text&gt;&lt;/svg&gt;</v>
      </c>
      <c r="P857" s="5" t="s">
        <v>1282</v>
      </c>
    </row>
    <row r="858" spans="1:16" ht="14.25" customHeight="1">
      <c r="A858">
        <v>2107</v>
      </c>
      <c r="B858">
        <v>0</v>
      </c>
      <c r="C858">
        <v>0</v>
      </c>
      <c r="E858">
        <v>1</v>
      </c>
      <c r="F858">
        <v>12</v>
      </c>
      <c r="G858" s="1" t="s">
        <v>798</v>
      </c>
      <c r="H858" s="16" t="s">
        <v>3490</v>
      </c>
      <c r="I858" s="16" t="s">
        <v>4397</v>
      </c>
      <c r="J858" t="str">
        <f>IF(LEN(VLOOKUP(表1[[#This Row],[id]],数据引用!A:C,3,FALSE))&gt;0,VLOOKUP(表1[[#This Row],[id]],数据引用!A:C,3,FALSE),"")</f>
        <v>未使用钻石提醒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font-size:12;"&gt;未使用钻石提醒&lt;/text&gt;&lt;text transform="matrix(1 0 0 1 0 10.3205)" style="fill:#FFFFFF; font-family:'FZXS12--GB1-0'; font-size:12;"&gt;未使用钻石提醒&lt;/text&gt;&lt;/svg&gt;</v>
      </c>
      <c r="P858" s="5" t="s">
        <v>1282</v>
      </c>
    </row>
    <row r="859" spans="1:16" ht="14.25" customHeight="1">
      <c r="A859">
        <v>2108</v>
      </c>
      <c r="B859">
        <v>0</v>
      </c>
      <c r="C859">
        <v>0</v>
      </c>
      <c r="E859">
        <v>1</v>
      </c>
      <c r="F859">
        <v>12</v>
      </c>
      <c r="G859" s="1" t="s">
        <v>799</v>
      </c>
      <c r="H859" s="16" t="s">
        <v>3491</v>
      </c>
      <c r="I859" s="16" t="s">
        <v>4398</v>
      </c>
      <c r="J859" t="str">
        <f>IF(LEN(VLOOKUP(表1[[#This Row],[id]],数据引用!A:C,3,FALSE))&gt;0,VLOOKUP(表1[[#This Row],[id]],数据引用!A:C,3,FALSE),"")</f>
        <v>最小化时暂停游戏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font-size:12;"&gt;最小化时暂停游戏&lt;/text&gt;&lt;text transform="matrix(1 0 0 1 0 10.3205)" style="fill:#FFFFFF; font-family:'FZXS12--GB1-0'; font-size:12;"&gt;最小化时暂停游戏&lt;/text&gt;&lt;/svg&gt;</v>
      </c>
      <c r="P859" s="5" t="s">
        <v>1282</v>
      </c>
    </row>
    <row r="860" spans="1:16" ht="14.25" customHeight="1">
      <c r="A860">
        <v>2109</v>
      </c>
      <c r="B860">
        <v>0</v>
      </c>
      <c r="C860">
        <v>0</v>
      </c>
      <c r="E860">
        <v>1</v>
      </c>
      <c r="F860">
        <v>12</v>
      </c>
      <c r="G860" s="1" t="s">
        <v>800</v>
      </c>
      <c r="H860" s="16" t="s">
        <v>3492</v>
      </c>
      <c r="I860" s="16" t="s">
        <v>4399</v>
      </c>
      <c r="J860" t="str">
        <f>IF(LEN(VLOOKUP(表1[[#This Row],[id]],数据引用!A:C,3,FALSE))&gt;0,VLOOKUP(表1[[#This Row],[id]],数据引用!A:C,3,FALSE),"")</f>
        <v>播放过场动画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font-size:12;"&gt;播放过场动画&lt;/text&gt;&lt;text transform="matrix(1 0 0 1 0 10.3205)" style="fill:#FFFFFF; font-family:'FZXS12--GB1-0'; font-size:12;"&gt;播放过场动画&lt;/text&gt;&lt;/svg&gt;</v>
      </c>
      <c r="P860" s="5" t="s">
        <v>1282</v>
      </c>
    </row>
    <row r="861" spans="1:16" ht="14.25" customHeight="1">
      <c r="A861">
        <v>2110</v>
      </c>
      <c r="B861">
        <v>0</v>
      </c>
      <c r="C861">
        <v>0</v>
      </c>
      <c r="E861">
        <v>1</v>
      </c>
      <c r="F861">
        <v>12</v>
      </c>
      <c r="G861" s="1" t="s">
        <v>801</v>
      </c>
      <c r="H861" s="16" t="s">
        <v>3493</v>
      </c>
      <c r="I861" s="16" t="s">
        <v>4400</v>
      </c>
      <c r="J861" t="str">
        <f>IF(LEN(VLOOKUP(表1[[#This Row],[id]],数据引用!A:C,3,FALSE))&gt;0,VLOOKUP(表1[[#This Row],[id]],数据引用!A:C,3,FALSE),"")</f>
        <v>显示boss简介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font-size:12;"&gt;显示boss简介&lt;/text&gt;&lt;text transform="matrix(1 0 0 1 0 10.3205)" style="fill:#FFFFFF; font-family:'FZXS12--GB1-0'; font-size:12;"&gt;显示boss简介&lt;/text&gt;&lt;/svg&gt;</v>
      </c>
      <c r="P861" s="5" t="s">
        <v>1282</v>
      </c>
    </row>
    <row r="862" spans="1:16" ht="14.25" customHeight="1">
      <c r="A862">
        <v>2111</v>
      </c>
      <c r="B862">
        <v>0</v>
      </c>
      <c r="C862">
        <v>0</v>
      </c>
      <c r="E862">
        <v>1</v>
      </c>
      <c r="F862">
        <v>12</v>
      </c>
      <c r="G862" s="1" t="s">
        <v>802</v>
      </c>
      <c r="H862" s="16" t="s">
        <v>3494</v>
      </c>
      <c r="I862" s="16" t="s">
        <v>4401</v>
      </c>
      <c r="J862" t="str">
        <f>IF(LEN(VLOOKUP(表1[[#This Row],[id]],数据引用!A:C,3,FALSE))&gt;0,VLOOKUP(表1[[#This Row],[id]],数据引用!A:C,3,FALSE),"")</f>
        <v>清除存档数据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font-size:12;"&gt;清除存档数据&lt;/text&gt;&lt;text transform="matrix(1 0 0 1 0 10.3205)" style="fill:#FFFFFF; font-family:'FZXS12--GB1-0'; font-size:12;"&gt;清除存档数据&lt;/text&gt;&lt;/svg&gt;</v>
      </c>
      <c r="P862" s="5" t="s">
        <v>1282</v>
      </c>
    </row>
    <row r="863" spans="1:16" ht="14.25" customHeight="1">
      <c r="A863">
        <v>2112</v>
      </c>
      <c r="B863">
        <v>0</v>
      </c>
      <c r="C863">
        <v>0</v>
      </c>
      <c r="E863">
        <v>1</v>
      </c>
      <c r="F863">
        <v>12</v>
      </c>
      <c r="G863" s="1" t="s">
        <v>803</v>
      </c>
      <c r="H863" s="16" t="s">
        <v>3495</v>
      </c>
      <c r="I863" s="18"/>
      <c r="J863" t="str">
        <f>IF(LEN(VLOOKUP(表1[[#This Row],[id]],数据引用!A:C,3,FALSE))&gt;0,VLOOKUP(表1[[#This Row],[id]],数据引用!A:C,3,FALSE),"")</f>
        <v>确定要清除存档？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font-size:12;"&gt;确定要清除存档？&lt;/text&gt;&lt;text transform="matrix(1 0 0 1 0 10.3205)" style="fill:#FFFFFF; font-family:'FZXS12--GB1-0'; font-size:12;"&gt;确定要清除存档？&lt;/text&gt;&lt;/svg&gt;</v>
      </c>
      <c r="N863" t="s">
        <v>1255</v>
      </c>
      <c r="P863" s="5"/>
    </row>
    <row r="864" spans="1:16" ht="14.25" customHeight="1">
      <c r="A864">
        <v>2113</v>
      </c>
      <c r="B864">
        <v>0</v>
      </c>
      <c r="C864">
        <v>0</v>
      </c>
      <c r="E864">
        <v>1</v>
      </c>
      <c r="F864">
        <v>12</v>
      </c>
      <c r="G864" s="1" t="s">
        <v>804</v>
      </c>
      <c r="H864" s="16" t="s">
        <v>3496</v>
      </c>
      <c r="I864" s="18"/>
      <c r="J864" t="str">
        <f>IF(LEN(VLOOKUP(表1[[#This Row],[id]],数据引用!A:C,3,FALSE))&gt;0,VLOOKUP(表1[[#This Row],[id]],数据引用!A:C,3,FALSE),"")</f>
        <v>（恢复不了滴哦）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font-size:12;"&gt;（恢复不了滴哦）&lt;/text&gt;&lt;text transform="matrix(1 0 0 1 0 10.3205)" style="fill:#FFFFFF; font-family:'FZXS12--GB1-0'; font-size:12;"&gt;（恢复不了滴哦）&lt;/text&gt;&lt;/svg&gt;</v>
      </c>
      <c r="N864" t="s">
        <v>1256</v>
      </c>
      <c r="P864" s="5"/>
    </row>
    <row r="865" spans="1:16" ht="14.25" customHeight="1">
      <c r="A865">
        <v>2150</v>
      </c>
      <c r="B865">
        <v>0</v>
      </c>
      <c r="C865">
        <v>0</v>
      </c>
      <c r="E865" t="s">
        <v>2572</v>
      </c>
      <c r="F865">
        <v>18</v>
      </c>
      <c r="G865" s="1" t="s">
        <v>761</v>
      </c>
      <c r="H865" s="16" t="s">
        <v>3497</v>
      </c>
      <c r="I865" s="18"/>
      <c r="J865" t="str">
        <f>IF(LEN(VLOOKUP(表1[[#This Row],[id]],数据引用!A:C,3,FALSE))&gt;0,VLOOKUP(表1[[#This Row],[id]],数据引用!A:C,3,FALSE),"")</f>
        <v>语音设置</v>
      </c>
      <c r="K865" t="s">
        <v>1209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font-size:12;"&gt;语音设置&lt;/text&gt;&lt;text transform="matrix(1 0 0 1 0 10.3205)" style="fill:#FFFFFF; font-family:'FZXS12--GB1-0'; font-size:12;"&gt;语音设置&lt;/text&gt;&lt;/svg&gt;</v>
      </c>
      <c r="P865" s="5"/>
    </row>
    <row r="866" spans="1:16" ht="14.25" customHeight="1">
      <c r="A866">
        <v>2151</v>
      </c>
      <c r="B866">
        <v>0</v>
      </c>
      <c r="C866">
        <v>0</v>
      </c>
      <c r="E866">
        <v>1</v>
      </c>
      <c r="F866">
        <v>12</v>
      </c>
      <c r="G866" s="1" t="s">
        <v>805</v>
      </c>
      <c r="H866" s="16" t="s">
        <v>3498</v>
      </c>
      <c r="I866" s="16" t="s">
        <v>4402</v>
      </c>
      <c r="J866" t="str">
        <f>IF(LEN(VLOOKUP(表1[[#This Row],[id]],数据引用!A:C,3,FALSE))&gt;0,VLOOKUP(表1[[#This Row],[id]],数据引用!A:C,3,FALSE),"")</f>
        <v>开启字幕</v>
      </c>
      <c r="K866" t="s">
        <v>1209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font-size:12;"&gt;开启字幕&lt;/text&gt;&lt;text transform="matrix(1 0 0 1 0 10.3205)" style="fill:#FFFFFF; font-family:'FZXS12--GB1-0'; font-size:12;"&gt;开启字幕&lt;/text&gt;&lt;/svg&gt;</v>
      </c>
      <c r="P866" s="5" t="s">
        <v>1282</v>
      </c>
    </row>
    <row r="867" spans="1:16" ht="14.25" customHeight="1">
      <c r="A867">
        <v>2152</v>
      </c>
      <c r="B867">
        <v>0</v>
      </c>
      <c r="C867">
        <v>0</v>
      </c>
      <c r="E867">
        <v>1</v>
      </c>
      <c r="F867">
        <v>12</v>
      </c>
      <c r="G867" s="1" t="s">
        <v>2467</v>
      </c>
      <c r="H867" s="16" t="s">
        <v>3499</v>
      </c>
      <c r="I867" s="16" t="s">
        <v>4403</v>
      </c>
      <c r="J867" t="str">
        <f>IF(LEN(VLOOKUP(表1[[#This Row],[id]],数据引用!A:C,3,FALSE))&gt;0,VLOOKUP(表1[[#This Row],[id]],数据引用!A:C,3,FALSE),"")</f>
        <v>语言：</v>
      </c>
      <c r="K867" t="s">
        <v>1209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font-size:12;"&gt;语言：&lt;/text&gt;&lt;text transform="matrix(1 0 0 1 0 10.3205)" style="fill:#FFFFFF; font-family:'FZXS12--GB1-0'; font-size:12;"&gt;语言：&lt;/text&gt;&lt;/svg&gt;</v>
      </c>
      <c r="P867" s="5" t="s">
        <v>1282</v>
      </c>
    </row>
    <row r="868" spans="1:16" ht="14.25" customHeight="1">
      <c r="A868">
        <v>2200</v>
      </c>
      <c r="B868">
        <v>0</v>
      </c>
      <c r="C868">
        <v>0</v>
      </c>
      <c r="E868" t="s">
        <v>2572</v>
      </c>
      <c r="F868">
        <v>18</v>
      </c>
      <c r="G868" s="1" t="s">
        <v>806</v>
      </c>
      <c r="H868" s="16" t="s">
        <v>3500</v>
      </c>
      <c r="I868" s="18"/>
      <c r="J868" t="str">
        <f>IF(LEN(VLOOKUP(表1[[#This Row],[id]],数据引用!A:C,3,FALSE))&gt;0,VLOOKUP(表1[[#This Row],[id]],数据引用!A:C,3,FALSE),"")</f>
        <v>选择要查看的排行榜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font-size:12;"&gt;选择要查看的排行榜&lt;/text&gt;&lt;text transform="matrix(1 0 0 1 0 10.3205)" style="fill:#FFFFFF; font-family:'FZXS12--GB1-0'; font-size:12;"&gt;选择要查看的排行榜&lt;/text&gt;&lt;/svg&gt;</v>
      </c>
      <c r="P868" s="5"/>
    </row>
    <row r="869" spans="1:16" ht="14.25" customHeight="1">
      <c r="A869">
        <v>2201</v>
      </c>
      <c r="B869">
        <v>0</v>
      </c>
      <c r="C869">
        <v>0</v>
      </c>
      <c r="E869">
        <v>1</v>
      </c>
      <c r="F869">
        <v>12</v>
      </c>
      <c r="G869" s="1" t="s">
        <v>807</v>
      </c>
      <c r="H869" s="16" t="s">
        <v>3501</v>
      </c>
      <c r="I869" s="16" t="s">
        <v>4404</v>
      </c>
      <c r="J869" t="str">
        <f>IF(LEN(VLOOKUP(表1[[#This Row],[id]],数据引用!A:C,3,FALSE))&gt;0,VLOOKUP(表1[[#This Row],[id]],数据引用!A:C,3,FALSE),"")</f>
        <v>每日挑战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69" s="5" t="s">
        <v>1282</v>
      </c>
    </row>
    <row r="870" spans="1:16" ht="14.25" customHeight="1">
      <c r="A870">
        <v>2202</v>
      </c>
      <c r="B870">
        <v>0</v>
      </c>
      <c r="C870">
        <v>0</v>
      </c>
      <c r="E870">
        <v>1</v>
      </c>
      <c r="F870">
        <v>12</v>
      </c>
      <c r="G870" s="1" t="s">
        <v>2468</v>
      </c>
      <c r="H870" s="16" t="s">
        <v>3502</v>
      </c>
      <c r="I870" s="16" t="s">
        <v>4405</v>
      </c>
      <c r="J870" t="str">
        <f>IF(LEN(VLOOKUP(表1[[#This Row],[id]],数据引用!A:C,3,FALSE))&gt;0,VLOOKUP(表1[[#This Row],[id]],数据引用!A:C,3,FALSE),"")</f>
        <v>全区域得分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font-size:12;"&gt;全区域得分&lt;/text&gt;&lt;text transform="matrix(1 0 0 1 0 10.3205)" style="fill:#FFFFFF; font-family:'FZXS12--GB1-0'; font-size:12;"&gt;全区域得分&lt;/text&gt;&lt;/svg&gt;</v>
      </c>
      <c r="P870" s="5" t="s">
        <v>1282</v>
      </c>
    </row>
    <row r="871" spans="1:16" ht="14.25" customHeight="1">
      <c r="A871">
        <v>2203</v>
      </c>
      <c r="B871">
        <v>0</v>
      </c>
      <c r="C871">
        <v>0</v>
      </c>
      <c r="E871">
        <v>1</v>
      </c>
      <c r="F871">
        <v>12</v>
      </c>
      <c r="G871" s="1" t="s">
        <v>2469</v>
      </c>
      <c r="H871" s="16" t="s">
        <v>3503</v>
      </c>
      <c r="I871" s="16" t="s">
        <v>4406</v>
      </c>
      <c r="J871" t="str">
        <f>IF(LEN(VLOOKUP(表1[[#This Row],[id]],数据引用!A:C,3,FALSE))&gt;0,VLOOKUP(表1[[#This Row],[id]],数据引用!A:C,3,FALSE),"")</f>
        <v>全区域竞速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font-size:12;"&gt;全区域竞速&lt;/text&gt;&lt;text transform="matrix(1 0 0 1 0 10.3205)" style="fill:#FFFFFF; font-family:'FZXS12--GB1-0'; font-size:12;"&gt;全区域竞速&lt;/text&gt;&lt;/svg&gt;</v>
      </c>
      <c r="P871" s="5" t="s">
        <v>1282</v>
      </c>
    </row>
    <row r="872" spans="1:16" ht="14.25" customHeight="1">
      <c r="A872">
        <v>2204</v>
      </c>
      <c r="B872">
        <v>0</v>
      </c>
      <c r="C872">
        <v>0</v>
      </c>
      <c r="E872">
        <v>1</v>
      </c>
      <c r="F872">
        <v>12</v>
      </c>
      <c r="G872" s="1" t="s">
        <v>808</v>
      </c>
      <c r="H872" s="16" t="s">
        <v>3504</v>
      </c>
      <c r="I872" s="16" t="s">
        <v>4407</v>
      </c>
      <c r="J872" t="str">
        <f>IF(LEN(VLOOKUP(表1[[#This Row],[id]],数据引用!A:C,3,FALSE))&gt;0,VLOOKUP(表1[[#This Row],[id]],数据引用!A:C,3,FALSE),"")</f>
        <v>使用种子的全区域得分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font-size:12;"&gt;使用种子的全区域得分&lt;/text&gt;&lt;text transform="matrix(1 0 0 1 0 10.3205)" style="fill:#FFFFFF; font-family:'FZXS12--GB1-0'; font-size:12;"&gt;使用种子的全区域得分&lt;/text&gt;&lt;/svg&gt;</v>
      </c>
      <c r="P872" s="5" t="s">
        <v>1282</v>
      </c>
    </row>
    <row r="873" spans="1:16" ht="14.25" customHeight="1">
      <c r="A873">
        <v>2205</v>
      </c>
      <c r="B873">
        <v>0</v>
      </c>
      <c r="C873">
        <v>0</v>
      </c>
      <c r="E873">
        <v>1</v>
      </c>
      <c r="F873">
        <v>12</v>
      </c>
      <c r="G873" s="1" t="s">
        <v>2470</v>
      </c>
      <c r="H873" s="16" t="s">
        <v>3505</v>
      </c>
      <c r="I873" s="16" t="s">
        <v>4408</v>
      </c>
      <c r="J873" t="str">
        <f>IF(LEN(VLOOKUP(表1[[#This Row],[id]],数据引用!A:C,3,FALSE))&gt;0,VLOOKUP(表1[[#This Row],[id]],数据引用!A:C,3,FALSE),"")</f>
        <v>使用种子的全区域竞速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font-size:12;"&gt;使用种子的全区域竞速&lt;/text&gt;&lt;text transform="matrix(1 0 0 1 0 10.3205)" style="fill:#FFFFFF; font-family:'FZXS12--GB1-0'; font-size:12;"&gt;使用种子的全区域竞速&lt;/text&gt;&lt;/svg&gt;</v>
      </c>
      <c r="P873" s="5" t="s">
        <v>1282</v>
      </c>
    </row>
    <row r="874" spans="1:16" ht="14.25" customHeight="1">
      <c r="A874">
        <v>2206</v>
      </c>
      <c r="B874">
        <v>0</v>
      </c>
      <c r="C874">
        <v>0</v>
      </c>
      <c r="E874">
        <v>1</v>
      </c>
      <c r="F874">
        <v>12</v>
      </c>
      <c r="G874" s="1" t="s">
        <v>809</v>
      </c>
      <c r="H874" s="16" t="s">
        <v>3506</v>
      </c>
      <c r="I874" s="16" t="s">
        <v>4409</v>
      </c>
      <c r="J874" t="str">
        <f>IF(LEN(VLOOKUP(表1[[#This Row],[id]],数据引用!A:C,3,FALSE))&gt;0,VLOOKUP(表1[[#This Row],[id]],数据引用!A:C,3,FALSE),"")</f>
        <v>不朽模式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P874" s="5" t="s">
        <v>1282</v>
      </c>
    </row>
    <row r="875" spans="1:16" ht="14.25" customHeight="1">
      <c r="A875">
        <v>2207</v>
      </c>
      <c r="B875">
        <v>0</v>
      </c>
      <c r="C875">
        <v>0</v>
      </c>
      <c r="E875">
        <v>1</v>
      </c>
      <c r="F875">
        <v>12</v>
      </c>
      <c r="G875" s="1" t="s">
        <v>810</v>
      </c>
      <c r="H875" s="16" t="s">
        <v>3507</v>
      </c>
      <c r="I875" s="16" t="s">
        <v>4410</v>
      </c>
      <c r="J875" t="str">
        <f>IF(LEN(VLOOKUP(表1[[#This Row],[id]],数据引用!A:C,3,FALSE))&gt;0,VLOOKUP(表1[[#This Row],[id]],数据引用!A:C,3,FALSE),"")</f>
        <v>故事模式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875" s="5" t="s">
        <v>1282</v>
      </c>
    </row>
    <row r="876" spans="1:16" ht="14.25" customHeight="1">
      <c r="A876">
        <v>2208</v>
      </c>
      <c r="B876">
        <v>0</v>
      </c>
      <c r="C876">
        <v>0</v>
      </c>
      <c r="E876" t="s">
        <v>2572</v>
      </c>
      <c r="F876">
        <v>18</v>
      </c>
      <c r="G876" s="1" t="s">
        <v>672</v>
      </c>
      <c r="H876" s="16" t="s">
        <v>3508</v>
      </c>
      <c r="I876" s="18"/>
      <c r="J876" t="str">
        <f>IF(LEN(VLOOKUP(表1[[#This Row],[id]],数据引用!A:C,3,FALSE))&gt;0,VLOOKUP(表1[[#This Row],[id]],数据引用!A:C,3,FALSE),"")</f>
        <v>排行榜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876" s="5"/>
    </row>
    <row r="877" spans="1:16" ht="14.25" customHeight="1">
      <c r="A877">
        <v>2209</v>
      </c>
      <c r="B877">
        <v>0</v>
      </c>
      <c r="C877">
        <v>0</v>
      </c>
      <c r="E877" t="s">
        <v>2570</v>
      </c>
      <c r="F877">
        <v>6</v>
      </c>
      <c r="G877" s="1" t="s">
        <v>811</v>
      </c>
      <c r="H877" s="16" t="s">
        <v>3509</v>
      </c>
      <c r="I877" s="16" t="s">
        <v>4411</v>
      </c>
      <c r="J877" t="str">
        <f>IF(LEN(VLOOKUP(表1[[#This Row],[id]],数据引用!A:C,3,FALSE))&gt;0,VLOOKUP(表1[[#This Row],[id]],数据引用!A:C,3,FALSE),"")</f>
        <v>后一天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font-size:12;"&gt;后一天&lt;/text&gt;&lt;text transform="matrix(1 0 0 1 0 10.3205)" style="fill:#FFFFFF; font-family:'FZXS12--GB1-0'; font-size:12;"&gt;后一天&lt;/text&gt;&lt;/svg&gt;</v>
      </c>
      <c r="P877" s="5" t="s">
        <v>1282</v>
      </c>
    </row>
    <row r="878" spans="1:16" ht="14.25" customHeight="1">
      <c r="A878">
        <v>2210</v>
      </c>
      <c r="B878">
        <v>0</v>
      </c>
      <c r="C878">
        <v>0</v>
      </c>
      <c r="E878" t="s">
        <v>2570</v>
      </c>
      <c r="F878">
        <v>6</v>
      </c>
      <c r="G878" s="1" t="s">
        <v>812</v>
      </c>
      <c r="H878" s="16" t="s">
        <v>3510</v>
      </c>
      <c r="I878" s="16" t="s">
        <v>4412</v>
      </c>
      <c r="J878" t="str">
        <f>IF(LEN(VLOOKUP(表1[[#This Row],[id]],数据引用!A:C,3,FALSE))&gt;0,VLOOKUP(表1[[#This Row],[id]],数据引用!A:C,3,FALSE),"")</f>
        <v>前一天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font-size:12;"&gt;前一天&lt;/text&gt;&lt;text transform="matrix(1 0 0 1 0 10.3205)" style="fill:#FFFFFF; font-family:'FZXS12--GB1-0'; font-size:12;"&gt;前一天&lt;/text&gt;&lt;/svg&gt;</v>
      </c>
      <c r="P878" s="5" t="s">
        <v>1282</v>
      </c>
    </row>
    <row r="879" spans="1:16" ht="14.25" customHeight="1">
      <c r="A879">
        <v>2211</v>
      </c>
      <c r="B879">
        <v>0</v>
      </c>
      <c r="C879">
        <v>0</v>
      </c>
      <c r="E879" t="s">
        <v>2570</v>
      </c>
      <c r="F879">
        <v>6</v>
      </c>
      <c r="G879" s="1" t="s">
        <v>665</v>
      </c>
      <c r="H879" s="16" t="s">
        <v>3511</v>
      </c>
      <c r="I879" s="16" t="s">
        <v>4413</v>
      </c>
      <c r="J879" t="str">
        <f>IF(LEN(VLOOKUP(表1[[#This Row],[id]],数据引用!A:C,3,FALSE))&gt;0,VLOOKUP(表1[[#This Row],[id]],数据引用!A:C,3,FALSE),"")</f>
        <v>下一页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879" s="5" t="s">
        <v>1282</v>
      </c>
    </row>
    <row r="880" spans="1:16" ht="14.25" customHeight="1">
      <c r="A880">
        <v>2212</v>
      </c>
      <c r="B880">
        <v>0</v>
      </c>
      <c r="C880">
        <v>0</v>
      </c>
      <c r="E880" t="s">
        <v>2570</v>
      </c>
      <c r="F880">
        <v>6</v>
      </c>
      <c r="G880" s="1" t="s">
        <v>664</v>
      </c>
      <c r="H880" s="16" t="s">
        <v>3512</v>
      </c>
      <c r="I880" s="16" t="s">
        <v>4414</v>
      </c>
      <c r="J880" t="str">
        <f>IF(LEN(VLOOKUP(表1[[#This Row],[id]],数据引用!A:C,3,FALSE))&gt;0,VLOOKUP(表1[[#This Row],[id]],数据引用!A:C,3,FALSE),"")</f>
        <v>上一页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880" s="5" t="s">
        <v>1282</v>
      </c>
    </row>
    <row r="881" spans="1:16" ht="14.25" customHeight="1">
      <c r="A881">
        <v>2213</v>
      </c>
      <c r="B881">
        <v>0</v>
      </c>
      <c r="C881">
        <v>-1.5</v>
      </c>
      <c r="E881" t="s">
        <v>2570</v>
      </c>
      <c r="F881">
        <v>6</v>
      </c>
      <c r="G881" s="1" t="s">
        <v>813</v>
      </c>
      <c r="H881" s="16" t="s">
        <v>3513</v>
      </c>
      <c r="I881" s="16" t="s">
        <v>4415</v>
      </c>
      <c r="J881" t="str">
        <f>IF(LEN(VLOOKUP(表1[[#This Row],[id]],数据引用!A:C,3,FALSE))&gt;0,VLOOKUP(表1[[#This Row],[id]],数据引用!A:C,3,FALSE),"")</f>
        <v>STEAM好友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font-size:12;"&gt;STEAM好友&lt;/text&gt;&lt;text transform="matrix(1 0 0 1 0 10.3205)" style="fill:#FFFFFF; font-family:'FZXS12--GB1-0'; font-size:12;"&gt;STEAM好友&lt;/text&gt;&lt;/svg&gt;</v>
      </c>
      <c r="P881" s="5" t="s">
        <v>1282</v>
      </c>
    </row>
    <row r="882" spans="1:16" ht="14.25" customHeight="1">
      <c r="A882">
        <v>2214</v>
      </c>
      <c r="B882">
        <v>0</v>
      </c>
      <c r="C882">
        <v>0</v>
      </c>
      <c r="E882" t="s">
        <v>2570</v>
      </c>
      <c r="F882">
        <v>6</v>
      </c>
      <c r="G882" s="1" t="s">
        <v>814</v>
      </c>
      <c r="H882" s="16" t="s">
        <v>3514</v>
      </c>
      <c r="I882" s="16" t="s">
        <v>4416</v>
      </c>
      <c r="J882" t="str">
        <f>IF(LEN(VLOOKUP(表1[[#This Row],[id]],数据引用!A:C,3,FALSE))&gt;0,VLOOKUP(表1[[#This Row],[id]],数据引用!A:C,3,FALSE),"")</f>
        <v>没有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font-size:12;"&gt;没有&lt;/text&gt;&lt;text transform="matrix(1 0 0 1 0 10.3205)" style="fill:#FFFFFF; font-family:'FZXS12--GB1-0'; font-size:12;"&gt;没有&lt;/text&gt;&lt;/svg&gt;</v>
      </c>
      <c r="P882" s="5" t="s">
        <v>1282</v>
      </c>
    </row>
    <row r="883" spans="1:16" ht="14.25" customHeight="1">
      <c r="A883">
        <v>2215</v>
      </c>
      <c r="B883">
        <v>0</v>
      </c>
      <c r="C883">
        <v>0</v>
      </c>
      <c r="E883" t="s">
        <v>2570</v>
      </c>
      <c r="F883">
        <v>6</v>
      </c>
      <c r="G883" s="1" t="s">
        <v>815</v>
      </c>
      <c r="H883" s="16" t="s">
        <v>3515</v>
      </c>
      <c r="I883" s="16" t="s">
        <v>4417</v>
      </c>
      <c r="J883" t="str">
        <f>IF(LEN(VLOOKUP(表1[[#This Row],[id]],数据引用!A:C,3,FALSE))&gt;0,VLOOKUP(表1[[#This Row],[id]],数据引用!A:C,3,FALSE),"")</f>
        <v>有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font-size:12;"&gt;有&lt;/text&gt;&lt;text transform="matrix(1 0 0 1 0 10.3205)" style="fill:#FFFFFF; font-family:'FZXS12--GB1-0'; font-size:12;"&gt;有&lt;/text&gt;&lt;/svg&gt;</v>
      </c>
      <c r="P883" s="5" t="s">
        <v>1282</v>
      </c>
    </row>
    <row r="884" spans="1:16" ht="14.25" customHeight="1">
      <c r="A884">
        <v>2216</v>
      </c>
      <c r="B884">
        <v>0</v>
      </c>
      <c r="C884">
        <v>0</v>
      </c>
      <c r="E884" t="s">
        <v>2570</v>
      </c>
      <c r="F884">
        <v>6</v>
      </c>
      <c r="G884" s="1" t="s">
        <v>816</v>
      </c>
      <c r="H884" s="16" t="s">
        <v>3516</v>
      </c>
      <c r="I884" s="18"/>
      <c r="J884" t="str">
        <f>IF(LEN(VLOOKUP(表1[[#This Row],[id]],数据引用!A:C,3,FALSE))&gt;0,VLOOKUP(表1[[#This Row],[id]],数据引用!A:C,3,FALSE),"")</f>
        <v>有回放？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font-size:12;"&gt;有回放？&lt;/text&gt;&lt;text transform="matrix(1 0 0 1 0 10.3205)" style="fill:#FFFFFF; font-family:'FZXS12--GB1-0'; font-size:12;"&gt;有回放？&lt;/text&gt;&lt;/svg&gt;</v>
      </c>
      <c r="P884" s="5"/>
    </row>
    <row r="885" spans="1:16" ht="14.25" customHeight="1">
      <c r="A885">
        <v>2217</v>
      </c>
      <c r="B885">
        <v>0</v>
      </c>
      <c r="C885">
        <v>0</v>
      </c>
      <c r="E885" t="s">
        <v>2570</v>
      </c>
      <c r="F885">
        <v>6</v>
      </c>
      <c r="G885" s="1" t="s">
        <v>817</v>
      </c>
      <c r="H885" s="16" t="s">
        <v>3517</v>
      </c>
      <c r="I885" s="16" t="s">
        <v>4418</v>
      </c>
      <c r="J885" t="str">
        <f>IF(LEN(VLOOKUP(表1[[#This Row],[id]],数据引用!A:C,3,FALSE))&gt;0,VLOOKUP(表1[[#This Row],[id]],数据引用!A:C,3,FALSE),"")</f>
        <v>没有，旧版本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font-size:12;"&gt;没有，旧版本&lt;/text&gt;&lt;text transform="matrix(1 0 0 1 0 10.3205)" style="fill:#FFFFFF; font-family:'FZXS12--GB1-0'; font-size:12;"&gt;没有，旧版本&lt;/text&gt;&lt;/svg&gt;</v>
      </c>
      <c r="P885" s="5" t="s">
        <v>1282</v>
      </c>
    </row>
    <row r="886" spans="1:16" ht="14.25" customHeight="1">
      <c r="A886">
        <v>2218</v>
      </c>
      <c r="B886">
        <v>0</v>
      </c>
      <c r="C886">
        <v>0</v>
      </c>
      <c r="E886" t="s">
        <v>2570</v>
      </c>
      <c r="F886">
        <v>6</v>
      </c>
      <c r="G886" s="1" t="s">
        <v>818</v>
      </c>
      <c r="H886" s="16" t="s">
        <v>3518</v>
      </c>
      <c r="I886" s="16" t="s">
        <v>4419</v>
      </c>
      <c r="J886" t="str">
        <f>IF(LEN(VLOOKUP(表1[[#This Row],[id]],数据引用!A:C,3,FALSE))&gt;0,VLOOKUP(表1[[#This Row],[id]],数据引用!A:C,3,FALSE),"")</f>
        <v>隐私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font-size:12;"&gt;隐私&lt;/text&gt;&lt;text transform="matrix(1 0 0 1 0 10.3205)" style="fill:#FFFFFF; font-family:'FZXS12--GB1-0'; font-size:12;"&gt;隐私&lt;/text&gt;&lt;/svg&gt;</v>
      </c>
      <c r="P886" s="5" t="s">
        <v>1282</v>
      </c>
    </row>
    <row r="887" spans="1:16" ht="14.25" customHeight="1">
      <c r="A887">
        <v>2219</v>
      </c>
      <c r="B887">
        <v>0</v>
      </c>
      <c r="C887">
        <v>0</v>
      </c>
      <c r="E887" t="s">
        <v>2570</v>
      </c>
      <c r="F887">
        <v>6</v>
      </c>
      <c r="G887" s="1" t="s">
        <v>819</v>
      </c>
      <c r="H887" s="16" t="s">
        <v>3519</v>
      </c>
      <c r="I887" s="16" t="s">
        <v>4420</v>
      </c>
      <c r="J887" t="str">
        <f>IF(LEN(VLOOKUP(表1[[#This Row],[id]],数据引用!A:C,3,FALSE))&gt;0,VLOOKUP(表1[[#This Row],[id]],数据引用!A:C,3,FALSE),"")</f>
        <v>观看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font-size:12;"&gt;观看&lt;/text&gt;&lt;text transform="matrix(1 0 0 1 0 10.3205)" style="fill:#FFFFFF; font-family:'FZXS12--GB1-0'; font-size:12;"&gt;观看&lt;/text&gt;&lt;/svg&gt;</v>
      </c>
      <c r="P887" s="5" t="s">
        <v>1282</v>
      </c>
    </row>
    <row r="888" spans="1:16" ht="14.25" customHeight="1">
      <c r="A888">
        <v>2220</v>
      </c>
      <c r="B888">
        <v>0</v>
      </c>
      <c r="C888">
        <v>0</v>
      </c>
      <c r="E888">
        <v>1</v>
      </c>
      <c r="F888">
        <v>12</v>
      </c>
      <c r="G888" s="1" t="s">
        <v>820</v>
      </c>
      <c r="H888" s="16" t="s">
        <v>3520</v>
      </c>
      <c r="I888" s="18"/>
      <c r="J888" t="str">
        <f>IF(LEN(VLOOKUP(表1[[#This Row],[id]],数据引用!A:C,3,FALSE))&gt;0,VLOOKUP(表1[[#This Row],[id]],数据引用!A:C,3,FALSE),"")</f>
        <v>使用种子的全区域竞速，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font-size:12;"&gt;使用种子的全区域竞速，&lt;/text&gt;&lt;text transform="matrix(1 0 0 1 0 10.3205)" style="fill:#FFFFFF; font-family:'FZXS12--GB1-0'; font-size:12;"&gt;使用种子的全区域竞速，&lt;/text&gt;&lt;/svg&gt;</v>
      </c>
      <c r="P888" s="5"/>
    </row>
    <row r="889" spans="1:16" ht="14.25" customHeight="1">
      <c r="A889">
        <v>2221</v>
      </c>
      <c r="B889">
        <v>0</v>
      </c>
      <c r="C889">
        <v>0</v>
      </c>
      <c r="E889">
        <v>1</v>
      </c>
      <c r="F889">
        <v>12</v>
      </c>
      <c r="G889" s="1" t="s">
        <v>821</v>
      </c>
      <c r="H889" s="16" t="s">
        <v>3521</v>
      </c>
      <c r="I889" s="18"/>
      <c r="J889" t="str">
        <f>IF(LEN(VLOOKUP(表1[[#This Row],[id]],数据引用!A:C,3,FALSE))&gt;0,VLOOKUP(表1[[#This Row],[id]],数据引用!A:C,3,FALSE),"")</f>
        <v>全区域竞速，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font-size:12;"&gt;全区域竞速，&lt;/text&gt;&lt;text transform="matrix(1 0 0 1 0 10.3205)" style="fill:#FFFFFF; font-family:'FZXS12--GB1-0'; font-size:12;"&gt;全区域竞速，&lt;/text&gt;&lt;/svg&gt;</v>
      </c>
      <c r="P889" s="5"/>
    </row>
    <row r="890" spans="1:16" ht="14.25" customHeight="1">
      <c r="A890">
        <v>2222</v>
      </c>
      <c r="B890">
        <v>0</v>
      </c>
      <c r="C890">
        <v>0</v>
      </c>
      <c r="E890">
        <v>1</v>
      </c>
      <c r="F890">
        <v>12</v>
      </c>
      <c r="G890" s="1" t="s">
        <v>822</v>
      </c>
      <c r="H890" s="16" t="s">
        <v>3522</v>
      </c>
      <c r="I890" s="18"/>
      <c r="J890" t="str">
        <f>IF(LEN(VLOOKUP(表1[[#This Row],[id]],数据引用!A:C,3,FALSE))&gt;0,VLOOKUP(表1[[#This Row],[id]],数据引用!A:C,3,FALSE),"")</f>
        <v>种子模式，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font-size:12;"&gt;种子模式，&lt;/text&gt;&lt;text transform="matrix(1 0 0 1 0 10.3205)" style="fill:#FFFFFF; font-family:'FZXS12--GB1-0'; font-size:12;"&gt;种子模式，&lt;/text&gt;&lt;/svg&gt;</v>
      </c>
      <c r="P890" s="5"/>
    </row>
    <row r="891" spans="1:16" ht="14.25" customHeight="1">
      <c r="A891">
        <v>2223</v>
      </c>
      <c r="B891">
        <v>0</v>
      </c>
      <c r="C891">
        <v>0</v>
      </c>
      <c r="E891">
        <v>1</v>
      </c>
      <c r="F891">
        <v>12</v>
      </c>
      <c r="G891" s="1" t="s">
        <v>823</v>
      </c>
      <c r="H891" s="16" t="s">
        <v>3523</v>
      </c>
      <c r="I891" s="18"/>
      <c r="J891" t="str">
        <f>IF(LEN(VLOOKUP(表1[[#This Row],[id]],数据引用!A:C,3,FALSE))&gt;0,VLOOKUP(表1[[#This Row],[id]],数据引用!A:C,3,FALSE),"")</f>
        <v>全区域模式，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font-size:12;"&gt;全区域模式，&lt;/text&gt;&lt;text transform="matrix(1 0 0 1 0 10.3205)" style="fill:#FFFFFF; font-family:'FZXS12--GB1-0'; font-size:12;"&gt;全区域模式，&lt;/text&gt;&lt;/svg&gt;</v>
      </c>
      <c r="P891" s="5"/>
    </row>
    <row r="892" spans="1:16" ht="14.25" customHeight="1">
      <c r="A892">
        <v>2224</v>
      </c>
      <c r="B892">
        <v>0</v>
      </c>
      <c r="C892">
        <v>0</v>
      </c>
      <c r="E892">
        <v>1</v>
      </c>
      <c r="F892">
        <v>12</v>
      </c>
      <c r="G892" s="1" t="s">
        <v>72</v>
      </c>
      <c r="H892" s="16" t="s">
        <v>3524</v>
      </c>
      <c r="I892" s="18"/>
      <c r="J892" t="str">
        <f>IF(LEN(VLOOKUP(表1[[#This Row],[id]],数据引用!A:C,3,FALSE))&gt;0,VLOOKUP(表1[[#This Row],[id]],数据引用!A:C,3,FALSE),"")</f>
        <v>每日挑战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92" s="5"/>
    </row>
    <row r="893" spans="1:16" ht="14.25" customHeight="1">
      <c r="A893">
        <v>2225</v>
      </c>
      <c r="B893">
        <v>0</v>
      </c>
      <c r="C893">
        <v>0</v>
      </c>
      <c r="E893">
        <v>1</v>
      </c>
      <c r="F893">
        <v>12</v>
      </c>
      <c r="G893" s="1" t="s">
        <v>824</v>
      </c>
      <c r="H893" s="16" t="s">
        <v>3525</v>
      </c>
      <c r="I893" s="18"/>
      <c r="J893" t="str">
        <f>IF(LEN(VLOOKUP(表1[[#This Row],[id]],数据引用!A:C,3,FALSE))&gt;0,VLOOKUP(表1[[#This Row],[id]],数据引用!A:C,3,FALSE),"")</f>
        <v>合作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font-size:12;"&gt;合作&lt;/text&gt;&lt;text transform="matrix(1 0 0 1 0 10.3205)" style="fill:#FFFFFF; font-family:'FZXS12--GB1-0'; font-size:12;"&gt;合作&lt;/text&gt;&lt;/svg&gt;</v>
      </c>
      <c r="P893" s="5"/>
    </row>
    <row r="894" spans="1:16" ht="14.25" customHeight="1">
      <c r="A894">
        <v>2226</v>
      </c>
      <c r="B894">
        <v>0</v>
      </c>
      <c r="C894">
        <v>0</v>
      </c>
      <c r="E894">
        <v>1</v>
      </c>
      <c r="F894">
        <v>12</v>
      </c>
      <c r="G894" s="1" t="s">
        <v>113</v>
      </c>
      <c r="H894" s="16" t="s">
        <v>3526</v>
      </c>
      <c r="I894" s="18"/>
      <c r="J894" t="str">
        <f>IF(LEN(VLOOKUP(表1[[#This Row],[id]],数据引用!A:C,3,FALSE))&gt;0,VLOOKUP(表1[[#This Row],[id]],数据引用!A:C,3,FALSE),"")</f>
        <v>不死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font-size:12;"&gt;不死&lt;/text&gt;&lt;text transform="matrix(1 0 0 1 0 10.3205)" style="fill:#FFFFFF; font-family:'FZXS12--GB1-0'; font-size:12;"&gt;不死&lt;/text&gt;&lt;/svg&gt;</v>
      </c>
      <c r="P894" s="5"/>
    </row>
    <row r="895" spans="1:16" ht="14.25" customHeight="1">
      <c r="A895">
        <v>2227</v>
      </c>
      <c r="B895">
        <v>0</v>
      </c>
      <c r="C895">
        <v>0</v>
      </c>
      <c r="E895">
        <v>1</v>
      </c>
      <c r="F895">
        <v>12</v>
      </c>
      <c r="G895" s="1" t="s">
        <v>675</v>
      </c>
      <c r="H895" s="16" t="s">
        <v>3527</v>
      </c>
      <c r="I895" s="18"/>
      <c r="J895" t="str">
        <f>IF(LEN(VLOOKUP(表1[[#This Row],[id]],数据引用!A:C,3,FALSE))&gt;0,VLOOKUP(表1[[#This Row],[id]],数据引用!A:C,3,FALSE),"")</f>
        <v>自定义音乐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895" s="5"/>
    </row>
    <row r="896" spans="1:16" ht="14.25" customHeight="1">
      <c r="A896">
        <v>2228</v>
      </c>
      <c r="B896">
        <v>0</v>
      </c>
      <c r="C896">
        <v>0</v>
      </c>
      <c r="E896">
        <v>1</v>
      </c>
      <c r="F896">
        <v>12</v>
      </c>
      <c r="G896" s="1" t="s">
        <v>11</v>
      </c>
      <c r="H896" s="16" t="s">
        <v>3528</v>
      </c>
      <c r="I896" s="18"/>
      <c r="J896" t="str">
        <f>IF(LEN(VLOOKUP(表1[[#This Row],[id]],数据引用!A:C,3,FALSE))&gt;0,VLOOKUP(表1[[#This Row],[id]],数据引用!A:C,3,FALSE),"")</f>
        <v>载入中…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896" s="5"/>
    </row>
    <row r="897" spans="1:16" ht="14.25" customHeight="1">
      <c r="A897">
        <v>2229</v>
      </c>
      <c r="B897">
        <v>0</v>
      </c>
      <c r="C897">
        <v>0</v>
      </c>
      <c r="E897" t="s">
        <v>2570</v>
      </c>
      <c r="F897">
        <v>6</v>
      </c>
      <c r="G897" s="1" t="s">
        <v>825</v>
      </c>
      <c r="H897" s="16" t="s">
        <v>3529</v>
      </c>
      <c r="I897" s="18"/>
      <c r="J897" t="str">
        <f>IF(LEN(VLOOKUP(表1[[#This Row],[id]],数据引用!A:C,3,FALSE))&gt;0,VLOOKUP(表1[[#This Row],[id]],数据引用!A:C,3,FALSE),"")</f>
        <v>排名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font-size:12;"&gt;排名&lt;/text&gt;&lt;text transform="matrix(1 0 0 1 0 10.3205)" style="fill:#FFFFFF; font-family:'FZXS12--GB1-0'; font-size:12;"&gt;排名&lt;/text&gt;&lt;/svg&gt;</v>
      </c>
      <c r="P897" s="5"/>
    </row>
    <row r="898" spans="1:16" ht="14.25" customHeight="1">
      <c r="A898">
        <v>2230</v>
      </c>
      <c r="B898">
        <v>0</v>
      </c>
      <c r="C898">
        <v>0</v>
      </c>
      <c r="E898" t="s">
        <v>2570</v>
      </c>
      <c r="F898">
        <v>6</v>
      </c>
      <c r="G898" s="1" t="s">
        <v>826</v>
      </c>
      <c r="H898" s="16" t="s">
        <v>3530</v>
      </c>
      <c r="I898" s="18"/>
      <c r="J898" t="str">
        <f>IF(LEN(VLOOKUP(表1[[#This Row],[id]],数据引用!A:C,3,FALSE))&gt;0,VLOOKUP(表1[[#This Row],[id]],数据引用!A:C,3,FALSE),"")</f>
        <v>名字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font-size:12;"&gt;名字&lt;/text&gt;&lt;text transform="matrix(1 0 0 1 0 10.3205)" style="fill:#FFFFFF; font-family:'FZXS12--GB1-0'; font-size:12;"&gt;名字&lt;/text&gt;&lt;/svg&gt;</v>
      </c>
      <c r="P898" s="5"/>
    </row>
    <row r="899" spans="1:16" ht="14.25" customHeight="1">
      <c r="A899">
        <v>2231</v>
      </c>
      <c r="B899">
        <v>0</v>
      </c>
      <c r="C899">
        <v>0</v>
      </c>
      <c r="E899" t="s">
        <v>2570</v>
      </c>
      <c r="F899">
        <v>6</v>
      </c>
      <c r="G899" s="1" t="s">
        <v>827</v>
      </c>
      <c r="H899" s="16" t="s">
        <v>3531</v>
      </c>
      <c r="I899" s="18"/>
      <c r="J899" t="str">
        <f>IF(LEN(VLOOKUP(表1[[#This Row],[id]],数据引用!A:C,3,FALSE))&gt;0,VLOOKUP(表1[[#This Row],[id]],数据引用!A:C,3,FALSE),"")</f>
        <v>胜场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font-size:12;"&gt;胜场&lt;/text&gt;&lt;text transform="matrix(1 0 0 1 0 10.3205)" style="fill:#FFFFFF; font-family:'FZXS12--GB1-0'; font-size:12;"&gt;胜场&lt;/text&gt;&lt;/svg&gt;</v>
      </c>
      <c r="P899" s="5"/>
    </row>
    <row r="900" spans="1:16" ht="14.25" customHeight="1">
      <c r="A900">
        <v>2232</v>
      </c>
      <c r="B900">
        <v>0</v>
      </c>
      <c r="C900">
        <v>0</v>
      </c>
      <c r="E900" t="s">
        <v>2570</v>
      </c>
      <c r="F900">
        <v>6</v>
      </c>
      <c r="G900" s="1" t="s">
        <v>828</v>
      </c>
      <c r="H900" s="16" t="s">
        <v>3532</v>
      </c>
      <c r="I900" s="18"/>
      <c r="J900" t="str">
        <f>IF(LEN(VLOOKUP(表1[[#This Row],[id]],数据引用!A:C,3,FALSE))&gt;0,VLOOKUP(表1[[#This Row],[id]],数据引用!A:C,3,FALSE),"")</f>
        <v>得分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font-size:12;"&gt;得分&lt;/text&gt;&lt;text transform="matrix(1 0 0 1 0 10.3205)" style="fill:#FFFFFF; font-family:'FZXS12--GB1-0'; font-size:12;"&gt;得分&lt;/text&gt;&lt;/svg&gt;</v>
      </c>
      <c r="P900" s="5"/>
    </row>
    <row r="901" spans="1:16" ht="14.25" customHeight="1">
      <c r="A901">
        <v>2233</v>
      </c>
      <c r="B901">
        <v>0</v>
      </c>
      <c r="C901">
        <v>0</v>
      </c>
      <c r="E901" t="s">
        <v>2570</v>
      </c>
      <c r="F901">
        <v>6</v>
      </c>
      <c r="G901" s="1" t="s">
        <v>829</v>
      </c>
      <c r="H901" s="16" t="s">
        <v>3533</v>
      </c>
      <c r="I901" s="18"/>
      <c r="J901" t="str">
        <f>IF(LEN(VLOOKUP(表1[[#This Row],[id]],数据引用!A:C,3,FALSE))&gt;0,VLOOKUP(表1[[#This Row],[id]],数据引用!A:C,3,FALSE),"")</f>
        <v>时间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font-size:12;"&gt;时间&lt;/text&gt;&lt;text transform="matrix(1 0 0 1 0 10.3205)" style="fill:#FFFFFF; font-family:'FZXS12--GB1-0'; font-size:12;"&gt;时间&lt;/text&gt;&lt;/svg&gt;</v>
      </c>
      <c r="P901" s="5"/>
    </row>
    <row r="902" spans="1:16" ht="14.25" customHeight="1">
      <c r="A902">
        <v>2234</v>
      </c>
      <c r="B902">
        <v>0</v>
      </c>
      <c r="C902">
        <v>0</v>
      </c>
      <c r="E902" t="s">
        <v>2570</v>
      </c>
      <c r="F902">
        <v>6</v>
      </c>
      <c r="G902" s="1" t="s">
        <v>830</v>
      </c>
      <c r="H902" s="16" t="s">
        <v>3534</v>
      </c>
      <c r="I902" s="18"/>
      <c r="J902" t="str">
        <f>IF(LEN(VLOOKUP(表1[[#This Row],[id]],数据引用!A:C,3,FALSE))&gt;0,VLOOKUP(表1[[#This Row],[id]],数据引用!A:C,3,FALSE),"")</f>
        <v>区域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font-size:12;"&gt;区域&lt;/text&gt;&lt;text transform="matrix(1 0 0 1 0 10.3205)" style="fill:#FFFFFF; font-family:'FZXS12--GB1-0'; font-size:12;"&gt;区域&lt;/text&gt;&lt;/svg&gt;</v>
      </c>
      <c r="P902" s="5"/>
    </row>
    <row r="903" spans="1:16" ht="14.25" customHeight="1">
      <c r="A903">
        <v>2235</v>
      </c>
      <c r="B903">
        <v>0</v>
      </c>
      <c r="C903">
        <v>0</v>
      </c>
      <c r="E903" t="s">
        <v>2570</v>
      </c>
      <c r="F903">
        <v>6</v>
      </c>
      <c r="G903" s="1" t="s">
        <v>831</v>
      </c>
      <c r="H903" s="16" t="s">
        <v>3535</v>
      </c>
      <c r="I903" s="18"/>
      <c r="J903" t="str">
        <f>IF(LEN(VLOOKUP(表1[[#This Row],[id]],数据引用!A:C,3,FALSE))&gt;0,VLOOKUP(表1[[#This Row],[id]],数据引用!A:C,3,FALSE),"")</f>
        <v>关卡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P903" s="5"/>
    </row>
    <row r="904" spans="1:16" ht="14.25" customHeight="1">
      <c r="A904">
        <v>2236</v>
      </c>
      <c r="B904">
        <v>0</v>
      </c>
      <c r="C904">
        <v>0</v>
      </c>
      <c r="E904" t="s">
        <v>2570</v>
      </c>
      <c r="F904">
        <v>6</v>
      </c>
      <c r="G904" s="1" t="s">
        <v>832</v>
      </c>
      <c r="H904" s="16" t="s">
        <v>3536</v>
      </c>
      <c r="I904" s="18"/>
      <c r="J904" t="str">
        <f>IF(LEN(VLOOKUP(表1[[#This Row],[id]],数据引用!A:C,3,FALSE))&gt;0,VLOOKUP(表1[[#This Row],[id]],数据引用!A:C,3,FALSE),"")</f>
        <v>击杀：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904" s="5"/>
    </row>
    <row r="905" spans="1:16" ht="14.25" customHeight="1">
      <c r="A905">
        <v>2237</v>
      </c>
      <c r="B905">
        <v>0</v>
      </c>
      <c r="C905">
        <v>0</v>
      </c>
      <c r="E905" t="s">
        <v>2570</v>
      </c>
      <c r="F905">
        <v>6</v>
      </c>
      <c r="G905" s="1" t="s">
        <v>833</v>
      </c>
      <c r="H905" s="16" t="s">
        <v>3537</v>
      </c>
      <c r="I905" s="18"/>
      <c r="J905" t="str">
        <f>IF(LEN(VLOOKUP(表1[[#This Row],[id]],数据引用!A:C,3,FALSE))&gt;0,VLOOKUP(表1[[#This Row],[id]],数据引用!A:C,3,FALSE),"")</f>
        <v>未知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font-size:12;"&gt;未知&lt;/text&gt;&lt;text transform="matrix(1 0 0 1 0 10.3205)" style="fill:#FFFFFF; font-family:'FZXS12--GB1-0'; font-size:12;"&gt;未知&lt;/text&gt;&lt;/svg&gt;</v>
      </c>
      <c r="P905" s="5"/>
    </row>
    <row r="906" spans="1:16" ht="14.25" customHeight="1">
      <c r="A906">
        <v>2238</v>
      </c>
      <c r="B906">
        <v>0</v>
      </c>
      <c r="C906">
        <v>0</v>
      </c>
      <c r="E906" t="s">
        <v>2570</v>
      </c>
      <c r="F906">
        <v>6</v>
      </c>
      <c r="G906" s="1" t="s">
        <v>834</v>
      </c>
      <c r="H906" s="16" t="s">
        <v>3538</v>
      </c>
      <c r="I906" s="18"/>
      <c r="J906" t="str">
        <f>IF(LEN(VLOOKUP(表1[[#This Row],[id]],数据引用!A:C,3,FALSE))&gt;0,VLOOKUP(表1[[#This Row],[id]],数据引用!A:C,3,FALSE),"")</f>
        <v>完成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6" s="5"/>
    </row>
    <row r="907" spans="1:16" ht="14.25" customHeight="1">
      <c r="A907">
        <v>2239</v>
      </c>
      <c r="B907">
        <v>0</v>
      </c>
      <c r="C907">
        <v>0</v>
      </c>
      <c r="E907" t="s">
        <v>2570</v>
      </c>
      <c r="F907">
        <v>6</v>
      </c>
      <c r="G907" s="12" t="s">
        <v>663</v>
      </c>
      <c r="H907" s="16" t="s">
        <v>3539</v>
      </c>
      <c r="I907" s="16" t="s">
        <v>4421</v>
      </c>
      <c r="J907" t="str">
        <f>IF(LEN(VLOOKUP(表1[[#This Row],[id]],数据引用!A:C,3,FALSE))&gt;0,VLOOKUP(表1[[#This Row],[id]],数据引用!A:C,3,FALSE),"")</f>
        <v>完成</v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7" s="5" t="s">
        <v>1282</v>
      </c>
    </row>
    <row r="908" spans="1:16" ht="14.25" customHeight="1">
      <c r="A908">
        <v>2300</v>
      </c>
      <c r="B908">
        <v>0</v>
      </c>
      <c r="C908">
        <v>0</v>
      </c>
      <c r="E908" t="s">
        <v>2572</v>
      </c>
      <c r="F908">
        <v>18</v>
      </c>
      <c r="G908" s="1" t="s">
        <v>675</v>
      </c>
      <c r="H908" s="16" t="s">
        <v>3540</v>
      </c>
      <c r="I908" s="18"/>
      <c r="J908" t="str">
        <f>IF(LEN(VLOOKUP(表1[[#This Row],[id]],数据引用!A:C,3,FALSE))&gt;0,VLOOKUP(表1[[#This Row],[id]],数据引用!A:C,3,FALSE),"")</f>
        <v>自定义音乐</v>
      </c>
      <c r="K908" t="s">
        <v>1210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908" s="5"/>
    </row>
    <row r="909" spans="1:16" ht="14.25" customHeight="1">
      <c r="A909">
        <v>2301</v>
      </c>
      <c r="B909">
        <v>0</v>
      </c>
      <c r="C909">
        <v>0</v>
      </c>
      <c r="E909" t="s">
        <v>2570</v>
      </c>
      <c r="F909">
        <v>6</v>
      </c>
      <c r="G909" s="1" t="s">
        <v>835</v>
      </c>
      <c r="H909" s="16" t="s">
        <v>3541</v>
      </c>
      <c r="I909" s="16" t="s">
        <v>4422</v>
      </c>
      <c r="J909" t="str">
        <f>IF(LEN(VLOOKUP(表1[[#This Row],[id]],数据引用!A:C,3,FALSE))&gt;0,VLOOKUP(表1[[#This Row],[id]],数据引用!A:C,3,FALSE),"")</f>
        <v>选择音乐</v>
      </c>
      <c r="K909" t="s">
        <v>1210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font-size:12;"&gt;选择音乐&lt;/text&gt;&lt;text transform="matrix(1 0 0 1 0 10.3205)" style="fill:#FFFFFF; font-family:'FZXS12--GB1-0'; font-size:12;"&gt;选择音乐&lt;/text&gt;&lt;/svg&gt;</v>
      </c>
      <c r="P909" s="5" t="s">
        <v>1282</v>
      </c>
    </row>
    <row r="910" spans="1:16" ht="14.25" customHeight="1">
      <c r="A910">
        <v>2302</v>
      </c>
      <c r="B910">
        <v>0</v>
      </c>
      <c r="C910">
        <v>0</v>
      </c>
      <c r="E910" t="s">
        <v>2570</v>
      </c>
      <c r="F910">
        <v>6</v>
      </c>
      <c r="G910" s="1" t="s">
        <v>836</v>
      </c>
      <c r="H910" s="16" t="s">
        <v>3542</v>
      </c>
      <c r="I910" s="16" t="s">
        <v>4423</v>
      </c>
      <c r="J910" t="str">
        <f>IF(LEN(VLOOKUP(表1[[#This Row],[id]],数据引用!A:C,3,FALSE))&gt;0,VLOOKUP(表1[[#This Row],[id]],数据引用!A:C,3,FALSE),"")</f>
        <v>恢复默认</v>
      </c>
      <c r="K910" t="s">
        <v>1210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font-size:12;"&gt;恢复默认&lt;/text&gt;&lt;text transform="matrix(1 0 0 1 0 10.3205)" style="fill:#FFFFFF; font-family:'FZXS12--GB1-0'; font-size:12;"&gt;恢复默认&lt;/text&gt;&lt;/svg&gt;</v>
      </c>
      <c r="P910" s="5" t="s">
        <v>1282</v>
      </c>
    </row>
    <row r="911" spans="1:16" ht="14.25" customHeight="1">
      <c r="A911">
        <v>2303</v>
      </c>
      <c r="B911">
        <v>0</v>
      </c>
      <c r="C911">
        <v>0</v>
      </c>
      <c r="E911" t="s">
        <v>2570</v>
      </c>
      <c r="F911">
        <v>6</v>
      </c>
      <c r="G911" s="1" t="s">
        <v>837</v>
      </c>
      <c r="H911" s="16" t="s">
        <v>3543</v>
      </c>
      <c r="I911" s="16" t="s">
        <v>4424</v>
      </c>
      <c r="J911" t="str">
        <f>IF(LEN(VLOOKUP(表1[[#This Row],[id]],数据引用!A:C,3,FALSE))&gt;0,VLOOKUP(表1[[#This Row],[id]],数据引用!A:C,3,FALSE),"")</f>
        <v>x2速度</v>
      </c>
      <c r="K911" t="s">
        <v>1210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font-size:12;"&gt;x2速度&lt;/text&gt;&lt;text transform="matrix(1 0 0 1 0 10.3205)" style="fill:#FFFFFF; font-family:'FZXS12--GB1-0'; font-size:12;"&gt;x2速度&lt;/text&gt;&lt;/svg&gt;</v>
      </c>
      <c r="P911" s="5" t="s">
        <v>1282</v>
      </c>
    </row>
    <row r="912" spans="1:16" ht="14.25" customHeight="1">
      <c r="A912">
        <v>2304</v>
      </c>
      <c r="B912">
        <v>0</v>
      </c>
      <c r="C912">
        <v>0</v>
      </c>
      <c r="E912" t="s">
        <v>2570</v>
      </c>
      <c r="F912">
        <v>6</v>
      </c>
      <c r="G912" s="1" t="s">
        <v>838</v>
      </c>
      <c r="H912" s="16" t="s">
        <v>3544</v>
      </c>
      <c r="I912" s="16" t="s">
        <v>4425</v>
      </c>
      <c r="J912" t="str">
        <f>IF(LEN(VLOOKUP(表1[[#This Row],[id]],数据引用!A:C,3,FALSE))&gt;0,VLOOKUP(表1[[#This Row],[id]],数据引用!A:C,3,FALSE),"")</f>
        <v>1/2速度</v>
      </c>
      <c r="K912" t="s">
        <v>1210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font-size:12;"&gt;1/2速度&lt;/text&gt;&lt;text transform="matrix(1 0 0 1 0 10.3205)" style="fill:#FFFFFF; font-family:'FZXS12--GB1-0'; font-size:12;"&gt;1/2速度&lt;/text&gt;&lt;/svg&gt;</v>
      </c>
      <c r="P912" s="5" t="s">
        <v>1282</v>
      </c>
    </row>
    <row r="913" spans="1:16" ht="14.25" customHeight="1">
      <c r="A913">
        <v>2305</v>
      </c>
      <c r="B913">
        <v>0</v>
      </c>
      <c r="C913">
        <v>0</v>
      </c>
      <c r="E913" t="s">
        <v>2570</v>
      </c>
      <c r="F913">
        <v>6</v>
      </c>
      <c r="G913" s="1" t="s">
        <v>839</v>
      </c>
      <c r="H913" s="16" t="s">
        <v>3545</v>
      </c>
      <c r="I913" s="16" t="s">
        <v>4426</v>
      </c>
      <c r="J913" t="str">
        <f>IF(LEN(VLOOKUP(表1[[#This Row],[id]],数据引用!A:C,3,FALSE))&gt;0,VLOOKUP(表1[[#This Row],[id]],数据引用!A:C,3,FALSE),"")</f>
        <v>返回</v>
      </c>
      <c r="K913" t="s">
        <v>1210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13" s="5" t="s">
        <v>1282</v>
      </c>
    </row>
    <row r="914" spans="1:16" ht="14.25" customHeight="1">
      <c r="A914">
        <v>2306</v>
      </c>
      <c r="B914">
        <v>0</v>
      </c>
      <c r="C914">
        <v>0</v>
      </c>
      <c r="E914" t="s">
        <v>2570</v>
      </c>
      <c r="F914">
        <v>6</v>
      </c>
      <c r="G914" s="1" t="s">
        <v>840</v>
      </c>
      <c r="H914" s="15" t="s">
        <v>3546</v>
      </c>
      <c r="I914" s="15" t="s">
        <v>4427</v>
      </c>
      <c r="J914" t="str">
        <f>IF(LEN(VLOOKUP(表1[[#This Row],[id]],数据引用!A:C,3,FALSE))&gt;0,VLOOKUP(表1[[#This Row],[id]],数据引用!A:C,3,FALSE),"")</f>
        <v/>
      </c>
      <c r="K914" t="s">
        <v>1210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4" s="5" t="s">
        <v>1282</v>
      </c>
    </row>
    <row r="915" spans="1:16" ht="14.25" customHeight="1">
      <c r="A915">
        <v>2307</v>
      </c>
      <c r="B915">
        <v>0</v>
      </c>
      <c r="C915">
        <v>0</v>
      </c>
      <c r="E915" t="s">
        <v>2570</v>
      </c>
      <c r="F915">
        <v>6</v>
      </c>
      <c r="G915" s="1" t="s">
        <v>841</v>
      </c>
      <c r="H915" s="16" t="s">
        <v>3547</v>
      </c>
      <c r="I915" s="16" t="s">
        <v>4428</v>
      </c>
      <c r="J915" t="str">
        <f>IF(LEN(VLOOKUP(表1[[#This Row],[id]],数据引用!A:C,3,FALSE))&gt;0,VLOOKUP(表1[[#This Row],[id]],数据引用!A:C,3,FALSE),"")</f>
        <v>手动设置拍子</v>
      </c>
      <c r="K915" t="s">
        <v>1210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font-size:12;"&gt;手动设置拍子&lt;/text&gt;&lt;text transform="matrix(1 0 0 1 0 10.3205)" style="fill:#FFFFFF; font-family:'FZXS12--GB1-0'; font-size:12;"&gt;手动设置拍子&lt;/text&gt;&lt;/svg&gt;</v>
      </c>
      <c r="P915" s="5" t="s">
        <v>1282</v>
      </c>
    </row>
    <row r="916" spans="1:16" ht="14.25" customHeight="1">
      <c r="A916">
        <v>2308</v>
      </c>
      <c r="B916">
        <v>0</v>
      </c>
      <c r="C916">
        <v>0</v>
      </c>
      <c r="E916" t="s">
        <v>2570</v>
      </c>
      <c r="F916">
        <v>6</v>
      </c>
      <c r="G916" s="1" t="s">
        <v>842</v>
      </c>
      <c r="H916" s="16" t="s">
        <v>3548</v>
      </c>
      <c r="I916" s="16" t="s">
        <v>4429</v>
      </c>
      <c r="J916" t="str">
        <f>IF(LEN(VLOOKUP(表1[[#This Row],[id]],数据引用!A:C,3,FALSE))&gt;0,VLOOKUP(表1[[#This Row],[id]],数据引用!A:C,3,FALSE),"")</f>
        <v>手动设置拍子（仅大厅）</v>
      </c>
      <c r="K916" t="s">
        <v>1210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font-size:12;"&gt;手动设置拍子（仅大厅）&lt;/text&gt;&lt;text transform="matrix(1 0 0 1 0 10.3205)" style="fill:#FFFFFF; font-family:'FZXS12--GB1-0'; font-size:12;"&gt;手动设置拍子（仅大厅）&lt;/text&gt;&lt;/svg&gt;</v>
      </c>
      <c r="P916" s="5" t="s">
        <v>1282</v>
      </c>
    </row>
    <row r="917" spans="1:16" ht="14.25" customHeight="1">
      <c r="A917">
        <v>2309</v>
      </c>
      <c r="B917">
        <v>0</v>
      </c>
      <c r="C917">
        <v>0</v>
      </c>
      <c r="E917" t="s">
        <v>2570</v>
      </c>
      <c r="F917">
        <v>6</v>
      </c>
      <c r="G917" s="1" t="s">
        <v>843</v>
      </c>
      <c r="H917" s="16" t="s">
        <v>3549</v>
      </c>
      <c r="I917" s="16" t="s">
        <v>4430</v>
      </c>
      <c r="J917" t="str">
        <f>IF(LEN(VLOOKUP(表1[[#This Row],[id]],数据引用!A:C,3,FALSE))&gt;0,VLOOKUP(表1[[#This Row],[id]],数据引用!A:C,3,FALSE),"")</f>
        <v>自定义音乐：禁用</v>
      </c>
      <c r="K917" t="s">
        <v>1210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font-size:12;"&gt;自定义音乐：禁用&lt;/text&gt;&lt;text transform="matrix(1 0 0 1 0 10.3205)" style="fill:#FFFFFF; font-family:'FZXS12--GB1-0'; font-size:12;"&gt;自定义音乐：禁用&lt;/text&gt;&lt;/svg&gt;</v>
      </c>
      <c r="P917" s="5" t="s">
        <v>1282</v>
      </c>
    </row>
    <row r="918" spans="1:16" ht="14.25" customHeight="1">
      <c r="A918">
        <v>2310</v>
      </c>
      <c r="B918">
        <v>0</v>
      </c>
      <c r="C918">
        <v>0</v>
      </c>
      <c r="E918" t="s">
        <v>2570</v>
      </c>
      <c r="F918">
        <v>6</v>
      </c>
      <c r="G918" s="1" t="s">
        <v>844</v>
      </c>
      <c r="H918" s="16" t="s">
        <v>3550</v>
      </c>
      <c r="I918" s="16" t="s">
        <v>4431</v>
      </c>
      <c r="J918" t="str">
        <f>IF(LEN(VLOOKUP(表1[[#This Row],[id]],数据引用!A:C,3,FALSE))&gt;0,VLOOKUP(表1[[#This Row],[id]],数据引用!A:C,3,FALSE),"")</f>
        <v>自定义音乐：启用</v>
      </c>
      <c r="K918" t="s">
        <v>1210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font-size:12;"&gt;自定义音乐：启用&lt;/text&gt;&lt;text transform="matrix(1 0 0 1 0 10.3205)" style="fill:#FFFFFF; font-family:'FZXS12--GB1-0'; font-size:12;"&gt;自定义音乐：启用&lt;/text&gt;&lt;/svg&gt;</v>
      </c>
      <c r="P918" s="5" t="s">
        <v>1282</v>
      </c>
    </row>
    <row r="919" spans="1:16" ht="14.25" customHeight="1">
      <c r="A919">
        <v>2311</v>
      </c>
      <c r="B919">
        <v>0</v>
      </c>
      <c r="C919">
        <v>0</v>
      </c>
      <c r="E919" t="s">
        <v>2570</v>
      </c>
      <c r="F919">
        <v>6</v>
      </c>
      <c r="G919" s="1" t="s">
        <v>845</v>
      </c>
      <c r="H919" s="16" t="s">
        <v>3551</v>
      </c>
      <c r="I919" s="18"/>
      <c r="J919" t="str">
        <f>IF(LEN(VLOOKUP(表1[[#This Row],[id]],数据引用!A:C,3,FALSE))&gt;0,VLOOKUP(表1[[#This Row],[id]],数据引用!A:C,3,FALSE),"")</f>
        <v>处理一首歌可能需要花费很长时间</v>
      </c>
      <c r="K919" t="s">
        <v>1210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font-size:12;"&gt;处理一首歌可能需要花费很长时间&lt;/text&gt;&lt;text transform="matrix(1 0 0 1 0 10.3205)" style="fill:#FFFFFF; font-family:'FZXS12--GB1-0'; font-size:12;"&gt;处理一首歌可能需要花费很长时间&lt;/text&gt;&lt;/svg&gt;</v>
      </c>
      <c r="P919" s="5"/>
    </row>
    <row r="920" spans="1:16" ht="14.25" customHeight="1">
      <c r="A920">
        <v>2312</v>
      </c>
      <c r="B920">
        <v>0</v>
      </c>
      <c r="C920">
        <v>0</v>
      </c>
      <c r="E920">
        <v>1</v>
      </c>
      <c r="F920">
        <v>12</v>
      </c>
      <c r="G920" s="1" t="s">
        <v>846</v>
      </c>
      <c r="H920" s="16" t="s">
        <v>3552</v>
      </c>
      <c r="I920" s="18"/>
      <c r="J920" t="str">
        <f>IF(LEN(VLOOKUP(表1[[#This Row],[id]],数据引用!A:C,3,FALSE))&gt;0,VLOOKUP(表1[[#This Row],[id]],数据引用!A:C,3,FALSE),"")</f>
        <v>处理中，请稍等…</v>
      </c>
      <c r="K920" t="s">
        <v>1210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font-size:12;"&gt;处理中，请稍等…&lt;/text&gt;&lt;text transform="matrix(1 0 0 1 0 10.3205)" style="fill:#FFFFFF; font-family:'FZXS12--GB1-0'; font-size:12;"&gt;处理中，请稍等…&lt;/text&gt;&lt;/svg&gt;</v>
      </c>
      <c r="P920" s="5"/>
    </row>
    <row r="921" spans="1:16" ht="14.25" customHeight="1">
      <c r="A921">
        <v>2313</v>
      </c>
      <c r="B921">
        <v>0</v>
      </c>
      <c r="C921">
        <v>0</v>
      </c>
      <c r="E921" t="s">
        <v>2570</v>
      </c>
      <c r="F921">
        <v>6</v>
      </c>
      <c r="G921" s="8" t="s">
        <v>831</v>
      </c>
      <c r="H921" s="15" t="s">
        <v>3553</v>
      </c>
      <c r="I921" s="15" t="s">
        <v>4432</v>
      </c>
      <c r="J921" t="str">
        <f>IF(LEN(VLOOKUP(表1[[#This Row],[id]],数据引用!A:C,3,FALSE))&gt;0,VLOOKUP(表1[[#This Row],[id]],数据引用!A:C,3,FALSE),"")</f>
        <v/>
      </c>
      <c r="K921" t="s">
        <v>1210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1" s="5" t="s">
        <v>1282</v>
      </c>
    </row>
    <row r="922" spans="1:16" ht="14.25" customHeight="1">
      <c r="A922">
        <v>2314</v>
      </c>
      <c r="B922">
        <v>0</v>
      </c>
      <c r="C922">
        <v>0</v>
      </c>
      <c r="E922" t="s">
        <v>2570</v>
      </c>
      <c r="F922">
        <v>6</v>
      </c>
      <c r="G922" s="1" t="s">
        <v>847</v>
      </c>
      <c r="H922" s="15" t="s">
        <v>3554</v>
      </c>
      <c r="I922" s="15" t="s">
        <v>4433</v>
      </c>
      <c r="J922" t="str">
        <f>IF(LEN(VLOOKUP(表1[[#This Row],[id]],数据引用!A:C,3,FALSE))&gt;0,VLOOKUP(表1[[#This Row],[id]],数据引用!A:C,3,FALSE),"")</f>
        <v/>
      </c>
      <c r="K922" t="s">
        <v>1210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2" s="5" t="s">
        <v>1282</v>
      </c>
    </row>
    <row r="923" spans="1:16" ht="14.25" customHeight="1">
      <c r="A923">
        <v>2315</v>
      </c>
      <c r="B923">
        <v>0</v>
      </c>
      <c r="C923">
        <v>0</v>
      </c>
      <c r="E923" t="s">
        <v>2570</v>
      </c>
      <c r="F923">
        <v>6</v>
      </c>
      <c r="G923" s="1" t="s">
        <v>848</v>
      </c>
      <c r="H923" s="15" t="s">
        <v>3555</v>
      </c>
      <c r="I923" s="15" t="s">
        <v>4434</v>
      </c>
      <c r="J923" t="str">
        <f>IF(LEN(VLOOKUP(表1[[#This Row],[id]],数据引用!A:C,3,FALSE))&gt;0,VLOOKUP(表1[[#This Row],[id]],数据引用!A:C,3,FALSE),"")</f>
        <v/>
      </c>
      <c r="K923" t="s">
        <v>1210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3" s="5" t="s">
        <v>1282</v>
      </c>
    </row>
    <row r="924" spans="1:16" ht="14.25" customHeight="1">
      <c r="A924">
        <v>2316</v>
      </c>
      <c r="B924">
        <v>0</v>
      </c>
      <c r="C924">
        <v>0</v>
      </c>
      <c r="E924" t="s">
        <v>2570</v>
      </c>
      <c r="F924">
        <v>6</v>
      </c>
      <c r="G924" s="1" t="s">
        <v>849</v>
      </c>
      <c r="H924" s="15" t="s">
        <v>3556</v>
      </c>
      <c r="I924" s="15" t="s">
        <v>4435</v>
      </c>
      <c r="J924" t="str">
        <f>IF(LEN(VLOOKUP(表1[[#This Row],[id]],数据引用!A:C,3,FALSE))&gt;0,VLOOKUP(表1[[#This Row],[id]],数据引用!A:C,3,FALSE),"")</f>
        <v/>
      </c>
      <c r="K924" t="s">
        <v>1210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4" s="5" t="s">
        <v>1282</v>
      </c>
    </row>
    <row r="925" spans="1:16" ht="14.25" customHeight="1">
      <c r="A925">
        <v>2317</v>
      </c>
      <c r="B925">
        <v>0</v>
      </c>
      <c r="C925">
        <v>0</v>
      </c>
      <c r="E925" t="s">
        <v>2570</v>
      </c>
      <c r="F925">
        <v>6</v>
      </c>
      <c r="G925" s="1" t="s">
        <v>850</v>
      </c>
      <c r="H925" s="15" t="s">
        <v>3557</v>
      </c>
      <c r="I925" s="15" t="s">
        <v>4436</v>
      </c>
      <c r="J925" t="str">
        <f>IF(LEN(VLOOKUP(表1[[#This Row],[id]],数据引用!A:C,3,FALSE))&gt;0,VLOOKUP(表1[[#This Row],[id]],数据引用!A:C,3,FALSE),"")</f>
        <v/>
      </c>
      <c r="K925" t="s">
        <v>1210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5" s="5" t="s">
        <v>1282</v>
      </c>
    </row>
    <row r="926" spans="1:16" ht="14.25" customHeight="1">
      <c r="A926">
        <v>2318</v>
      </c>
      <c r="B926">
        <v>0</v>
      </c>
      <c r="C926">
        <v>0</v>
      </c>
      <c r="E926" t="s">
        <v>2570</v>
      </c>
      <c r="F926">
        <v>6</v>
      </c>
      <c r="G926" s="8" t="s">
        <v>851</v>
      </c>
      <c r="H926" s="15" t="s">
        <v>3558</v>
      </c>
      <c r="I926" s="15" t="s">
        <v>4437</v>
      </c>
      <c r="J926" t="str">
        <f>IF(LEN(VLOOKUP(表1[[#This Row],[id]],数据引用!A:C,3,FALSE))&gt;0,VLOOKUP(表1[[#This Row],[id]],数据引用!A:C,3,FALSE),"")</f>
        <v/>
      </c>
      <c r="K926" t="s">
        <v>1210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6" s="5" t="s">
        <v>1282</v>
      </c>
    </row>
    <row r="927" spans="1:16" ht="14.25" customHeight="1">
      <c r="A927">
        <v>2350</v>
      </c>
      <c r="B927">
        <v>0</v>
      </c>
      <c r="C927">
        <v>0</v>
      </c>
      <c r="E927" t="s">
        <v>2570</v>
      </c>
      <c r="F927">
        <v>6</v>
      </c>
      <c r="G927" s="8" t="s">
        <v>852</v>
      </c>
      <c r="H927" s="15" t="s">
        <v>3559</v>
      </c>
      <c r="I927" s="15" t="s">
        <v>4438</v>
      </c>
      <c r="J927" t="str">
        <f>IF(LEN(VLOOKUP(表1[[#This Row],[id]],数据引用!A:C,3,FALSE))&gt;0,VLOOKUP(表1[[#This Row],[id]],数据引用!A:C,3,FALSE),"")</f>
        <v/>
      </c>
      <c r="K927" t="s">
        <v>1210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7" s="5" t="s">
        <v>1282</v>
      </c>
    </row>
    <row r="928" spans="1:16" ht="14.25" customHeight="1">
      <c r="A928">
        <v>2351</v>
      </c>
      <c r="B928">
        <v>0</v>
      </c>
      <c r="C928">
        <v>0</v>
      </c>
      <c r="E928" t="s">
        <v>2570</v>
      </c>
      <c r="F928">
        <v>6</v>
      </c>
      <c r="G928" s="1" t="s">
        <v>853</v>
      </c>
      <c r="H928" s="15" t="s">
        <v>3560</v>
      </c>
      <c r="I928" s="15" t="s">
        <v>4439</v>
      </c>
      <c r="J928" t="str">
        <f>IF(LEN(VLOOKUP(表1[[#This Row],[id]],数据引用!A:C,3,FALSE))&gt;0,VLOOKUP(表1[[#This Row],[id]],数据引用!A:C,3,FALSE),"")</f>
        <v/>
      </c>
      <c r="K928" t="s">
        <v>1210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8" s="5" t="s">
        <v>1282</v>
      </c>
    </row>
    <row r="929" spans="1:16" ht="14.25" customHeight="1">
      <c r="A929">
        <v>2352</v>
      </c>
      <c r="B929">
        <v>0</v>
      </c>
      <c r="C929">
        <v>0</v>
      </c>
      <c r="E929" t="s">
        <v>2570</v>
      </c>
      <c r="F929">
        <v>6</v>
      </c>
      <c r="G929" s="1" t="s">
        <v>664</v>
      </c>
      <c r="H929" s="16" t="s">
        <v>3561</v>
      </c>
      <c r="I929" s="16" t="s">
        <v>4440</v>
      </c>
      <c r="J929" t="str">
        <f>IF(LEN(VLOOKUP(表1[[#This Row],[id]],数据引用!A:C,3,FALSE))&gt;0,VLOOKUP(表1[[#This Row],[id]],数据引用!A:C,3,FALSE),"")</f>
        <v>上一页</v>
      </c>
      <c r="K929" t="s">
        <v>1210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29" s="5" t="s">
        <v>1282</v>
      </c>
    </row>
    <row r="930" spans="1:16" ht="14.25" customHeight="1">
      <c r="A930">
        <v>2353</v>
      </c>
      <c r="B930">
        <v>0</v>
      </c>
      <c r="C930">
        <v>0</v>
      </c>
      <c r="E930" t="s">
        <v>2570</v>
      </c>
      <c r="F930">
        <v>6</v>
      </c>
      <c r="G930" s="1" t="s">
        <v>665</v>
      </c>
      <c r="H930" s="16" t="s">
        <v>3562</v>
      </c>
      <c r="I930" s="16" t="s">
        <v>4441</v>
      </c>
      <c r="J930" t="str">
        <f>IF(LEN(VLOOKUP(表1[[#This Row],[id]],数据引用!A:C,3,FALSE))&gt;0,VLOOKUP(表1[[#This Row],[id]],数据引用!A:C,3,FALSE),"")</f>
        <v>下一页</v>
      </c>
      <c r="K930" t="s">
        <v>1210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30" s="5" t="s">
        <v>1282</v>
      </c>
    </row>
    <row r="931" spans="1:16" ht="14.25" customHeight="1">
      <c r="A931">
        <v>2354</v>
      </c>
      <c r="B931">
        <v>0</v>
      </c>
      <c r="C931">
        <v>0</v>
      </c>
      <c r="E931" t="s">
        <v>2570</v>
      </c>
      <c r="F931">
        <v>6</v>
      </c>
      <c r="G931" s="1" t="s">
        <v>854</v>
      </c>
      <c r="H931" s="16" t="s">
        <v>3563</v>
      </c>
      <c r="I931" s="16" t="s">
        <v>4442</v>
      </c>
      <c r="J931" t="str">
        <f>IF(LEN(VLOOKUP(表1[[#This Row],[id]],数据引用!A:C,3,FALSE))&gt;0,VLOOKUP(表1[[#This Row],[id]],数据引用!A:C,3,FALSE),"")</f>
        <v>加入到播放列表</v>
      </c>
      <c r="K931" t="s">
        <v>1210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font-size:12;"&gt;加入到播放列表&lt;/text&gt;&lt;text transform="matrix(1 0 0 1 0 10.3205)" style="fill:#FFFFFF; font-family:'FZXS12--GB1-0'; font-size:12;"&gt;加入到播放列表&lt;/text&gt;&lt;/svg&gt;</v>
      </c>
      <c r="P931" s="5" t="s">
        <v>1282</v>
      </c>
    </row>
    <row r="932" spans="1:16" ht="14.25" customHeight="1">
      <c r="A932">
        <v>2400</v>
      </c>
      <c r="B932">
        <v>0</v>
      </c>
      <c r="C932">
        <v>0</v>
      </c>
      <c r="E932" t="s">
        <v>2572</v>
      </c>
      <c r="F932">
        <v>18</v>
      </c>
      <c r="G932" s="1" t="s">
        <v>855</v>
      </c>
      <c r="H932" s="16" t="s">
        <v>3564</v>
      </c>
      <c r="I932" s="18"/>
      <c r="J932" t="str">
        <f>IF(LEN(VLOOKUP(表1[[#This Row],[id]],数据引用!A:C,3,FALSE))&gt;0,VLOOKUP(表1[[#This Row],[id]],数据引用!A:C,3,FALSE),"")</f>
        <v>可用地下城</v>
      </c>
      <c r="K932" t="s">
        <v>875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font-size:12;"&gt;可用地下城&lt;/text&gt;&lt;text transform="matrix(1 0 0 1 0 10.3205)" style="fill:#FFFFFF; font-family:'FZXS12--GB1-0'; font-size:12;"&gt;可用地下城&lt;/text&gt;&lt;/svg&gt;</v>
      </c>
      <c r="P932" s="5"/>
    </row>
    <row r="933" spans="1:16" ht="14.25" customHeight="1">
      <c r="A933">
        <v>2401</v>
      </c>
      <c r="B933">
        <v>0</v>
      </c>
      <c r="C933">
        <v>0</v>
      </c>
      <c r="E933">
        <v>1</v>
      </c>
      <c r="F933">
        <v>12</v>
      </c>
      <c r="G933" s="1" t="s">
        <v>1267</v>
      </c>
      <c r="H933" s="16" t="s">
        <v>3565</v>
      </c>
      <c r="I933" s="16" t="s">
        <v>4443</v>
      </c>
      <c r="J933" t="str">
        <f>IF(LEN(VLOOKUP(表1[[#This Row],[id]],数据引用!A:C,3,FALSE))&gt;0,VLOOKUP(表1[[#This Row],[id]],数据引用!A:C,3,FALSE),"")</f>
        <v>STEAMWORKSHOP</v>
      </c>
      <c r="K933" t="s">
        <v>875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font-size:12;"&gt;STEAMWORKSHOP&lt;/text&gt;&lt;text transform="matrix(1 0 0 1 0 10.3205)" style="fill:#FFFFFF; font-family:'FZXS12--GB1-0'; font-size:12;"&gt;STEAMWORKSHOP&lt;/text&gt;&lt;/svg&gt;</v>
      </c>
      <c r="P933" s="5" t="s">
        <v>1282</v>
      </c>
    </row>
    <row r="934" spans="1:16" ht="14.25" customHeight="1">
      <c r="A934">
        <v>2500</v>
      </c>
      <c r="B934">
        <v>0</v>
      </c>
      <c r="C934">
        <v>0</v>
      </c>
      <c r="E934">
        <v>0.5</v>
      </c>
      <c r="F934">
        <v>6</v>
      </c>
      <c r="G934" s="1" t="s">
        <v>33</v>
      </c>
      <c r="H934" s="16" t="s">
        <v>3566</v>
      </c>
      <c r="I934" s="16" t="s">
        <v>4444</v>
      </c>
      <c r="J934" t="str">
        <f>IF(LEN(VLOOKUP(表1[[#This Row],[id]],数据引用!A:C,3,FALSE))&gt;0,VLOOKUP(表1[[#This Row],[id]],数据引用!A:C,3,FALSE),"")</f>
        <v>关卡：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font-size:12;"&gt;关卡：&lt;/text&gt;&lt;text transform="matrix(1 0 0 1 0 10.3205)" style="fill:#FFFFFF; font-family:'FZXS12--GB1-0'; font-size:12;"&gt;关卡：&lt;/text&gt;&lt;/svg&gt;</v>
      </c>
      <c r="P934" s="5" t="s">
        <v>1282</v>
      </c>
    </row>
    <row r="935" spans="1:16" ht="14.25" customHeight="1">
      <c r="A935">
        <v>2501</v>
      </c>
      <c r="B935">
        <v>0</v>
      </c>
      <c r="C935">
        <v>0</v>
      </c>
      <c r="E935">
        <v>0.5</v>
      </c>
      <c r="F935">
        <v>6</v>
      </c>
      <c r="G935" s="1" t="s">
        <v>856</v>
      </c>
      <c r="H935" s="16" t="s">
        <v>3567</v>
      </c>
      <c r="I935" s="18"/>
      <c r="J935" t="str">
        <f>IF(LEN(VLOOKUP(表1[[#This Row],[id]],数据引用!A:C,3,FALSE))&gt;0,VLOOKUP(表1[[#This Row],[id]],数据引用!A:C,3,FALSE),"")</f>
        <v>使用 方向键 移动光标</v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 方向键 移动光标&lt;/text&gt;&lt;text transform="matrix(1 0 0 1 0 10.3205)" style="fill:#FFFFFF; font-family:'FZXS12--GB1-0'; font-size:12;"&gt;使用 方向键 移动光标&lt;/text&gt;&lt;/svg&gt;</v>
      </c>
      <c r="P935" s="5"/>
    </row>
    <row r="936" spans="1:16" ht="14.25" customHeight="1">
      <c r="A936">
        <v>2502</v>
      </c>
      <c r="B936">
        <v>0</v>
      </c>
      <c r="C936">
        <v>0</v>
      </c>
      <c r="E936">
        <v>0.5</v>
      </c>
      <c r="F936">
        <v>6</v>
      </c>
      <c r="G936" s="1" t="s">
        <v>857</v>
      </c>
      <c r="H936" s="16" t="s">
        <v>3568</v>
      </c>
      <c r="I936" s="18"/>
      <c r="J936" t="str">
        <f>IF(LEN(VLOOKUP(表1[[#This Row],[id]],数据引用!A:C,3,FALSE))&gt;0,VLOOKUP(表1[[#This Row],[id]],数据引用!A:C,3,FALSE),"")</f>
        <v>ENTER 放置， DEL 删除， ESC 取消</v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font-size:12;"&gt;ENTER 放置， DEL 删除， ESC 取消&lt;/text&gt;&lt;text transform="matrix(1 0 0 1 0 10.3205)" style="fill:#FFFFFF; font-family:'FZXS12--GB1-0'; font-size:12;"&gt;ENTER 放置， DEL 删除， ESC 取消&lt;/text&gt;&lt;/svg&gt;</v>
      </c>
      <c r="P936" s="5"/>
    </row>
    <row r="937" spans="1:16" ht="14.25" customHeight="1">
      <c r="A937">
        <v>2503</v>
      </c>
      <c r="B937">
        <v>0</v>
      </c>
      <c r="C937">
        <v>0</v>
      </c>
      <c r="E937">
        <v>0.5</v>
      </c>
      <c r="F937">
        <v>6</v>
      </c>
      <c r="G937" s="1" t="s">
        <v>858</v>
      </c>
      <c r="H937" s="16" t="s">
        <v>3569</v>
      </c>
      <c r="I937" s="18"/>
      <c r="J937" t="str">
        <f>IF(LEN(VLOOKUP(表1[[#This Row],[id]],数据引用!A:C,3,FALSE))&gt;0,VLOOKUP(表1[[#This Row],[id]],数据引用!A:C,3,FALSE),"")</f>
        <v>按 ENTER 选择同一物品的不同形态</v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ENTER 选择同一物品的不同形态&lt;/text&gt;&lt;text transform="matrix(1 0 0 1 0 10.3205)" style="fill:#FFFFFF; font-family:'FZXS12--GB1-0'; font-size:12;"&gt;按 ENTER 选择同一物品的不同形态&lt;/text&gt;&lt;/svg&gt;</v>
      </c>
      <c r="P937" s="5"/>
    </row>
    <row r="938" spans="1:16" ht="14.25" customHeight="1">
      <c r="A938">
        <v>2504</v>
      </c>
      <c r="B938">
        <v>0</v>
      </c>
      <c r="C938">
        <v>0</v>
      </c>
      <c r="E938">
        <v>0.5</v>
      </c>
      <c r="F938">
        <v>6</v>
      </c>
      <c r="G938" s="1" t="s">
        <v>710</v>
      </c>
      <c r="H938" s="16" t="s">
        <v>3570</v>
      </c>
      <c r="I938" s="18"/>
      <c r="J938" t="str">
        <f>IF(LEN(VLOOKUP(表1[[#This Row],[id]],数据引用!A:C,3,FALSE))&gt;0,VLOOKUP(表1[[#This Row],[id]],数据引用!A:C,3,FALSE),"")</f>
        <v>上传中...</v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938" s="5"/>
    </row>
    <row r="939" spans="1:16" ht="14.25" customHeight="1">
      <c r="A939">
        <v>2505</v>
      </c>
      <c r="B939">
        <v>0</v>
      </c>
      <c r="C939">
        <v>0</v>
      </c>
      <c r="E939">
        <v>1</v>
      </c>
      <c r="F939">
        <v>12</v>
      </c>
      <c r="G939" s="1" t="s">
        <v>859</v>
      </c>
      <c r="H939" s="16" t="s">
        <v>3571</v>
      </c>
      <c r="I939" s="18"/>
      <c r="J939" t="str">
        <f>IF(LEN(VLOOKUP(表1[[#This Row],[id]],数据引用!A:C,3,FALSE))&gt;0,VLOOKUP(表1[[#This Row],[id]],数据引用!A:C,3,FALSE),"")</f>
        <v>发布地下城失败！</v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font-size:12;"&gt;发布地下城失败！&lt;/text&gt;&lt;text transform="matrix(1 0 0 1 0 10.3205)" style="fill:#FFFFFF; font-family:'FZXS12--GB1-0'; font-size:12;"&gt;发布地下城失败！&lt;/text&gt;&lt;/svg&gt;</v>
      </c>
      <c r="P939" s="5"/>
    </row>
    <row r="940" spans="1:16" ht="14.25" customHeight="1">
      <c r="A940">
        <v>2506</v>
      </c>
      <c r="B940">
        <v>0</v>
      </c>
      <c r="C940">
        <v>0</v>
      </c>
      <c r="E940">
        <v>1</v>
      </c>
      <c r="F940">
        <v>12</v>
      </c>
      <c r="G940" s="1" t="s">
        <v>860</v>
      </c>
      <c r="H940" s="16" t="s">
        <v>3572</v>
      </c>
      <c r="I940" s="18"/>
      <c r="J940" t="str">
        <f>IF(LEN(VLOOKUP(表1[[#This Row],[id]],数据引用!A:C,3,FALSE))&gt;0,VLOOKUP(表1[[#This Row],[id]],数据引用!A:C,3,FALSE),"")</f>
        <v>地下城已发布！</v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font-size:12;"&gt;地下城已发布！&lt;/text&gt;&lt;text transform="matrix(1 0 0 1 0 10.3205)" style="fill:#FFFFFF; font-family:'FZXS12--GB1-0'; font-size:12;"&gt;地下城已发布！&lt;/text&gt;&lt;/svg&gt;</v>
      </c>
      <c r="P940" s="5"/>
    </row>
    <row r="941" spans="1:16" ht="14.25" customHeight="1">
      <c r="A941">
        <v>2507</v>
      </c>
      <c r="B941">
        <v>0</v>
      </c>
      <c r="C941">
        <v>0</v>
      </c>
      <c r="E941">
        <v>1</v>
      </c>
      <c r="F941">
        <v>12</v>
      </c>
      <c r="G941" s="1" t="s">
        <v>861</v>
      </c>
      <c r="H941" s="16" t="s">
        <v>3573</v>
      </c>
      <c r="I941" s="18"/>
      <c r="J941" t="str">
        <f>IF(LEN(VLOOKUP(表1[[#This Row],[id]],数据引用!A:C,3,FALSE))&gt;0,VLOOKUP(表1[[#This Row],[id]],数据引用!A:C,3,FALSE),"")</f>
        <v>地下城已保存！</v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font-size:12;"&gt;地下城已保存！&lt;/text&gt;&lt;text transform="matrix(1 0 0 1 0 10.3205)" style="fill:#FFFFFF; font-family:'FZXS12--GB1-0'; font-size:12;"&gt;地下城已保存！&lt;/text&gt;&lt;/svg&gt;</v>
      </c>
      <c r="P941" s="5"/>
    </row>
    <row r="942" spans="1:16" ht="14.25" customHeight="1">
      <c r="A942">
        <v>2508</v>
      </c>
      <c r="B942">
        <v>0</v>
      </c>
      <c r="C942">
        <v>0</v>
      </c>
      <c r="E942">
        <v>0.5</v>
      </c>
      <c r="F942">
        <v>6</v>
      </c>
      <c r="G942" s="1" t="s">
        <v>862</v>
      </c>
      <c r="H942" s="16" t="s">
        <v>3574</v>
      </c>
      <c r="I942" s="16" t="s">
        <v>4445</v>
      </c>
      <c r="J942" t="str">
        <f>IF(LEN(VLOOKUP(表1[[#This Row],[id]],数据引用!A:C,3,FALSE))&gt;0,VLOOKUP(表1[[#This Row],[id]],数据引用!A:C,3,FALSE),"")</f>
        <v>地下城名称：</v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font-size:12;"&gt;地下城名称：&lt;/text&gt;&lt;text transform="matrix(1 0 0 1 0 10.3205)" style="fill:#FFFFFF; font-family:'FZXS12--GB1-0'; font-size:12;"&gt;地下城名称：&lt;/text&gt;&lt;/svg&gt;</v>
      </c>
      <c r="P942" s="5" t="s">
        <v>1282</v>
      </c>
    </row>
    <row r="943" spans="1:16" ht="14.25" customHeight="1">
      <c r="A943">
        <v>2509</v>
      </c>
      <c r="B943">
        <v>0</v>
      </c>
      <c r="C943">
        <v>0</v>
      </c>
      <c r="E943">
        <v>0.5</v>
      </c>
      <c r="F943">
        <v>6</v>
      </c>
      <c r="G943" s="1" t="s">
        <v>863</v>
      </c>
      <c r="H943" s="16" t="s">
        <v>3575</v>
      </c>
      <c r="I943" s="16" t="s">
        <v>4446</v>
      </c>
      <c r="J943" t="str">
        <f>IF(LEN(VLOOKUP(表1[[#This Row],[id]],数据引用!A:C,3,FALSE))&gt;0,VLOOKUP(表1[[#This Row],[id]],数据引用!A:C,3,FALSE),"")</f>
        <v>角色：</v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font-size:12;"&gt;角色：&lt;/text&gt;&lt;text transform="matrix(1 0 0 1 0 10.3205)" style="fill:#FFFFFF; font-family:'FZXS12--GB1-0'; font-size:12;"&gt;角色：&lt;/text&gt;&lt;/svg&gt;</v>
      </c>
      <c r="P943" s="5" t="s">
        <v>1282</v>
      </c>
    </row>
    <row r="944" spans="1:16" ht="14.25" customHeight="1">
      <c r="A944">
        <v>2510</v>
      </c>
      <c r="B944">
        <v>0</v>
      </c>
      <c r="C944">
        <v>0</v>
      </c>
      <c r="E944">
        <v>0.5</v>
      </c>
      <c r="F944">
        <v>6</v>
      </c>
      <c r="G944" s="1" t="s">
        <v>864</v>
      </c>
      <c r="H944" s="16" t="s">
        <v>3576</v>
      </c>
      <c r="I944" s="16" t="s">
        <v>4447</v>
      </c>
      <c r="J944" t="str">
        <f>IF(LEN(VLOOKUP(表1[[#This Row],[id]],数据引用!A:C,3,FALSE))&gt;0,VLOOKUP(表1[[#This Row],[id]],数据引用!A:C,3,FALSE),"")</f>
        <v>全部</v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font-size:12;"&gt;全部&lt;/text&gt;&lt;text transform="matrix(1 0 0 1 0 10.3205)" style="fill:#FFFFFF; font-family:'FZXS12--GB1-0'; font-size:12;"&gt;全部&lt;/text&gt;&lt;/svg&gt;</v>
      </c>
      <c r="P944" s="5" t="s">
        <v>1282</v>
      </c>
    </row>
    <row r="945" spans="1:16" ht="14.25" customHeight="1">
      <c r="A945">
        <v>2511</v>
      </c>
      <c r="B945">
        <v>0</v>
      </c>
      <c r="C945">
        <v>0</v>
      </c>
      <c r="E945">
        <v>0.5</v>
      </c>
      <c r="F945">
        <v>6</v>
      </c>
      <c r="G945" s="1" t="s">
        <v>865</v>
      </c>
      <c r="H945" s="16" t="s">
        <v>3577</v>
      </c>
      <c r="I945" s="16" t="s">
        <v>4448</v>
      </c>
      <c r="J945" t="str">
        <f>IF(LEN(VLOOKUP(表1[[#This Row],[id]],数据引用!A:C,3,FALSE))&gt;0,VLOOKUP(表1[[#This Row],[id]],数据引用!A:C,3,FALSE),"")</f>
        <v xml:space="preserve"> - 无物品</v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 - 无物品&lt;/text&gt;&lt;text transform="matrix(1 0 0 1 0 10.3205)" style="fill:#FFFFFF; font-family:'FZXS12--GB1-0'; font-size:12;"&gt; - 无物品&lt;/text&gt;&lt;/svg&gt;</v>
      </c>
      <c r="P945" s="5" t="s">
        <v>1282</v>
      </c>
    </row>
    <row r="946" spans="1:16" ht="14.25" customHeight="1">
      <c r="A946">
        <v>2512</v>
      </c>
      <c r="B946">
        <v>0</v>
      </c>
      <c r="C946">
        <v>0</v>
      </c>
      <c r="E946">
        <v>0.5</v>
      </c>
      <c r="F946">
        <v>6</v>
      </c>
      <c r="G946" s="1" t="s">
        <v>866</v>
      </c>
      <c r="H946" s="16" t="s">
        <v>3578</v>
      </c>
      <c r="I946" s="16" t="s">
        <v>4449</v>
      </c>
      <c r="J946" t="str">
        <f>IF(LEN(VLOOKUP(表1[[#This Row],[id]],数据引用!A:C,3,FALSE))&gt;0,VLOOKUP(表1[[#This Row],[id]],数据引用!A:C,3,FALSE),"")</f>
        <v>当前关卡：</v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font-size:12;"&gt;当前关卡：&lt;/text&gt;&lt;text transform="matrix(1 0 0 1 0 10.3205)" style="fill:#FFFFFF; font-family:'FZXS12--GB1-0'; font-size:12;"&gt;当前关卡：&lt;/text&gt;&lt;/svg&gt;</v>
      </c>
      <c r="P946" s="5" t="s">
        <v>1282</v>
      </c>
    </row>
    <row r="947" spans="1:16" ht="14.25" customHeight="1">
      <c r="A947">
        <v>2513</v>
      </c>
      <c r="B947">
        <v>0</v>
      </c>
      <c r="C947">
        <v>0</v>
      </c>
      <c r="E947">
        <v>0.5</v>
      </c>
      <c r="F947">
        <v>6</v>
      </c>
      <c r="G947" s="1" t="s">
        <v>867</v>
      </c>
      <c r="H947" s="16" t="s">
        <v>3579</v>
      </c>
      <c r="I947" s="16" t="s">
        <v>4450</v>
      </c>
      <c r="J947" t="str">
        <f>IF(LEN(VLOOKUP(表1[[#This Row],[id]],数据引用!A:C,3,FALSE))&gt;0,VLOOKUP(表1[[#This Row],[id]],数据引用!A:C,3,FALSE),"")</f>
        <v>增加关卡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font-size:12;"&gt;增加关卡&lt;/text&gt;&lt;text transform="matrix(1 0 0 1 0 10.3205)" style="fill:#FFFFFF; font-family:'FZXS12--GB1-0'; font-size:12;"&gt;增加关卡&lt;/text&gt;&lt;/svg&gt;</v>
      </c>
      <c r="P947" s="5" t="s">
        <v>1282</v>
      </c>
    </row>
    <row r="948" spans="1:16" ht="14.25" customHeight="1">
      <c r="A948">
        <v>2514</v>
      </c>
      <c r="B948">
        <v>0</v>
      </c>
      <c r="C948">
        <v>0</v>
      </c>
      <c r="E948">
        <v>0.5</v>
      </c>
      <c r="F948">
        <v>6</v>
      </c>
      <c r="G948" s="1" t="s">
        <v>868</v>
      </c>
      <c r="H948" s="16" t="s">
        <v>3580</v>
      </c>
      <c r="I948" s="16" t="s">
        <v>4451</v>
      </c>
      <c r="J948" t="str">
        <f>IF(LEN(VLOOKUP(表1[[#This Row],[id]],数据引用!A:C,3,FALSE))&gt;0,VLOOKUP(表1[[#This Row],[id]],数据引用!A:C,3,FALSE),"")</f>
        <v>删除关卡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font-size:12;"&gt;删除关卡&lt;/text&gt;&lt;text transform="matrix(1 0 0 1 0 10.3205)" style="fill:#FFFFFF; font-family:'FZXS12--GB1-0'; font-size:12;"&gt;删除关卡&lt;/text&gt;&lt;/svg&gt;</v>
      </c>
      <c r="P948" s="5" t="s">
        <v>1282</v>
      </c>
    </row>
    <row r="949" spans="1:16" ht="14.25" customHeight="1">
      <c r="A949">
        <v>2515</v>
      </c>
      <c r="B949">
        <v>0</v>
      </c>
      <c r="C949">
        <v>0</v>
      </c>
      <c r="E949">
        <v>0.5</v>
      </c>
      <c r="F949">
        <v>6</v>
      </c>
      <c r="G949" s="1" t="s">
        <v>869</v>
      </c>
      <c r="H949" s="16" t="s">
        <v>3581</v>
      </c>
      <c r="I949" s="16" t="s">
        <v>4452</v>
      </c>
      <c r="J949" t="str">
        <f>IF(LEN(VLOOKUP(表1[[#This Row],[id]],数据引用!A:C,3,FALSE))&gt;0,VLOOKUP(表1[[#This Row],[id]],数据引用!A:C,3,FALSE),"")</f>
        <v>随机生成素材：</v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font-size:12;"&gt;随机生成素材：&lt;/text&gt;&lt;text transform="matrix(1 0 0 1 0 10.3205)" style="fill:#FFFFFF; font-family:'FZXS12--GB1-0'; font-size:12;"&gt;随机生成素材：&lt;/text&gt;&lt;/svg&gt;</v>
      </c>
      <c r="P949" s="5" t="s">
        <v>1282</v>
      </c>
    </row>
    <row r="950" spans="1:16" ht="14.25" customHeight="1">
      <c r="A950">
        <v>2516</v>
      </c>
      <c r="B950">
        <v>0</v>
      </c>
      <c r="C950">
        <v>0</v>
      </c>
      <c r="E950">
        <v>0.5</v>
      </c>
      <c r="F950">
        <v>6</v>
      </c>
      <c r="G950" s="1" t="s">
        <v>870</v>
      </c>
      <c r="H950" s="16" t="s">
        <v>3582</v>
      </c>
      <c r="I950" s="16" t="s">
        <v>4453</v>
      </c>
      <c r="J950" t="str">
        <f>IF(LEN(VLOOKUP(表1[[#This Row],[id]],数据引用!A:C,3,FALSE))&gt;0,VLOOKUP(表1[[#This Row],[id]],数据引用!A:C,3,FALSE),"")</f>
        <v>随机生成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font-size:12;"&gt;随机生成&lt;/text&gt;&lt;text transform="matrix(1 0 0 1 0 10.3205)" style="fill:#FFFFFF; font-family:'FZXS12--GB1-0'; font-size:12;"&gt;随机生成&lt;/text&gt;&lt;/svg&gt;</v>
      </c>
      <c r="P950" s="5" t="s">
        <v>1282</v>
      </c>
    </row>
    <row r="951" spans="1:16" ht="14.25" customHeight="1">
      <c r="A951">
        <v>2517</v>
      </c>
      <c r="B951">
        <v>0</v>
      </c>
      <c r="C951">
        <v>0</v>
      </c>
      <c r="E951">
        <v>0.5</v>
      </c>
      <c r="F951">
        <v>6</v>
      </c>
      <c r="G951" s="1" t="s">
        <v>871</v>
      </c>
      <c r="H951" s="16" t="s">
        <v>3583</v>
      </c>
      <c r="I951" s="16" t="s">
        <v>4454</v>
      </c>
      <c r="J951" t="str">
        <f>IF(LEN(VLOOKUP(表1[[#This Row],[id]],数据引用!A:C,3,FALSE))&gt;0,VLOOKUP(表1[[#This Row],[id]],数据引用!A:C,3,FALSE),"")</f>
        <v>音乐：</v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font-size:12;"&gt;音乐：&lt;/text&gt;&lt;text transform="matrix(1 0 0 1 0 10.3205)" style="fill:#FFFFFF; font-family:'FZXS12--GB1-0'; font-size:12;"&gt;音乐：&lt;/text&gt;&lt;/svg&gt;</v>
      </c>
      <c r="P951" s="5" t="s">
        <v>1282</v>
      </c>
    </row>
    <row r="952" spans="1:16" ht="14.25" customHeight="1">
      <c r="A952">
        <v>2518</v>
      </c>
      <c r="B952">
        <v>0</v>
      </c>
      <c r="C952">
        <v>0</v>
      </c>
      <c r="E952">
        <v>0.5</v>
      </c>
      <c r="F952">
        <v>6</v>
      </c>
      <c r="G952" s="1" t="s">
        <v>872</v>
      </c>
      <c r="H952" s="16" t="s">
        <v>3584</v>
      </c>
      <c r="I952" s="16" t="s">
        <v>4455</v>
      </c>
      <c r="J952" t="str">
        <f>IF(LEN(VLOOKUP(表1[[#This Row],[id]],数据引用!A:C,3,FALSE))&gt;0,VLOOKUP(表1[[#This Row],[id]],数据引用!A:C,3,FALSE),"")</f>
        <v>自由观察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font-size:12;"&gt;自由观察&lt;/text&gt;&lt;text transform="matrix(1 0 0 1 0 10.3205)" style="fill:#FFFFFF; font-family:'FZXS12--GB1-0'; font-size:12;"&gt;自由观察&lt;/text&gt;&lt;/svg&gt;</v>
      </c>
      <c r="P952" s="5" t="s">
        <v>1282</v>
      </c>
    </row>
    <row r="953" spans="1:16" ht="14.25" customHeight="1">
      <c r="A953">
        <v>2519</v>
      </c>
      <c r="B953">
        <v>0</v>
      </c>
      <c r="C953">
        <v>0</v>
      </c>
      <c r="E953">
        <v>0.5</v>
      </c>
      <c r="F953">
        <v>6</v>
      </c>
      <c r="G953" s="1" t="s">
        <v>873</v>
      </c>
      <c r="H953" s="16" t="s">
        <v>3585</v>
      </c>
      <c r="I953" s="16" t="s">
        <v>4456</v>
      </c>
      <c r="J953" t="str">
        <f>IF(LEN(VLOOKUP(表1[[#This Row],[id]],数据引用!A:C,3,FALSE))&gt;0,VLOOKUP(表1[[#This Row],[id]],数据引用!A:C,3,FALSE),"")</f>
        <v>测试关卡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font-size:12;"&gt;测试关卡&lt;/text&gt;&lt;text transform="matrix(1 0 0 1 0 10.3205)" style="fill:#FFFFFF; font-family:'FZXS12--GB1-0'; font-size:12;"&gt;测试关卡&lt;/text&gt;&lt;/svg&gt;</v>
      </c>
      <c r="P953" s="5" t="s">
        <v>1282</v>
      </c>
    </row>
    <row r="954" spans="1:16" ht="14.25" customHeight="1">
      <c r="A954">
        <v>2520</v>
      </c>
      <c r="B954">
        <v>0</v>
      </c>
      <c r="C954">
        <v>0</v>
      </c>
      <c r="E954">
        <v>0.5</v>
      </c>
      <c r="F954">
        <v>6</v>
      </c>
      <c r="G954" s="1" t="s">
        <v>874</v>
      </c>
      <c r="H954" s="16" t="s">
        <v>3586</v>
      </c>
      <c r="I954" s="16" t="s">
        <v>4457</v>
      </c>
      <c r="J954" t="str">
        <f>IF(LEN(VLOOKUP(表1[[#This Row],[id]],数据引用!A:C,3,FALSE))&gt;0,VLOOKUP(表1[[#This Row],[id]],数据引用!A:C,3,FALSE),"")</f>
        <v>测试地下城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font-size:12;"&gt;测试地下城&lt;/text&gt;&lt;text transform="matrix(1 0 0 1 0 10.3205)" style="fill:#FFFFFF; font-family:'FZXS12--GB1-0'; font-size:12;"&gt;测试地下城&lt;/text&gt;&lt;/svg&gt;</v>
      </c>
      <c r="P954" s="5" t="s">
        <v>1282</v>
      </c>
    </row>
    <row r="955" spans="1:16" ht="14.25" customHeight="1">
      <c r="A955">
        <v>2521</v>
      </c>
      <c r="B955">
        <v>0</v>
      </c>
      <c r="C955">
        <v>0</v>
      </c>
      <c r="E955">
        <v>0.5</v>
      </c>
      <c r="F955">
        <v>6</v>
      </c>
      <c r="G955" s="1" t="s">
        <v>875</v>
      </c>
      <c r="H955" s="16" t="s">
        <v>3587</v>
      </c>
      <c r="I955" s="16" t="s">
        <v>4458</v>
      </c>
      <c r="J955" t="str">
        <f>IF(LEN(VLOOKUP(表1[[#This Row],[id]],数据引用!A:C,3,FALSE))&gt;0,VLOOKUP(表1[[#This Row],[id]],数据引用!A:C,3,FALSE),"")</f>
        <v>载入地下城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font-size:12;"&gt;载入地下城&lt;/text&gt;&lt;text transform="matrix(1 0 0 1 0 10.3205)" style="fill:#FFFFFF; font-family:'FZXS12--GB1-0'; font-size:12;"&gt;载入地下城&lt;/text&gt;&lt;/svg&gt;</v>
      </c>
      <c r="P955" s="5" t="s">
        <v>1282</v>
      </c>
    </row>
    <row r="956" spans="1:16" ht="14.25" customHeight="1">
      <c r="A956">
        <v>2522</v>
      </c>
      <c r="B956">
        <v>0</v>
      </c>
      <c r="C956">
        <v>0</v>
      </c>
      <c r="E956">
        <v>0.5</v>
      </c>
      <c r="F956">
        <v>6</v>
      </c>
      <c r="G956" s="1" t="s">
        <v>876</v>
      </c>
      <c r="H956" s="16" t="s">
        <v>3588</v>
      </c>
      <c r="I956" s="16" t="s">
        <v>4459</v>
      </c>
      <c r="J956" t="str">
        <f>IF(LEN(VLOOKUP(表1[[#This Row],[id]],数据引用!A:C,3,FALSE))&gt;0,VLOOKUP(表1[[#This Row],[id]],数据引用!A:C,3,FALSE),"")</f>
        <v>发布地下城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font-size:12;"&gt;发布地下城&lt;/text&gt;&lt;text transform="matrix(1 0 0 1 0 10.3205)" style="fill:#FFFFFF; font-family:'FZXS12--GB1-0'; font-size:12;"&gt;发布地下城&lt;/text&gt;&lt;/svg&gt;</v>
      </c>
      <c r="P956" s="5" t="s">
        <v>1282</v>
      </c>
    </row>
    <row r="957" spans="1:16" ht="14.25" customHeight="1">
      <c r="A957">
        <v>2523</v>
      </c>
      <c r="B957">
        <v>0</v>
      </c>
      <c r="C957">
        <v>0</v>
      </c>
      <c r="E957">
        <v>0.5</v>
      </c>
      <c r="F957">
        <v>6</v>
      </c>
      <c r="G957" s="1" t="s">
        <v>877</v>
      </c>
      <c r="H957" s="16" t="s">
        <v>3589</v>
      </c>
      <c r="I957" s="16" t="s">
        <v>4460</v>
      </c>
      <c r="J957" t="str">
        <f>IF(LEN(VLOOKUP(表1[[#This Row],[id]],数据引用!A:C,3,FALSE))&gt;0,VLOOKUP(表1[[#This Row],[id]],数据引用!A:C,3,FALSE),"")</f>
        <v>保存地下城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font-size:12;"&gt;保存地下城&lt;/text&gt;&lt;text transform="matrix(1 0 0 1 0 10.3205)" style="fill:#FFFFFF; font-family:'FZXS12--GB1-0'; font-size:12;"&gt;保存地下城&lt;/text&gt;&lt;/svg&gt;</v>
      </c>
      <c r="P957" s="5" t="s">
        <v>1282</v>
      </c>
    </row>
    <row r="958" spans="1:16" ht="14.25" customHeight="1">
      <c r="A958">
        <v>2524</v>
      </c>
      <c r="B958">
        <v>0</v>
      </c>
      <c r="C958">
        <v>0</v>
      </c>
      <c r="E958">
        <v>0.5</v>
      </c>
      <c r="F958">
        <v>6</v>
      </c>
      <c r="G958" s="1" t="s">
        <v>878</v>
      </c>
      <c r="H958" s="16" t="s">
        <v>3590</v>
      </c>
      <c r="I958" s="16" t="s">
        <v>4461</v>
      </c>
      <c r="J958" t="str">
        <f>IF(LEN(VLOOKUP(表1[[#This Row],[id]],数据引用!A:C,3,FALSE))&gt;0,VLOOKUP(表1[[#This Row],[id]],数据引用!A:C,3,FALSE),"")</f>
        <v>保存并退出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font-size:12;"&gt;保存并退出&lt;/text&gt;&lt;text transform="matrix(1 0 0 1 0 10.3205)" style="fill:#FFFFFF; font-family:'FZXS12--GB1-0'; font-size:12;"&gt;保存并退出&lt;/text&gt;&lt;/svg&gt;</v>
      </c>
      <c r="P958" s="5" t="s">
        <v>1282</v>
      </c>
    </row>
    <row r="959" spans="1:16" ht="14.25" customHeight="1">
      <c r="A959">
        <v>2525</v>
      </c>
      <c r="B959">
        <v>0</v>
      </c>
      <c r="C959">
        <v>0</v>
      </c>
      <c r="E959">
        <v>0.5</v>
      </c>
      <c r="F959">
        <v>6</v>
      </c>
      <c r="G959" s="1" t="s">
        <v>879</v>
      </c>
      <c r="H959" s="16" t="s">
        <v>3591</v>
      </c>
      <c r="I959" s="16" t="s">
        <v>4462</v>
      </c>
      <c r="J959" t="str">
        <f>IF(LEN(VLOOKUP(表1[[#This Row],[id]],数据引用!A:C,3,FALSE))&gt;0,VLOOKUP(表1[[#This Row],[id]],数据引用!A:C,3,FALSE),"")</f>
        <v>退出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font-size:12;"&gt;退出&lt;/text&gt;&lt;text transform="matrix(1 0 0 1 0 10.3205)" style="fill:#FFFFFF; font-family:'FZXS12--GB1-0'; font-size:12;"&gt;退出&lt;/text&gt;&lt;/svg&gt;</v>
      </c>
      <c r="P959" s="5" t="s">
        <v>1282</v>
      </c>
    </row>
    <row r="960" spans="1:16" ht="14.25" customHeight="1">
      <c r="A960">
        <v>2526</v>
      </c>
      <c r="B960">
        <v>0</v>
      </c>
      <c r="C960">
        <v>0</v>
      </c>
      <c r="E960">
        <v>0.5</v>
      </c>
      <c r="F960">
        <v>6</v>
      </c>
      <c r="G960" s="1" t="s">
        <v>689</v>
      </c>
      <c r="H960" s="16" t="s">
        <v>3592</v>
      </c>
      <c r="I960" s="16" t="s">
        <v>4463</v>
      </c>
      <c r="J960" s="20" t="str">
        <f>IF(LEN(VLOOKUP(表1[[#This Row],[id]],数据引用!A:C,3,FALSE))&gt;0,VLOOKUP(表1[[#This Row],[id]],数据引用!A:C,3,FALSE),"")</f>
        <v>金刚鼓王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960" s="5" t="s">
        <v>1282</v>
      </c>
    </row>
    <row r="961" spans="1:16" ht="14.25" customHeight="1">
      <c r="A961">
        <v>2527</v>
      </c>
      <c r="B961">
        <v>0</v>
      </c>
      <c r="C961">
        <v>0</v>
      </c>
      <c r="E961">
        <v>0.5</v>
      </c>
      <c r="F961">
        <v>6</v>
      </c>
      <c r="G961" s="1" t="s">
        <v>690</v>
      </c>
      <c r="H961" s="16" t="s">
        <v>3593</v>
      </c>
      <c r="I961" s="16" t="s">
        <v>4464</v>
      </c>
      <c r="J961" s="20" t="str">
        <f>IF(LEN(VLOOKUP(表1[[#This Row],[id]],数据引用!A:C,3,FALSE))&gt;0,VLOOKUP(表1[[#This Row],[id]],数据引用!A:C,3,FALSE),"")</f>
        <v>死亡重金属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961" s="5" t="s">
        <v>1282</v>
      </c>
    </row>
    <row r="962" spans="1:16" ht="14.25" customHeight="1">
      <c r="A962">
        <v>2528</v>
      </c>
      <c r="B962">
        <v>0</v>
      </c>
      <c r="C962">
        <v>0</v>
      </c>
      <c r="E962">
        <v>0.5</v>
      </c>
      <c r="F962">
        <v>6</v>
      </c>
      <c r="G962" s="1" t="s">
        <v>691</v>
      </c>
      <c r="H962" s="16" t="s">
        <v>3594</v>
      </c>
      <c r="I962" s="16" t="s">
        <v>4465</v>
      </c>
      <c r="J962" s="20" t="str">
        <f>IF(LEN(VLOOKUP(表1[[#This Row],[id]],数据引用!A:C,3,FALSE))&gt;0,VLOOKUP(表1[[#This Row],[id]],数据引用!A:C,3,FALSE),"")</f>
        <v>深蓝象棋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962" s="5" t="s">
        <v>1282</v>
      </c>
    </row>
    <row r="963" spans="1:16" ht="14.25" customHeight="1">
      <c r="A963">
        <v>2529</v>
      </c>
      <c r="B963">
        <v>0</v>
      </c>
      <c r="C963">
        <v>0</v>
      </c>
      <c r="E963">
        <v>0.5</v>
      </c>
      <c r="F963">
        <v>6</v>
      </c>
      <c r="G963" s="1" t="s">
        <v>692</v>
      </c>
      <c r="H963" s="16" t="s">
        <v>3595</v>
      </c>
      <c r="I963" s="16" t="s">
        <v>4466</v>
      </c>
      <c r="J963" s="20" t="str">
        <f>IF(LEN(VLOOKUP(表1[[#This Row],[id]],数据引用!A:C,3,FALSE))&gt;0,VLOOKUP(表1[[#This Row],[id]],数据引用!A:C,3,FALSE),"")</f>
        <v>珊瑚乐团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963" s="5" t="s">
        <v>1282</v>
      </c>
    </row>
    <row r="964" spans="1:16" ht="14.25" customHeight="1">
      <c r="A964">
        <v>2530</v>
      </c>
      <c r="B964">
        <v>0</v>
      </c>
      <c r="C964">
        <v>0</v>
      </c>
      <c r="E964">
        <v>0.5</v>
      </c>
      <c r="F964">
        <v>6</v>
      </c>
      <c r="G964" s="1" t="s">
        <v>880</v>
      </c>
      <c r="H964" s="16" t="s">
        <v>3596</v>
      </c>
      <c r="I964" s="16" t="s">
        <v>4467</v>
      </c>
      <c r="J964" t="str">
        <f>IF(LEN(VLOOKUP(表1[[#This Row],[id]],数据引用!A:C,3,FALSE))&gt;0,VLOOKUP(表1[[#This Row],[id]],数据引用!A:C,3,FALSE),"")</f>
        <v>放置 地板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地板&lt;/text&gt;&lt;text transform="matrix(1 0 0 1 0 10.3205)" style="fill:#FFFFFF; font-family:'FZXS12--GB1-0'; font-size:12;"&gt;放置 地板&lt;/text&gt;&lt;/svg&gt;</v>
      </c>
      <c r="P964" s="5" t="s">
        <v>1282</v>
      </c>
    </row>
    <row r="965" spans="1:16" ht="14.25" customHeight="1">
      <c r="A965">
        <v>2531</v>
      </c>
      <c r="B965">
        <v>0</v>
      </c>
      <c r="C965">
        <v>0</v>
      </c>
      <c r="E965">
        <v>0.5</v>
      </c>
      <c r="F965">
        <v>6</v>
      </c>
      <c r="G965" s="1" t="s">
        <v>881</v>
      </c>
      <c r="H965" s="16" t="s">
        <v>3597</v>
      </c>
      <c r="I965" s="16" t="s">
        <v>4468</v>
      </c>
      <c r="J965" s="20" t="str">
        <f>IF(LEN(VLOOKUP(表1[[#This Row],[id]],数据引用!A:C,3,FALSE))&gt;0,VLOOKUP(表1[[#This Row],[id]],数据引用!A:C,3,FALSE),"")</f>
        <v>放置 墙壁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墙壁&lt;/text&gt;&lt;text transform="matrix(1 0 0 1 0 10.3205)" style="fill:#FFFFFF; font-family:'FZXS12--GB1-0'; font-size:12;"&gt;放置 墙壁&lt;/text&gt;&lt;/svg&gt;</v>
      </c>
      <c r="P965" s="5" t="s">
        <v>1282</v>
      </c>
    </row>
    <row r="966" spans="1:16" ht="14.25" customHeight="1">
      <c r="A966">
        <v>2532</v>
      </c>
      <c r="B966">
        <v>0</v>
      </c>
      <c r="C966">
        <v>0</v>
      </c>
      <c r="E966">
        <v>0.5</v>
      </c>
      <c r="F966">
        <v>6</v>
      </c>
      <c r="G966" s="1" t="s">
        <v>882</v>
      </c>
      <c r="H966" s="16" t="s">
        <v>3598</v>
      </c>
      <c r="I966" s="16" t="s">
        <v>4469</v>
      </c>
      <c r="J966" s="20" t="str">
        <f>IF(LEN(VLOOKUP(表1[[#This Row],[id]],数据引用!A:C,3,FALSE))&gt;0,VLOOKUP(表1[[#This Row],[id]],数据引用!A:C,3,FALSE),"")</f>
        <v>放置 敌人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敌人&lt;/text&gt;&lt;text transform="matrix(1 0 0 1 0 10.3205)" style="fill:#FFFFFF; font-family:'FZXS12--GB1-0'; font-size:12;"&gt;放置 敌人&lt;/text&gt;&lt;/svg&gt;</v>
      </c>
      <c r="P966" s="5" t="s">
        <v>1282</v>
      </c>
    </row>
    <row r="967" spans="1:16" ht="14.25" customHeight="1">
      <c r="A967">
        <v>2533</v>
      </c>
      <c r="B967">
        <v>0</v>
      </c>
      <c r="C967">
        <v>0</v>
      </c>
      <c r="E967">
        <v>0.5</v>
      </c>
      <c r="F967">
        <v>6</v>
      </c>
      <c r="G967" s="1" t="s">
        <v>883</v>
      </c>
      <c r="H967" s="16" t="s">
        <v>3599</v>
      </c>
      <c r="I967" s="16" t="s">
        <v>4470</v>
      </c>
      <c r="J967" s="20" t="str">
        <f>IF(LEN(VLOOKUP(表1[[#This Row],[id]],数据引用!A:C,3,FALSE))&gt;0,VLOOKUP(表1[[#This Row],[id]],数据引用!A:C,3,FALSE),"")</f>
        <v>放置 陷阱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陷阱&lt;/text&gt;&lt;text transform="matrix(1 0 0 1 0 10.3205)" style="fill:#FFFFFF; font-family:'FZXS12--GB1-0'; font-size:12;"&gt;放置 陷阱&lt;/text&gt;&lt;/svg&gt;</v>
      </c>
      <c r="P967" s="5" t="s">
        <v>1282</v>
      </c>
    </row>
    <row r="968" spans="1:16" ht="14.25" customHeight="1">
      <c r="A968">
        <v>2534</v>
      </c>
      <c r="B968">
        <v>0</v>
      </c>
      <c r="C968">
        <v>0</v>
      </c>
      <c r="E968">
        <v>0.5</v>
      </c>
      <c r="F968">
        <v>6</v>
      </c>
      <c r="G968" s="1" t="s">
        <v>884</v>
      </c>
      <c r="H968" s="16" t="s">
        <v>3600</v>
      </c>
      <c r="I968" s="16" t="s">
        <v>4471</v>
      </c>
      <c r="J968" s="20" t="str">
        <f>IF(LEN(VLOOKUP(表1[[#This Row],[id]],数据引用!A:C,3,FALSE))&gt;0,VLOOKUP(表1[[#This Row],[id]],数据引用!A:C,3,FALSE),"")</f>
        <v>放置 圣陵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圣陵&lt;/text&gt;&lt;text transform="matrix(1 0 0 1 0 10.3205)" style="fill:#FFFFFF; font-family:'FZXS12--GB1-0'; font-size:12;"&gt;放置 圣陵&lt;/text&gt;&lt;/svg&gt;</v>
      </c>
      <c r="P968" s="5" t="s">
        <v>1282</v>
      </c>
    </row>
    <row r="969" spans="1:16" ht="14.25" customHeight="1">
      <c r="A969">
        <v>2535</v>
      </c>
      <c r="B969">
        <v>0</v>
      </c>
      <c r="C969">
        <v>0</v>
      </c>
      <c r="E969">
        <v>0.5</v>
      </c>
      <c r="F969">
        <v>6</v>
      </c>
      <c r="G969" s="1" t="s">
        <v>885</v>
      </c>
      <c r="H969" s="16" t="s">
        <v>3601</v>
      </c>
      <c r="I969" s="16" t="s">
        <v>4472</v>
      </c>
      <c r="J969" s="20" t="str">
        <f>IF(LEN(VLOOKUP(表1[[#This Row],[id]],数据引用!A:C,3,FALSE))&gt;0,VLOOKUP(表1[[#This Row],[id]],数据引用!A:C,3,FALSE),"")</f>
        <v>放置 物品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物品&lt;/text&gt;&lt;text transform="matrix(1 0 0 1 0 10.3205)" style="fill:#FFFFFF; font-family:'FZXS12--GB1-0'; font-size:12;"&gt;放置 物品&lt;/text&gt;&lt;/svg&gt;</v>
      </c>
      <c r="P969" s="5" t="s">
        <v>1282</v>
      </c>
    </row>
    <row r="970" spans="1:16" ht="14.25" customHeight="1">
      <c r="A970">
        <v>2536</v>
      </c>
      <c r="B970">
        <v>0</v>
      </c>
      <c r="C970">
        <v>0</v>
      </c>
      <c r="E970">
        <v>0.5</v>
      </c>
      <c r="F970">
        <v>6</v>
      </c>
      <c r="G970" s="1" t="s">
        <v>886</v>
      </c>
      <c r="H970" s="16" t="s">
        <v>3602</v>
      </c>
      <c r="I970" s="16" t="s">
        <v>4473</v>
      </c>
      <c r="J970" s="20" t="str">
        <f>IF(LEN(VLOOKUP(表1[[#This Row],[id]],数据引用!A:C,3,FALSE))&gt;0,VLOOKUP(表1[[#This Row],[id]],数据引用!A:C,3,FALSE),"")</f>
        <v>放置 宝箱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宝箱&lt;/text&gt;&lt;text transform="matrix(1 0 0 1 0 10.3205)" style="fill:#FFFFFF; font-family:'FZXS12--GB1-0'; font-size:12;"&gt;放置 宝箱&lt;/text&gt;&lt;/svg&gt;</v>
      </c>
      <c r="P970" s="5" t="s">
        <v>1282</v>
      </c>
    </row>
    <row r="971" spans="1:16" ht="14.25" customHeight="1">
      <c r="A971">
        <v>2537</v>
      </c>
      <c r="B971">
        <v>0</v>
      </c>
      <c r="C971">
        <v>0</v>
      </c>
      <c r="E971">
        <v>0.5</v>
      </c>
      <c r="F971">
        <v>6</v>
      </c>
      <c r="G971" s="1" t="s">
        <v>887</v>
      </c>
      <c r="H971" s="16" t="s">
        <v>3603</v>
      </c>
      <c r="I971" s="16" t="s">
        <v>4474</v>
      </c>
      <c r="J971" s="20" t="str">
        <f>IF(LEN(VLOOKUP(表1[[#This Row],[id]],数据引用!A:C,3,FALSE))&gt;0,VLOOKUP(表1[[#This Row],[id]],数据引用!A:C,3,FALSE),"")</f>
        <v>放置 箱子/桶/瓮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箱子/桶/瓮&lt;/text&gt;&lt;text transform="matrix(1 0 0 1 0 10.3205)" style="fill:#FFFFFF; font-family:'FZXS12--GB1-0'; font-size:12;"&gt;放置 箱子/桶/瓮&lt;/text&gt;&lt;/svg&gt;</v>
      </c>
      <c r="P971" s="5" t="s">
        <v>1282</v>
      </c>
    </row>
    <row r="972" spans="1:16" ht="14.25" customHeight="1">
      <c r="A972">
        <v>2538</v>
      </c>
      <c r="B972">
        <v>0</v>
      </c>
      <c r="C972">
        <v>0</v>
      </c>
      <c r="E972">
        <v>0.5</v>
      </c>
      <c r="F972">
        <v>6</v>
      </c>
      <c r="G972" s="1" t="s">
        <v>888</v>
      </c>
      <c r="H972" s="16" t="s">
        <v>3604</v>
      </c>
      <c r="I972" s="16" t="s">
        <v>4475</v>
      </c>
      <c r="J972" t="str">
        <f>IF(LEN(VLOOKUP(表1[[#This Row],[id]],数据引用!A:C,3,FALSE))&gt;0,VLOOKUP(表1[[#This Row],[id]],数据引用!A:C,3,FALSE),"")</f>
        <v>移动 物体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 物体&lt;/text&gt;&lt;text transform="matrix(1 0 0 1 0 10.3205)" style="fill:#FFFFFF; font-family:'FZXS12--GB1-0'; font-size:12;"&gt;移动 物体&lt;/text&gt;&lt;/svg&gt;</v>
      </c>
      <c r="P972" s="5" t="s">
        <v>1282</v>
      </c>
    </row>
    <row r="973" spans="1:16" ht="14.25" customHeight="1">
      <c r="A973">
        <v>2539</v>
      </c>
      <c r="B973">
        <v>0</v>
      </c>
      <c r="C973">
        <v>0</v>
      </c>
      <c r="E973">
        <v>0.5</v>
      </c>
      <c r="F973">
        <v>6</v>
      </c>
      <c r="G973" s="1" t="s">
        <v>889</v>
      </c>
      <c r="H973" s="16" t="s">
        <v>3605</v>
      </c>
      <c r="I973" s="16" t="s">
        <v>4476</v>
      </c>
      <c r="J973" t="str">
        <f>IF(LEN(VLOOKUP(表1[[#This Row],[id]],数据引用!A:C,3,FALSE))&gt;0,VLOOKUP(表1[[#This Row],[id]],数据引用!A:C,3,FALSE),"")</f>
        <v>删除 物体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 物体&lt;/text&gt;&lt;text transform="matrix(1 0 0 1 0 10.3205)" style="fill:#FFFFFF; font-family:'FZXS12--GB1-0'; font-size:12;"&gt;删除 物体&lt;/text&gt;&lt;/svg&gt;</v>
      </c>
      <c r="P973" s="5" t="s">
        <v>1282</v>
      </c>
    </row>
    <row r="974" spans="1:16" ht="14.25" customHeight="1">
      <c r="A974">
        <v>2540</v>
      </c>
      <c r="B974">
        <v>0</v>
      </c>
      <c r="C974">
        <v>0</v>
      </c>
      <c r="E974">
        <v>0.5</v>
      </c>
      <c r="F974">
        <v>6</v>
      </c>
      <c r="G974" s="1" t="s">
        <v>890</v>
      </c>
      <c r="H974" s="16" t="s">
        <v>3606</v>
      </c>
      <c r="I974" s="16" t="s">
        <v>4477</v>
      </c>
      <c r="J974" t="str">
        <f>IF(LEN(VLOOKUP(表1[[#This Row],[id]],数据引用!A:C,3,FALSE))&gt;0,VLOOKUP(表1[[#This Row],[id]],数据引用!A:C,3,FALSE),"")</f>
        <v>地图：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font-size:12;"&gt;地图：&lt;/text&gt;&lt;text transform="matrix(1 0 0 1 0 10.3205)" style="fill:#FFFFFF; font-family:'FZXS12--GB1-0'; font-size:12;"&gt;地图：&lt;/text&gt;&lt;/svg&gt;</v>
      </c>
      <c r="P974" s="5" t="s">
        <v>1282</v>
      </c>
    </row>
    <row r="975" spans="1:16" ht="14.25" customHeight="1">
      <c r="A975">
        <v>2541</v>
      </c>
      <c r="B975">
        <v>0</v>
      </c>
      <c r="C975">
        <v>0</v>
      </c>
      <c r="E975">
        <v>0.5</v>
      </c>
      <c r="F975">
        <v>6</v>
      </c>
      <c r="G975" s="1" t="s">
        <v>891</v>
      </c>
      <c r="H975" s="16" t="s">
        <v>3607</v>
      </c>
      <c r="I975" s="16" t="s">
        <v>4478</v>
      </c>
      <c r="J975" t="str">
        <f>IF(LEN(VLOOKUP(表1[[#This Row],[id]],数据引用!A:C,3,FALSE))&gt;0,VLOOKUP(表1[[#This Row],[id]],数据引用!A:C,3,FALSE),"")</f>
        <v>地面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font-size:12;"&gt;地面&lt;/text&gt;&lt;text transform="matrix(1 0 0 1 0 10.3205)" style="fill:#FFFFFF; font-family:'FZXS12--GB1-0'; font-size:12;"&gt;地面&lt;/text&gt;&lt;/svg&gt;</v>
      </c>
      <c r="P975" s="5" t="s">
        <v>1282</v>
      </c>
    </row>
    <row r="976" spans="1:16" ht="14.25" customHeight="1">
      <c r="A976">
        <v>2542</v>
      </c>
      <c r="B976">
        <v>0</v>
      </c>
      <c r="C976">
        <v>0</v>
      </c>
      <c r="E976">
        <v>0.5</v>
      </c>
      <c r="F976">
        <v>6</v>
      </c>
      <c r="G976" s="1" t="s">
        <v>892</v>
      </c>
      <c r="H976" s="16" t="s">
        <v>3608</v>
      </c>
      <c r="I976" s="16" t="s">
        <v>4479</v>
      </c>
      <c r="J976" t="str">
        <f>IF(LEN(VLOOKUP(表1[[#This Row],[id]],数据引用!A:C,3,FALSE))&gt;0,VLOOKUP(表1[[#This Row],[id]],数据引用!A:C,3,FALSE),"")</f>
        <v>商店地面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font-size:12;"&gt;商店地面&lt;/text&gt;&lt;text transform="matrix(1 0 0 1 0 10.3205)" style="fill:#FFFFFF; font-family:'FZXS12--GB1-0'; font-size:12;"&gt;商店地面&lt;/text&gt;&lt;/svg&gt;</v>
      </c>
      <c r="P976" s="5" t="s">
        <v>1282</v>
      </c>
    </row>
    <row r="977" spans="1:16" ht="14.25" customHeight="1">
      <c r="A977">
        <v>2543</v>
      </c>
      <c r="B977">
        <v>0</v>
      </c>
      <c r="C977">
        <v>0</v>
      </c>
      <c r="E977">
        <v>0.5</v>
      </c>
      <c r="F977">
        <v>6</v>
      </c>
      <c r="G977" s="1" t="s">
        <v>893</v>
      </c>
      <c r="H977" s="16" t="s">
        <v>3609</v>
      </c>
      <c r="I977" s="16" t="s">
        <v>4480</v>
      </c>
      <c r="J977" t="str">
        <f>IF(LEN(VLOOKUP(表1[[#This Row],[id]],数据引用!A:C,3,FALSE))&gt;0,VLOOKUP(表1[[#This Row],[id]],数据引用!A:C,3,FALSE),"")</f>
        <v>水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font-size:12;"&gt;水&lt;/text&gt;&lt;text transform="matrix(1 0 0 1 0 10.3205)" style="fill:#FFFFFF; font-family:'FZXS12--GB1-0'; font-size:12;"&gt;水&lt;/text&gt;&lt;/svg&gt;</v>
      </c>
      <c r="P977" s="5" t="s">
        <v>1282</v>
      </c>
    </row>
    <row r="978" spans="1:16" ht="14.25" customHeight="1">
      <c r="A978">
        <v>2544</v>
      </c>
      <c r="B978">
        <v>0</v>
      </c>
      <c r="C978">
        <v>0</v>
      </c>
      <c r="E978">
        <v>0.5</v>
      </c>
      <c r="F978">
        <v>6</v>
      </c>
      <c r="G978" s="1" t="s">
        <v>894</v>
      </c>
      <c r="H978" s="16" t="s">
        <v>3610</v>
      </c>
      <c r="I978" s="16" t="s">
        <v>4481</v>
      </c>
      <c r="J978" t="str">
        <f>IF(LEN(VLOOKUP(表1[[#This Row],[id]],数据引用!A:C,3,FALSE))&gt;0,VLOOKUP(表1[[#This Row],[id]],数据引用!A:C,3,FALSE),"")</f>
        <v>沥青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font-size:12;"&gt;沥青&lt;/text&gt;&lt;text transform="matrix(1 0 0 1 0 10.3205)" style="fill:#FFFFFF; font-family:'FZXS12--GB1-0'; font-size:12;"&gt;沥青&lt;/text&gt;&lt;/svg&gt;</v>
      </c>
      <c r="P978" s="5" t="s">
        <v>1282</v>
      </c>
    </row>
    <row r="979" spans="1:16" ht="14.25" customHeight="1">
      <c r="A979">
        <v>2545</v>
      </c>
      <c r="B979">
        <v>0</v>
      </c>
      <c r="C979">
        <v>0</v>
      </c>
      <c r="E979">
        <v>0.5</v>
      </c>
      <c r="F979">
        <v>6</v>
      </c>
      <c r="G979" s="1" t="s">
        <v>895</v>
      </c>
      <c r="H979" s="16" t="s">
        <v>3611</v>
      </c>
      <c r="I979" s="16" t="s">
        <v>4482</v>
      </c>
      <c r="J979" t="str">
        <f>IF(LEN(VLOOKUP(表1[[#This Row],[id]],数据引用!A:C,3,FALSE))&gt;0,VLOOKUP(表1[[#This Row],[id]],数据引用!A:C,3,FALSE),"")</f>
        <v>热煤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979" s="5" t="s">
        <v>1282</v>
      </c>
    </row>
    <row r="980" spans="1:16" ht="14.25" customHeight="1">
      <c r="A980">
        <v>2546</v>
      </c>
      <c r="B980">
        <v>0</v>
      </c>
      <c r="C980">
        <v>0</v>
      </c>
      <c r="E980">
        <v>0.5</v>
      </c>
      <c r="F980">
        <v>6</v>
      </c>
      <c r="G980" s="1" t="s">
        <v>896</v>
      </c>
      <c r="H980" s="16" t="s">
        <v>3612</v>
      </c>
      <c r="I980" s="16" t="s">
        <v>4483</v>
      </c>
      <c r="J980" t="str">
        <f>IF(LEN(VLOOKUP(表1[[#This Row],[id]],数据引用!A:C,3,FALSE))&gt;0,VLOOKUP(表1[[#This Row],[id]],数据引用!A:C,3,FALSE),"")</f>
        <v>冰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font-size:12;"&gt;冰&lt;/text&gt;&lt;text transform="matrix(1 0 0 1 0 10.3205)" style="fill:#FFFFFF; font-family:'FZXS12--GB1-0'; font-size:12;"&gt;冰&lt;/text&gt;&lt;/svg&gt;</v>
      </c>
      <c r="P980" s="5" t="s">
        <v>1282</v>
      </c>
    </row>
    <row r="981" spans="1:16" ht="14.25" customHeight="1">
      <c r="A981">
        <v>2547</v>
      </c>
      <c r="B981">
        <v>0</v>
      </c>
      <c r="C981">
        <v>0</v>
      </c>
      <c r="E981">
        <v>0.5</v>
      </c>
      <c r="F981">
        <v>6</v>
      </c>
      <c r="G981" s="1" t="s">
        <v>897</v>
      </c>
      <c r="H981" s="16" t="s">
        <v>3613</v>
      </c>
      <c r="I981" s="16" t="s">
        <v>4484</v>
      </c>
      <c r="J981" t="str">
        <f>IF(LEN(VLOOKUP(表1[[#This Row],[id]],数据引用!A:C,3,FALSE))&gt;0,VLOOKUP(表1[[#This Row],[id]],数据引用!A:C,3,FALSE),"")</f>
        <v>软泥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font-size:12;"&gt;软泥&lt;/text&gt;&lt;text transform="matrix(1 0 0 1 0 10.3205)" style="fill:#FFFFFF; font-family:'FZXS12--GB1-0'; font-size:12;"&gt;软泥&lt;/text&gt;&lt;/svg&gt;</v>
      </c>
      <c r="P981" s="5" t="s">
        <v>1282</v>
      </c>
    </row>
    <row r="982" spans="1:16" ht="14.25" customHeight="1">
      <c r="A982">
        <v>2548</v>
      </c>
      <c r="B982">
        <v>0</v>
      </c>
      <c r="C982">
        <v>0</v>
      </c>
      <c r="E982">
        <v>0.5</v>
      </c>
      <c r="F982">
        <v>6</v>
      </c>
      <c r="G982" s="1" t="s">
        <v>898</v>
      </c>
      <c r="H982" s="16" t="s">
        <v>3614</v>
      </c>
      <c r="I982" s="16" t="s">
        <v>4485</v>
      </c>
      <c r="J982" t="str">
        <f>IF(LEN(VLOOKUP(表1[[#This Row],[id]],数据引用!A:C,3,FALSE))&gt;0,VLOOKUP(表1[[#This Row],[id]],数据引用!A:C,3,FALSE),"")</f>
        <v>楼梯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font-size:12;"&gt;楼梯&lt;/text&gt;&lt;text transform="matrix(1 0 0 1 0 10.3205)" style="fill:#FFFFFF; font-family:'FZXS12--GB1-0'; font-size:12;"&gt;楼梯&lt;/text&gt;&lt;/svg&gt;</v>
      </c>
      <c r="P982" s="5" t="s">
        <v>1282</v>
      </c>
    </row>
    <row r="983" spans="1:16" ht="14.25" customHeight="1">
      <c r="A983">
        <v>2549</v>
      </c>
      <c r="B983">
        <v>0</v>
      </c>
      <c r="C983">
        <v>0</v>
      </c>
      <c r="E983">
        <v>0.5</v>
      </c>
      <c r="F983">
        <v>6</v>
      </c>
      <c r="G983" s="1" t="s">
        <v>899</v>
      </c>
      <c r="H983" s="16" t="s">
        <v>3615</v>
      </c>
      <c r="I983" s="16" t="s">
        <v>4486</v>
      </c>
      <c r="J983" t="str">
        <f>IF(LEN(VLOOKUP(表1[[#This Row],[id]],数据引用!A:C,3,FALSE))&gt;0,VLOOKUP(表1[[#This Row],[id]],数据引用!A:C,3,FALSE),"")</f>
        <v>泥墙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font-size:12;"&gt;泥墙&lt;/text&gt;&lt;text transform="matrix(1 0 0 1 0 10.3205)" style="fill:#FFFFFF; font-family:'FZXS12--GB1-0'; font-size:12;"&gt;泥墙&lt;/text&gt;&lt;/svg&gt;</v>
      </c>
      <c r="P983" s="5" t="s">
        <v>1282</v>
      </c>
    </row>
    <row r="984" spans="1:16" ht="14.25" customHeight="1">
      <c r="A984">
        <v>2550</v>
      </c>
      <c r="B984">
        <v>0</v>
      </c>
      <c r="C984">
        <v>0</v>
      </c>
      <c r="E984">
        <v>0.5</v>
      </c>
      <c r="F984">
        <v>6</v>
      </c>
      <c r="G984" s="1" t="s">
        <v>839</v>
      </c>
      <c r="H984" s="16" t="s">
        <v>3616</v>
      </c>
      <c r="I984" s="16" t="s">
        <v>4487</v>
      </c>
      <c r="J984" t="str">
        <f>IF(LEN(VLOOKUP(表1[[#This Row],[id]],数据引用!A:C,3,FALSE))&gt;0,VLOOKUP(表1[[#This Row],[id]],数据引用!A:C,3,FALSE),"")</f>
        <v>返回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84" s="5" t="s">
        <v>1282</v>
      </c>
    </row>
    <row r="985" spans="1:16" ht="14.25" customHeight="1">
      <c r="A985">
        <v>2551</v>
      </c>
      <c r="B985">
        <v>0</v>
      </c>
      <c r="C985">
        <v>0</v>
      </c>
      <c r="E985">
        <v>0.5</v>
      </c>
      <c r="F985">
        <v>6</v>
      </c>
      <c r="G985" s="1" t="s">
        <v>900</v>
      </c>
      <c r="H985" s="16" t="s">
        <v>3617</v>
      </c>
      <c r="I985" s="16" t="s">
        <v>4488</v>
      </c>
      <c r="J985" t="str">
        <f>IF(LEN(VLOOKUP(表1[[#This Row],[id]],数据引用!A:C,3,FALSE))&gt;0,VLOOKUP(表1[[#This Row],[id]],数据引用!A:C,3,FALSE),"")</f>
        <v>石墙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font-size:12;"&gt;石墙&lt;/text&gt;&lt;text transform="matrix(1 0 0 1 0 10.3205)" style="fill:#FFFFFF; font-family:'FZXS12--GB1-0'; font-size:12;"&gt;石墙&lt;/text&gt;&lt;/svg&gt;</v>
      </c>
      <c r="P985" s="5" t="s">
        <v>1282</v>
      </c>
    </row>
    <row r="986" spans="1:16" ht="14.25" customHeight="1">
      <c r="A986">
        <v>2552</v>
      </c>
      <c r="B986">
        <v>0</v>
      </c>
      <c r="C986">
        <v>0</v>
      </c>
      <c r="E986">
        <v>0.5</v>
      </c>
      <c r="F986">
        <v>6</v>
      </c>
      <c r="G986" s="1" t="s">
        <v>901</v>
      </c>
      <c r="H986" s="16" t="s">
        <v>3618</v>
      </c>
      <c r="I986" s="16" t="s">
        <v>4489</v>
      </c>
      <c r="J986" t="str">
        <f>IF(LEN(VLOOKUP(表1[[#This Row],[id]],数据引用!A:C,3,FALSE))&gt;0,VLOOKUP(表1[[#This Row],[id]],数据引用!A:C,3,FALSE),"")</f>
        <v>墓墙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font-size:12;"&gt;墓墙&lt;/text&gt;&lt;text transform="matrix(1 0 0 1 0 10.3205)" style="fill:#FFFFFF; font-family:'FZXS12--GB1-0'; font-size:12;"&gt;墓墙&lt;/text&gt;&lt;/svg&gt;</v>
      </c>
      <c r="P986" s="5" t="s">
        <v>1282</v>
      </c>
    </row>
    <row r="987" spans="1:16" ht="14.25" customHeight="1">
      <c r="A987">
        <v>2553</v>
      </c>
      <c r="B987">
        <v>0</v>
      </c>
      <c r="C987">
        <v>0</v>
      </c>
      <c r="E987">
        <v>0.5</v>
      </c>
      <c r="F987">
        <v>6</v>
      </c>
      <c r="G987" s="1" t="s">
        <v>902</v>
      </c>
      <c r="H987" s="16" t="s">
        <v>3619</v>
      </c>
      <c r="I987" s="16" t="s">
        <v>4490</v>
      </c>
      <c r="J987" t="str">
        <f>IF(LEN(VLOOKUP(表1[[#This Row],[id]],数据引用!A:C,3,FALSE))&gt;0,VLOOKUP(表1[[#This Row],[id]],数据引用!A:C,3,FALSE),"")</f>
        <v>商店墙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font-size:12;"&gt;商店墙&lt;/text&gt;&lt;text transform="matrix(1 0 0 1 0 10.3205)" style="fill:#FFFFFF; font-family:'FZXS12--GB1-0'; font-size:12;"&gt;商店墙&lt;/text&gt;&lt;/svg&gt;</v>
      </c>
      <c r="P987" s="5" t="s">
        <v>1282</v>
      </c>
    </row>
    <row r="988" spans="1:16" ht="14.25" customHeight="1">
      <c r="A988">
        <v>2554</v>
      </c>
      <c r="B988">
        <v>0</v>
      </c>
      <c r="C988">
        <v>0</v>
      </c>
      <c r="E988">
        <v>0.5</v>
      </c>
      <c r="F988">
        <v>6</v>
      </c>
      <c r="G988" s="1" t="s">
        <v>903</v>
      </c>
      <c r="H988" s="16" t="s">
        <v>3620</v>
      </c>
      <c r="I988" s="16" t="s">
        <v>4491</v>
      </c>
      <c r="J988" t="str">
        <f>IF(LEN(VLOOKUP(表1[[#This Row],[id]],数据引用!A:C,3,FALSE))&gt;0,VLOOKUP(表1[[#This Row],[id]],数据引用!A:C,3,FALSE),"")</f>
        <v>无法破坏的墙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font-size:12;"&gt;无法破坏的墙&lt;/text&gt;&lt;text transform="matrix(1 0 0 1 0 10.3205)" style="fill:#FFFFFF; font-family:'FZXS12--GB1-0'; font-size:12;"&gt;无法破坏的墙&lt;/text&gt;&lt;/svg&gt;</v>
      </c>
      <c r="P988" s="5" t="s">
        <v>1282</v>
      </c>
    </row>
    <row r="989" spans="1:16" ht="14.25" customHeight="1">
      <c r="A989">
        <v>2555</v>
      </c>
      <c r="B989">
        <v>0</v>
      </c>
      <c r="C989">
        <v>0</v>
      </c>
      <c r="E989">
        <v>0.5</v>
      </c>
      <c r="F989">
        <v>6</v>
      </c>
      <c r="G989" s="1" t="s">
        <v>904</v>
      </c>
      <c r="H989" s="16" t="s">
        <v>3621</v>
      </c>
      <c r="I989" s="16" t="s">
        <v>4492</v>
      </c>
      <c r="J989" t="str">
        <f>IF(LEN(VLOOKUP(表1[[#This Row],[id]],数据引用!A:C,3,FALSE))&gt;0,VLOOKUP(表1[[#This Row],[id]],数据引用!A:C,3,FALSE),"")</f>
        <v>门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font-size:12;"&gt;门&lt;/text&gt;&lt;text transform="matrix(1 0 0 1 0 10.3205)" style="fill:#FFFFFF; font-family:'FZXS12--GB1-0'; font-size:12;"&gt;门&lt;/text&gt;&lt;/svg&gt;</v>
      </c>
      <c r="P989" s="5" t="s">
        <v>1282</v>
      </c>
    </row>
    <row r="990" spans="1:16" ht="14.25" customHeight="1">
      <c r="A990">
        <v>2556</v>
      </c>
      <c r="B990">
        <v>0</v>
      </c>
      <c r="C990">
        <v>0</v>
      </c>
      <c r="E990">
        <v>0.5</v>
      </c>
      <c r="F990">
        <v>6</v>
      </c>
      <c r="G990" s="1" t="s">
        <v>905</v>
      </c>
      <c r="H990" s="16" t="s">
        <v>3622</v>
      </c>
      <c r="I990" s="16" t="s">
        <v>4493</v>
      </c>
      <c r="J990" t="str">
        <f>IF(LEN(VLOOKUP(表1[[#This Row],[id]],数据引用!A:C,3,FALSE))&gt;0,VLOOKUP(表1[[#This Row],[id]],数据引用!A:C,3,FALSE),"")</f>
        <v>金属门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font-size:12;"&gt;金属门&lt;/text&gt;&lt;text transform="matrix(1 0 0 1 0 10.3205)" style="fill:#FFFFFF; font-family:'FZXS12--GB1-0'; font-size:12;"&gt;金属门&lt;/text&gt;&lt;/svg&gt;</v>
      </c>
      <c r="P990" s="5" t="s">
        <v>1282</v>
      </c>
    </row>
    <row r="991" spans="1:16" ht="14.25" customHeight="1">
      <c r="A991">
        <v>2557</v>
      </c>
      <c r="B991">
        <v>0</v>
      </c>
      <c r="C991">
        <v>0</v>
      </c>
      <c r="E991">
        <v>0.5</v>
      </c>
      <c r="F991">
        <v>6</v>
      </c>
      <c r="G991" s="1" t="s">
        <v>906</v>
      </c>
      <c r="H991" s="16" t="s">
        <v>3623</v>
      </c>
      <c r="I991" s="16" t="s">
        <v>4494</v>
      </c>
      <c r="J991" t="str">
        <f>IF(LEN(VLOOKUP(表1[[#This Row],[id]],数据引用!A:C,3,FALSE))&gt;0,VLOOKUP(表1[[#This Row],[id]],数据引用!A:C,3,FALSE),"")</f>
        <v>锁住的门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font-size:12;"&gt;锁住的门&lt;/text&gt;&lt;text transform="matrix(1 0 0 1 0 10.3205)" style="fill:#FFFFFF; font-family:'FZXS12--GB1-0'; font-size:12;"&gt;锁住的门&lt;/text&gt;&lt;/svg&gt;</v>
      </c>
      <c r="P991" s="5" t="s">
        <v>1282</v>
      </c>
    </row>
    <row r="992" spans="1:16" ht="14.25" customHeight="1">
      <c r="A992">
        <v>2558</v>
      </c>
      <c r="B992">
        <v>0</v>
      </c>
      <c r="C992">
        <v>0</v>
      </c>
      <c r="E992">
        <v>0.5</v>
      </c>
      <c r="F992">
        <v>6</v>
      </c>
      <c r="G992" s="1" t="s">
        <v>763</v>
      </c>
      <c r="H992" s="16" t="s">
        <v>3624</v>
      </c>
      <c r="I992" s="16" t="s">
        <v>4495</v>
      </c>
      <c r="J992" t="str">
        <f>IF(LEN(VLOOKUP(表1[[#This Row],[id]],数据引用!A:C,3,FALSE))&gt;0,VLOOKUP(表1[[#This Row],[id]],数据引用!A:C,3,FALSE),"")</f>
        <v>区域1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992" s="5" t="s">
        <v>1282</v>
      </c>
    </row>
    <row r="993" spans="1:16" ht="14.25" customHeight="1">
      <c r="A993">
        <v>2559</v>
      </c>
      <c r="B993">
        <v>0</v>
      </c>
      <c r="C993">
        <v>0</v>
      </c>
      <c r="E993">
        <v>0.5</v>
      </c>
      <c r="F993">
        <v>6</v>
      </c>
      <c r="G993" s="1" t="s">
        <v>764</v>
      </c>
      <c r="H993" s="16" t="s">
        <v>3625</v>
      </c>
      <c r="I993" s="16" t="s">
        <v>4496</v>
      </c>
      <c r="J993" t="str">
        <f>IF(LEN(VLOOKUP(表1[[#This Row],[id]],数据引用!A:C,3,FALSE))&gt;0,VLOOKUP(表1[[#This Row],[id]],数据引用!A:C,3,FALSE),"")</f>
        <v>区域2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993" s="5" t="s">
        <v>1282</v>
      </c>
    </row>
    <row r="994" spans="1:16" ht="14.25" customHeight="1">
      <c r="A994">
        <v>2560</v>
      </c>
      <c r="B994">
        <v>0</v>
      </c>
      <c r="C994">
        <v>0</v>
      </c>
      <c r="E994">
        <v>0.5</v>
      </c>
      <c r="F994">
        <v>6</v>
      </c>
      <c r="G994" s="1" t="s">
        <v>907</v>
      </c>
      <c r="H994" s="16" t="s">
        <v>3626</v>
      </c>
      <c r="I994" s="16" t="s">
        <v>4497</v>
      </c>
      <c r="J994" t="str">
        <f>IF(LEN(VLOOKUP(表1[[#This Row],[id]],数据引用!A:C,3,FALSE))&gt;0,VLOOKUP(表1[[#This Row],[id]],数据引用!A:C,3,FALSE),"")</f>
        <v>区域3-炎热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font-size:12;"&gt;区域3-炎热&lt;/text&gt;&lt;text transform="matrix(1 0 0 1 0 10.3205)" style="fill:#FFFFFF; font-family:'FZXS12--GB1-0'; font-size:12;"&gt;区域3-炎热&lt;/text&gt;&lt;/svg&gt;</v>
      </c>
      <c r="P994" s="5" t="s">
        <v>1282</v>
      </c>
    </row>
    <row r="995" spans="1:16" ht="14.25" customHeight="1">
      <c r="A995">
        <v>2561</v>
      </c>
      <c r="B995">
        <v>0</v>
      </c>
      <c r="C995">
        <v>0</v>
      </c>
      <c r="E995">
        <v>0.5</v>
      </c>
      <c r="F995">
        <v>6</v>
      </c>
      <c r="G995" s="1" t="s">
        <v>908</v>
      </c>
      <c r="H995" s="16" t="s">
        <v>3627</v>
      </c>
      <c r="I995" s="16" t="s">
        <v>4498</v>
      </c>
      <c r="J995" t="str">
        <f>IF(LEN(VLOOKUP(表1[[#This Row],[id]],数据引用!A:C,3,FALSE))&gt;0,VLOOKUP(表1[[#This Row],[id]],数据引用!A:C,3,FALSE),"")</f>
        <v>区域3-寒冷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font-size:12;"&gt;区域3-寒冷&lt;/text&gt;&lt;text transform="matrix(1 0 0 1 0 10.3205)" style="fill:#FFFFFF; font-family:'FZXS12--GB1-0'; font-size:12;"&gt;区域3-寒冷&lt;/text&gt;&lt;/svg&gt;</v>
      </c>
      <c r="P995" s="5" t="s">
        <v>1282</v>
      </c>
    </row>
    <row r="996" spans="1:16" ht="14.25" customHeight="1">
      <c r="A996">
        <v>2562</v>
      </c>
      <c r="B996">
        <v>0</v>
      </c>
      <c r="C996">
        <v>0</v>
      </c>
      <c r="E996">
        <v>0.5</v>
      </c>
      <c r="F996">
        <v>6</v>
      </c>
      <c r="G996" s="1" t="s">
        <v>766</v>
      </c>
      <c r="H996" s="16" t="s">
        <v>3628</v>
      </c>
      <c r="I996" s="16" t="s">
        <v>4499</v>
      </c>
      <c r="J996" t="str">
        <f>IF(LEN(VLOOKUP(表1[[#This Row],[id]],数据引用!A:C,3,FALSE))&gt;0,VLOOKUP(表1[[#This Row],[id]],数据引用!A:C,3,FALSE),"")</f>
        <v>区域4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996" s="5" t="s">
        <v>1282</v>
      </c>
    </row>
    <row r="997" spans="1:16" ht="14.25" customHeight="1">
      <c r="A997">
        <v>2563</v>
      </c>
      <c r="B997">
        <v>0</v>
      </c>
      <c r="C997">
        <v>0</v>
      </c>
      <c r="E997">
        <v>0.5</v>
      </c>
      <c r="F997">
        <v>6</v>
      </c>
      <c r="G997" s="1" t="s">
        <v>909</v>
      </c>
      <c r="H997" s="16" t="s">
        <v>3629</v>
      </c>
      <c r="I997" s="16" t="s">
        <v>4500</v>
      </c>
      <c r="J997" t="str">
        <f>IF(LEN(VLOOKUP(表1[[#This Row],[id]],数据引用!A:C,3,FALSE))&gt;0,VLOOKUP(表1[[#This Row],[id]],数据引用!A:C,3,FALSE),"")</f>
        <v>BOSS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font-size:12;"&gt;BOSS&lt;/text&gt;&lt;text transform="matrix(1 0 0 1 0 10.3205)" style="fill:#FFFFFF; font-family:'FZXS12--GB1-0'; font-size:12;"&gt;BOSS&lt;/text&gt;&lt;/svg&gt;</v>
      </c>
      <c r="P997" s="5" t="s">
        <v>1282</v>
      </c>
    </row>
    <row r="998" spans="1:16" ht="14.25" customHeight="1">
      <c r="A998">
        <v>2564</v>
      </c>
      <c r="B998">
        <v>0</v>
      </c>
      <c r="C998">
        <v>0</v>
      </c>
      <c r="E998">
        <v>0.5</v>
      </c>
      <c r="F998">
        <v>6</v>
      </c>
      <c r="G998" s="1" t="s">
        <v>910</v>
      </c>
      <c r="H998" s="16" t="s">
        <v>3630</v>
      </c>
      <c r="I998" s="16" t="s">
        <v>4501</v>
      </c>
      <c r="J998" t="str">
        <f>IF(LEN(VLOOKUP(表1[[#This Row],[id]],数据引用!A:C,3,FALSE))&gt;0,VLOOKUP(表1[[#This Row],[id]],数据引用!A:C,3,FALSE),"")</f>
        <v>上一页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98" s="5" t="s">
        <v>1282</v>
      </c>
    </row>
    <row r="999" spans="1:16" ht="14.25" customHeight="1">
      <c r="A999">
        <v>2565</v>
      </c>
      <c r="B999">
        <v>0</v>
      </c>
      <c r="C999">
        <v>0</v>
      </c>
      <c r="E999">
        <v>0.5</v>
      </c>
      <c r="F999">
        <v>6</v>
      </c>
      <c r="G999" s="1" t="s">
        <v>665</v>
      </c>
      <c r="H999" s="16" t="s">
        <v>3631</v>
      </c>
      <c r="I999" s="16" t="s">
        <v>4502</v>
      </c>
      <c r="J999" t="str">
        <f>IF(LEN(VLOOKUP(表1[[#This Row],[id]],数据引用!A:C,3,FALSE))&gt;0,VLOOKUP(表1[[#This Row],[id]],数据引用!A:C,3,FALSE),"")</f>
        <v>下一页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99" s="5" t="s">
        <v>1282</v>
      </c>
    </row>
    <row r="1000" spans="1:16" ht="14.25" customHeight="1">
      <c r="A1000">
        <v>2566</v>
      </c>
      <c r="B1000">
        <v>0</v>
      </c>
      <c r="C1000">
        <v>0</v>
      </c>
      <c r="E1000">
        <v>0.5</v>
      </c>
      <c r="F1000">
        <v>6</v>
      </c>
      <c r="G1000" s="1" t="s">
        <v>911</v>
      </c>
      <c r="H1000" s="16" t="s">
        <v>3632</v>
      </c>
      <c r="I1000" s="16" t="s">
        <v>4503</v>
      </c>
      <c r="J1000" t="str">
        <f>IF(LEN(VLOOKUP(表1[[#This Row],[id]],数据引用!A:C,3,FALSE))&gt;0,VLOOKUP(表1[[#This Row],[id]],数据引用!A:C,3,FALSE),"")</f>
        <v>跳跃陷阱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font-size:12;"&gt;跳跃陷阱&lt;/text&gt;&lt;text transform="matrix(1 0 0 1 0 10.3205)" style="fill:#FFFFFF; font-family:'FZXS12--GB1-0'; font-size:12;"&gt;跳跃陷阱&lt;/text&gt;&lt;/svg&gt;</v>
      </c>
      <c r="P1000" s="5" t="s">
        <v>1282</v>
      </c>
    </row>
    <row r="1001" spans="1:16" ht="14.25" customHeight="1">
      <c r="A1001">
        <v>2567</v>
      </c>
      <c r="B1001">
        <v>0</v>
      </c>
      <c r="C1001">
        <v>0</v>
      </c>
      <c r="E1001">
        <v>0.5</v>
      </c>
      <c r="F1001">
        <v>6</v>
      </c>
      <c r="G1001" s="1" t="s">
        <v>912</v>
      </c>
      <c r="H1001" s="16" t="s">
        <v>3633</v>
      </c>
      <c r="I1001" s="16" t="s">
        <v>4504</v>
      </c>
      <c r="J1001" t="str">
        <f>IF(LEN(VLOOKUP(表1[[#This Row],[id]],数据引用!A:C,3,FALSE))&gt;0,VLOOKUP(表1[[#This Row],[id]],数据引用!A:C,3,FALSE),"")</f>
        <v>钉刺陷阱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font-size:12;"&gt;钉刺陷阱&lt;/text&gt;&lt;text transform="matrix(1 0 0 1 0 10.3205)" style="fill:#FFFFFF; font-family:'FZXS12--GB1-0'; font-size:12;"&gt;钉刺陷阱&lt;/text&gt;&lt;/svg&gt;</v>
      </c>
      <c r="P1001" s="5" t="s">
        <v>1282</v>
      </c>
    </row>
    <row r="1002" spans="1:16" ht="14.25" customHeight="1">
      <c r="A1002">
        <v>2568</v>
      </c>
      <c r="B1002">
        <v>0</v>
      </c>
      <c r="C1002">
        <v>0</v>
      </c>
      <c r="E1002">
        <v>0.5</v>
      </c>
      <c r="F1002">
        <v>6</v>
      </c>
      <c r="G1002" s="1" t="s">
        <v>913</v>
      </c>
      <c r="H1002" s="16" t="s">
        <v>3634</v>
      </c>
      <c r="I1002" s="16" t="s">
        <v>4505</v>
      </c>
      <c r="J1002" t="str">
        <f>IF(LEN(VLOOKUP(表1[[#This Row],[id]],数据引用!A:C,3,FALSE))&gt;0,VLOOKUP(表1[[#This Row],[id]],数据引用!A:C,3,FALSE),"")</f>
        <v>陷门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font-size:12;"&gt;陷门&lt;/text&gt;&lt;text transform="matrix(1 0 0 1 0 10.3205)" style="fill:#FFFFFF; font-family:'FZXS12--GB1-0'; font-size:12;"&gt;陷门&lt;/text&gt;&lt;/svg&gt;</v>
      </c>
      <c r="P1002" s="5" t="s">
        <v>1282</v>
      </c>
    </row>
    <row r="1003" spans="1:16" ht="14.25" customHeight="1">
      <c r="A1003">
        <v>2569</v>
      </c>
      <c r="B1003">
        <v>0</v>
      </c>
      <c r="C1003">
        <v>0</v>
      </c>
      <c r="E1003">
        <v>0.5</v>
      </c>
      <c r="F1003">
        <v>6</v>
      </c>
      <c r="G1003" s="1" t="s">
        <v>914</v>
      </c>
      <c r="H1003" s="16" t="s">
        <v>3635</v>
      </c>
      <c r="I1003" s="16" t="s">
        <v>4506</v>
      </c>
      <c r="J1003" t="str">
        <f>IF(LEN(VLOOKUP(表1[[#This Row],[id]],数据引用!A:C,3,FALSE))&gt;0,VLOOKUP(表1[[#This Row],[id]],数据引用!A:C,3,FALSE),"")</f>
        <v>迷惑陷阱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font-size:12;"&gt;迷惑陷阱&lt;/text&gt;&lt;text transform="matrix(1 0 0 1 0 10.3205)" style="fill:#FFFFFF; font-family:'FZXS12--GB1-0'; font-size:12;"&gt;迷惑陷阱&lt;/text&gt;&lt;/svg&gt;</v>
      </c>
      <c r="P1003" s="5" t="s">
        <v>1282</v>
      </c>
    </row>
    <row r="1004" spans="1:16" ht="14.25" customHeight="1">
      <c r="A1004">
        <v>2570</v>
      </c>
      <c r="B1004">
        <v>0</v>
      </c>
      <c r="C1004">
        <v>0</v>
      </c>
      <c r="E1004">
        <v>0.5</v>
      </c>
      <c r="F1004">
        <v>6</v>
      </c>
      <c r="G1004" s="1" t="s">
        <v>915</v>
      </c>
      <c r="H1004" s="16" t="s">
        <v>3636</v>
      </c>
      <c r="I1004" s="16" t="s">
        <v>4507</v>
      </c>
      <c r="J1004" t="str">
        <f>IF(LEN(VLOOKUP(表1[[#This Row],[id]],数据引用!A:C,3,FALSE))&gt;0,VLOOKUP(表1[[#This Row],[id]],数据引用!A:C,3,FALSE),"")</f>
        <v>传送陷阱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font-size:12;"&gt;传送陷阱&lt;/text&gt;&lt;text transform="matrix(1 0 0 1 0 10.3205)" style="fill:#FFFFFF; font-family:'FZXS12--GB1-0'; font-size:12;"&gt;传送陷阱&lt;/text&gt;&lt;/svg&gt;</v>
      </c>
      <c r="P1004" s="5" t="s">
        <v>1282</v>
      </c>
    </row>
    <row r="1005" spans="1:16" ht="14.25" customHeight="1">
      <c r="A1005">
        <v>2571</v>
      </c>
      <c r="B1005">
        <v>0</v>
      </c>
      <c r="C1005">
        <v>0</v>
      </c>
      <c r="E1005">
        <v>0.5</v>
      </c>
      <c r="F1005">
        <v>6</v>
      </c>
      <c r="G1005" s="1" t="s">
        <v>916</v>
      </c>
      <c r="H1005" s="16" t="s">
        <v>3637</v>
      </c>
      <c r="I1005" s="16" t="s">
        <v>4508</v>
      </c>
      <c r="J1005" t="str">
        <f>IF(LEN(VLOOKUP(表1[[#This Row],[id]],数据引用!A:C,3,FALSE))&gt;0,VLOOKUP(表1[[#This Row],[id]],数据引用!A:C,3,FALSE),"")</f>
        <v>变速陷阱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font-size:12;"&gt;变速陷阱&lt;/text&gt;&lt;text transform="matrix(1 0 0 1 0 10.3205)" style="fill:#FFFFFF; font-family:'FZXS12--GB1-0'; font-size:12;"&gt;变速陷阱&lt;/text&gt;&lt;/svg&gt;</v>
      </c>
      <c r="P1005" s="5" t="s">
        <v>1282</v>
      </c>
    </row>
    <row r="1006" spans="1:16" ht="14.25" customHeight="1">
      <c r="A1006">
        <v>2572</v>
      </c>
      <c r="B1006">
        <v>0</v>
      </c>
      <c r="C1006">
        <v>0</v>
      </c>
      <c r="E1006">
        <v>0.5</v>
      </c>
      <c r="F1006">
        <v>6</v>
      </c>
      <c r="G1006" s="1" t="s">
        <v>917</v>
      </c>
      <c r="H1006" s="16" t="s">
        <v>3638</v>
      </c>
      <c r="I1006" s="16" t="s">
        <v>4509</v>
      </c>
      <c r="J1006" t="str">
        <f>IF(LEN(VLOOKUP(表1[[#This Row],[id]],数据引用!A:C,3,FALSE))&gt;0,VLOOKUP(表1[[#This Row],[id]],数据引用!A:C,3,FALSE),"")</f>
        <v>炸弹陷阱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font-size:12;"&gt;炸弹陷阱&lt;/text&gt;&lt;text transform="matrix(1 0 0 1 0 10.3205)" style="fill:#FFFFFF; font-family:'FZXS12--GB1-0'; font-size:12;"&gt;炸弹陷阱&lt;/text&gt;&lt;/svg&gt;</v>
      </c>
      <c r="P1006" s="5" t="s">
        <v>1282</v>
      </c>
    </row>
    <row r="1007" spans="1:16" ht="14.25" customHeight="1">
      <c r="A1007">
        <v>2573</v>
      </c>
      <c r="B1007">
        <v>0</v>
      </c>
      <c r="C1007">
        <v>0</v>
      </c>
      <c r="E1007">
        <v>0.5</v>
      </c>
      <c r="F1007">
        <v>6</v>
      </c>
      <c r="G1007" s="1" t="s">
        <v>918</v>
      </c>
      <c r="H1007" s="16" t="s">
        <v>3639</v>
      </c>
      <c r="I1007" s="16" t="s">
        <v>4510</v>
      </c>
      <c r="J1007" t="str">
        <f>IF(LEN(VLOOKUP(表1[[#This Row],[id]],数据引用!A:C,3,FALSE))&gt;0,VLOOKUP(表1[[#This Row],[id]],数据引用!A:C,3,FALSE),"")</f>
        <v>火焰陷阱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font-size:12;"&gt;火焰陷阱&lt;/text&gt;&lt;text transform="matrix(1 0 0 1 0 10.3205)" style="fill:#FFFFFF; font-family:'FZXS12--GB1-0'; font-size:12;"&gt;火焰陷阱&lt;/text&gt;&lt;/svg&gt;</v>
      </c>
      <c r="P1007" s="5" t="s">
        <v>1282</v>
      </c>
    </row>
    <row r="1008" spans="1:16" ht="14.25" customHeight="1">
      <c r="A1008">
        <v>2574</v>
      </c>
      <c r="B1008">
        <v>0</v>
      </c>
      <c r="C1008">
        <v>0</v>
      </c>
      <c r="E1008">
        <v>0.5</v>
      </c>
      <c r="F1008">
        <v>6</v>
      </c>
      <c r="G1008" s="1" t="s">
        <v>919</v>
      </c>
      <c r="H1008" s="16" t="s">
        <v>3640</v>
      </c>
      <c r="I1008" s="16" t="s">
        <v>4511</v>
      </c>
      <c r="J1008" t="str">
        <f>IF(LEN(VLOOKUP(表1[[#This Row],[id]],数据引用!A:C,3,FALSE))&gt;0,VLOOKUP(表1[[#This Row],[id]],数据引用!A:C,3,FALSE),"")</f>
        <v>旅行符文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font-size:12;"&gt;旅行符文&lt;/text&gt;&lt;text transform="matrix(1 0 0 1 0 10.3205)" style="fill:#FFFFFF; font-family:'FZXS12--GB1-0'; font-size:12;"&gt;旅行符文&lt;/text&gt;&lt;/svg&gt;</v>
      </c>
      <c r="P1008" s="5" t="s">
        <v>1282</v>
      </c>
    </row>
    <row r="1009" spans="1:16" ht="14.25" customHeight="1">
      <c r="A1009">
        <v>2575</v>
      </c>
      <c r="B1009">
        <v>0</v>
      </c>
      <c r="C1009">
        <v>0</v>
      </c>
      <c r="E1009">
        <v>0.5</v>
      </c>
      <c r="F1009">
        <v>6</v>
      </c>
      <c r="G1009" s="1" t="s">
        <v>201</v>
      </c>
      <c r="H1009" s="16" t="s">
        <v>3641</v>
      </c>
      <c r="I1009" s="16" t="s">
        <v>4512</v>
      </c>
      <c r="J1009" t="str">
        <f>IF(LEN(VLOOKUP(表1[[#This Row],[id]],数据引用!A:C,3,FALSE))&gt;0,VLOOKUP(表1[[#This Row],[id]],数据引用!A:C,3,FALSE),"")</f>
        <v>鲜血圣陵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P1009" s="5" t="s">
        <v>1282</v>
      </c>
    </row>
    <row r="1010" spans="1:16" ht="14.25" customHeight="1">
      <c r="A1010">
        <v>2576</v>
      </c>
      <c r="B1010">
        <v>0</v>
      </c>
      <c r="C1010">
        <v>0</v>
      </c>
      <c r="E1010">
        <v>0.5</v>
      </c>
      <c r="F1010">
        <v>6</v>
      </c>
      <c r="G1010" s="1" t="s">
        <v>202</v>
      </c>
      <c r="H1010" s="16" t="s">
        <v>3642</v>
      </c>
      <c r="I1010" s="16" t="s">
        <v>4513</v>
      </c>
      <c r="J1010" t="str">
        <f>IF(LEN(VLOOKUP(表1[[#This Row],[id]],数据引用!A:C,3,FALSE))&gt;0,VLOOKUP(表1[[#This Row],[id]],数据引用!A:C,3,FALSE),"")</f>
        <v>黑暗圣陵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P1010" s="5" t="s">
        <v>1282</v>
      </c>
    </row>
    <row r="1011" spans="1:16" ht="14.25" customHeight="1">
      <c r="A1011">
        <v>2577</v>
      </c>
      <c r="B1011">
        <v>0</v>
      </c>
      <c r="C1011">
        <v>0</v>
      </c>
      <c r="E1011">
        <v>0.5</v>
      </c>
      <c r="F1011">
        <v>6</v>
      </c>
      <c r="G1011" s="1" t="s">
        <v>203</v>
      </c>
      <c r="H1011" s="16" t="s">
        <v>3643</v>
      </c>
      <c r="I1011" s="16" t="s">
        <v>4514</v>
      </c>
      <c r="J1011" t="str">
        <f>IF(LEN(VLOOKUP(表1[[#This Row],[id]],数据引用!A:C,3,FALSE))&gt;0,VLOOKUP(表1[[#This Row],[id]],数据引用!A:C,3,FALSE),"")</f>
        <v>玻璃圣陵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P1011" s="5" t="s">
        <v>1282</v>
      </c>
    </row>
    <row r="1012" spans="1:16" ht="14.25" customHeight="1">
      <c r="A1012">
        <v>2578</v>
      </c>
      <c r="B1012">
        <v>0</v>
      </c>
      <c r="C1012">
        <v>0</v>
      </c>
      <c r="E1012">
        <v>0.5</v>
      </c>
      <c r="F1012">
        <v>6</v>
      </c>
      <c r="G1012" s="1" t="s">
        <v>204</v>
      </c>
      <c r="H1012" s="16" t="s">
        <v>3644</v>
      </c>
      <c r="I1012" s="16" t="s">
        <v>4515</v>
      </c>
      <c r="J1012" t="str">
        <f>IF(LEN(VLOOKUP(表1[[#This Row],[id]],数据引用!A:C,3,FALSE))&gt;0,VLOOKUP(表1[[#This Row],[id]],数据引用!A:C,3,FALSE),"")</f>
        <v>和平圣陵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P1012" s="5" t="s">
        <v>1282</v>
      </c>
    </row>
    <row r="1013" spans="1:16" ht="14.25" customHeight="1">
      <c r="A1013">
        <v>2579</v>
      </c>
      <c r="B1013">
        <v>0</v>
      </c>
      <c r="C1013">
        <v>0</v>
      </c>
      <c r="E1013">
        <v>0.5</v>
      </c>
      <c r="F1013">
        <v>6</v>
      </c>
      <c r="G1013" s="1" t="s">
        <v>205</v>
      </c>
      <c r="H1013" s="16" t="s">
        <v>3645</v>
      </c>
      <c r="I1013" s="16" t="s">
        <v>4516</v>
      </c>
      <c r="J1013" t="str">
        <f>IF(LEN(VLOOKUP(表1[[#This Row],[id]],数据引用!A:C,3,FALSE))&gt;0,VLOOKUP(表1[[#This Row],[id]],数据引用!A:C,3,FALSE),"")</f>
        <v>节奏圣陵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P1013" s="5" t="s">
        <v>1282</v>
      </c>
    </row>
    <row r="1014" spans="1:16" ht="14.25" customHeight="1">
      <c r="A1014">
        <v>2580</v>
      </c>
      <c r="B1014">
        <v>0</v>
      </c>
      <c r="C1014">
        <v>0</v>
      </c>
      <c r="E1014">
        <v>0.5</v>
      </c>
      <c r="F1014">
        <v>6</v>
      </c>
      <c r="G1014" s="1" t="s">
        <v>206</v>
      </c>
      <c r="H1014" s="16" t="s">
        <v>3646</v>
      </c>
      <c r="I1014" s="16" t="s">
        <v>4517</v>
      </c>
      <c r="J1014" t="str">
        <f>IF(LEN(VLOOKUP(表1[[#This Row],[id]],数据引用!A:C,3,FALSE))&gt;0,VLOOKUP(表1[[#This Row],[id]],数据引用!A:C,3,FALSE),"")</f>
        <v>冒险圣陵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014" s="5" t="s">
        <v>1282</v>
      </c>
    </row>
    <row r="1015" spans="1:16" ht="14.25" customHeight="1">
      <c r="A1015">
        <v>2581</v>
      </c>
      <c r="B1015">
        <v>0</v>
      </c>
      <c r="C1015">
        <v>0</v>
      </c>
      <c r="E1015">
        <v>0.5</v>
      </c>
      <c r="F1015">
        <v>6</v>
      </c>
      <c r="G1015" s="1" t="s">
        <v>207</v>
      </c>
      <c r="H1015" s="16" t="s">
        <v>3647</v>
      </c>
      <c r="I1015" s="16" t="s">
        <v>4518</v>
      </c>
      <c r="J1015" t="str">
        <f>IF(LEN(VLOOKUP(表1[[#This Row],[id]],数据引用!A:C,3,FALSE))&gt;0,VLOOKUP(表1[[#This Row],[id]],数据引用!A:C,3,FALSE),"")</f>
        <v>献祭圣陵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P1015" s="5" t="s">
        <v>1282</v>
      </c>
    </row>
    <row r="1016" spans="1:16" ht="14.25" customHeight="1">
      <c r="A1016">
        <v>2582</v>
      </c>
      <c r="B1016">
        <v>0</v>
      </c>
      <c r="C1016">
        <v>0</v>
      </c>
      <c r="E1016">
        <v>0.5</v>
      </c>
      <c r="F1016">
        <v>6</v>
      </c>
      <c r="G1016" s="1" t="s">
        <v>208</v>
      </c>
      <c r="H1016" s="16" t="s">
        <v>3648</v>
      </c>
      <c r="I1016" s="16" t="s">
        <v>4519</v>
      </c>
      <c r="J1016" t="str">
        <f>IF(LEN(VLOOKUP(表1[[#This Row],[id]],数据引用!A:C,3,FALSE))&gt;0,VLOOKUP(表1[[#This Row],[id]],数据引用!A:C,3,FALSE),"")</f>
        <v>空间圣陵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P1016" s="5" t="s">
        <v>1282</v>
      </c>
    </row>
    <row r="1017" spans="1:16" ht="14.25" customHeight="1">
      <c r="A1017">
        <v>2583</v>
      </c>
      <c r="B1017">
        <v>0</v>
      </c>
      <c r="C1017">
        <v>0</v>
      </c>
      <c r="E1017">
        <v>0.5</v>
      </c>
      <c r="F1017">
        <v>6</v>
      </c>
      <c r="G1017" s="1" t="s">
        <v>209</v>
      </c>
      <c r="H1017" s="16" t="s">
        <v>3649</v>
      </c>
      <c r="I1017" s="16" t="s">
        <v>4520</v>
      </c>
      <c r="J1017" t="str">
        <f>IF(LEN(VLOOKUP(表1[[#This Row],[id]],数据引用!A:C,3,FALSE))&gt;0,VLOOKUP(表1[[#This Row],[id]],数据引用!A:C,3,FALSE),"")</f>
        <v>战争圣陵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P1017" s="5" t="s">
        <v>1282</v>
      </c>
    </row>
    <row r="1018" spans="1:16" ht="14.25" customHeight="1">
      <c r="A1018">
        <v>2584</v>
      </c>
      <c r="B1018">
        <v>0</v>
      </c>
      <c r="C1018">
        <v>0</v>
      </c>
      <c r="E1018">
        <v>0.5</v>
      </c>
      <c r="F1018">
        <v>6</v>
      </c>
      <c r="G1018" s="1" t="s">
        <v>210</v>
      </c>
      <c r="H1018" s="16" t="s">
        <v>3650</v>
      </c>
      <c r="I1018" s="16" t="s">
        <v>4521</v>
      </c>
      <c r="J1018" t="str">
        <f>IF(LEN(VLOOKUP(表1[[#This Row],[id]],数据引用!A:C,3,FALSE))&gt;0,VLOOKUP(表1[[#This Row],[id]],数据引用!A:C,3,FALSE),"")</f>
        <v>无悔圣陵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018" s="5" t="s">
        <v>1282</v>
      </c>
    </row>
    <row r="1019" spans="1:16" ht="14.25" customHeight="1">
      <c r="A1019">
        <v>2585</v>
      </c>
      <c r="B1019">
        <v>0</v>
      </c>
      <c r="C1019">
        <v>0</v>
      </c>
      <c r="E1019">
        <v>0.5</v>
      </c>
      <c r="F1019">
        <v>6</v>
      </c>
      <c r="G1019" s="1" t="s">
        <v>211</v>
      </c>
      <c r="H1019" s="16" t="s">
        <v>3651</v>
      </c>
      <c r="I1019" s="16" t="s">
        <v>4522</v>
      </c>
      <c r="J1019" t="str">
        <f>IF(LEN(VLOOKUP(表1[[#This Row],[id]],数据引用!A:C,3,FALSE))&gt;0,VLOOKUP(表1[[#This Row],[id]],数据引用!A:C,3,FALSE),"")</f>
        <v>相位圣陵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P1019" s="5" t="s">
        <v>1282</v>
      </c>
    </row>
    <row r="1020" spans="1:16" ht="14.25" customHeight="1">
      <c r="A1020">
        <v>2586</v>
      </c>
      <c r="B1020">
        <v>0</v>
      </c>
      <c r="C1020">
        <v>0</v>
      </c>
      <c r="E1020">
        <v>0.5</v>
      </c>
      <c r="F1020">
        <v>6</v>
      </c>
      <c r="G1020" s="1" t="s">
        <v>212</v>
      </c>
      <c r="H1020" s="16" t="s">
        <v>3652</v>
      </c>
      <c r="I1020" s="16" t="s">
        <v>4523</v>
      </c>
      <c r="J1020" t="str">
        <f>IF(LEN(VLOOKUP(表1[[#This Row],[id]],数据引用!A:C,3,FALSE))&gt;0,VLOOKUP(表1[[#This Row],[id]],数据引用!A:C,3,FALSE),"")</f>
        <v>步调圣陵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020" s="5" t="s">
        <v>1282</v>
      </c>
    </row>
    <row r="1021" spans="1:16" ht="14.25" customHeight="1">
      <c r="A1021">
        <v>2587</v>
      </c>
      <c r="B1021">
        <v>0</v>
      </c>
      <c r="C1021">
        <v>0</v>
      </c>
      <c r="E1021">
        <v>0.5</v>
      </c>
      <c r="F1021">
        <v>6</v>
      </c>
      <c r="G1021" s="1" t="s">
        <v>213</v>
      </c>
      <c r="H1021" s="16" t="s">
        <v>3653</v>
      </c>
      <c r="I1021" s="16" t="s">
        <v>4524</v>
      </c>
      <c r="J1021" t="str">
        <f>IF(LEN(VLOOKUP(表1[[#This Row],[id]],数据引用!A:C,3,FALSE))&gt;0,VLOOKUP(表1[[#This Row],[id]],数据引用!A:C,3,FALSE),"")</f>
        <v>机遇圣陵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P1021" s="5" t="s">
        <v>1282</v>
      </c>
    </row>
    <row r="1022" spans="1:16" ht="14.25" customHeight="1">
      <c r="A1022">
        <v>2588</v>
      </c>
      <c r="B1022">
        <v>0</v>
      </c>
      <c r="C1022">
        <v>0</v>
      </c>
      <c r="E1022">
        <v>0.5</v>
      </c>
      <c r="F1022">
        <v>6</v>
      </c>
      <c r="G1022" s="1" t="s">
        <v>920</v>
      </c>
      <c r="H1022" s="16" t="s">
        <v>3654</v>
      </c>
      <c r="I1022" s="16" t="s">
        <v>4525</v>
      </c>
      <c r="J1022" s="20" t="str">
        <f>IF(LEN(VLOOKUP(表1[[#This Row],[id]],数据引用!A:C,3,FALSE))&gt;0,VLOOKUP(表1[[#This Row],[id]],数据引用!A:C,3,FALSE),"")</f>
        <v>武器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font-size:12;"&gt;武器&lt;/text&gt;&lt;text transform="matrix(1 0 0 1 0 10.3205)" style="fill:#FFFFFF; font-family:'FZXS12--GB1-0'; font-size:12;"&gt;武器&lt;/text&gt;&lt;/svg&gt;</v>
      </c>
      <c r="P1022" s="5" t="s">
        <v>1282</v>
      </c>
    </row>
    <row r="1023" spans="1:16" ht="14.25" customHeight="1">
      <c r="A1023">
        <v>2589</v>
      </c>
      <c r="B1023">
        <v>0</v>
      </c>
      <c r="C1023">
        <v>0</v>
      </c>
      <c r="E1023">
        <v>0.5</v>
      </c>
      <c r="F1023">
        <v>6</v>
      </c>
      <c r="G1023" s="1" t="s">
        <v>921</v>
      </c>
      <c r="H1023" s="16" t="s">
        <v>3655</v>
      </c>
      <c r="I1023" s="16" t="s">
        <v>4526</v>
      </c>
      <c r="J1023" s="20" t="str">
        <f>IF(LEN(VLOOKUP(表1[[#This Row],[id]],数据引用!A:C,3,FALSE))&gt;0,VLOOKUP(表1[[#This Row],[id]],数据引用!A:C,3,FALSE),"")</f>
        <v>护甲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font-size:12;"&gt;护甲&lt;/text&gt;&lt;text transform="matrix(1 0 0 1 0 10.3205)" style="fill:#FFFFFF; font-family:'FZXS12--GB1-0'; font-size:12;"&gt;护甲&lt;/text&gt;&lt;/svg&gt;</v>
      </c>
      <c r="P1023" s="5" t="s">
        <v>1282</v>
      </c>
    </row>
    <row r="1024" spans="1:16" ht="14.25" customHeight="1">
      <c r="A1024">
        <v>2590</v>
      </c>
      <c r="B1024">
        <v>0</v>
      </c>
      <c r="C1024">
        <v>0</v>
      </c>
      <c r="E1024">
        <v>0.5</v>
      </c>
      <c r="F1024">
        <v>6</v>
      </c>
      <c r="G1024" s="1" t="s">
        <v>922</v>
      </c>
      <c r="H1024" s="16" t="s">
        <v>3656</v>
      </c>
      <c r="I1024" s="16" t="s">
        <v>4527</v>
      </c>
      <c r="J1024" s="20" t="str">
        <f>IF(LEN(VLOOKUP(表1[[#This Row],[id]],数据引用!A:C,3,FALSE))&gt;0,VLOOKUP(表1[[#This Row],[id]],数据引用!A:C,3,FALSE),"")</f>
        <v>鞋子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font-size:12;"&gt;鞋子&lt;/text&gt;&lt;text transform="matrix(1 0 0 1 0 10.3205)" style="fill:#FFFFFF; font-family:'FZXS12--GB1-0'; font-size:12;"&gt;鞋子&lt;/text&gt;&lt;/svg&gt;</v>
      </c>
      <c r="P1024" s="5" t="s">
        <v>1282</v>
      </c>
    </row>
    <row r="1025" spans="1:16" ht="14.25" customHeight="1">
      <c r="A1025">
        <v>2591</v>
      </c>
      <c r="B1025">
        <v>0</v>
      </c>
      <c r="C1025">
        <v>0</v>
      </c>
      <c r="E1025">
        <v>0.5</v>
      </c>
      <c r="F1025">
        <v>6</v>
      </c>
      <c r="G1025" s="1" t="s">
        <v>923</v>
      </c>
      <c r="H1025" s="16" t="s">
        <v>3657</v>
      </c>
      <c r="I1025" s="16" t="s">
        <v>4528</v>
      </c>
      <c r="J1025" s="20" t="str">
        <f>IF(LEN(VLOOKUP(表1[[#This Row],[id]],数据引用!A:C,3,FALSE))&gt;0,VLOOKUP(表1[[#This Row],[id]],数据引用!A:C,3,FALSE),"")</f>
        <v>头盔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1025" s="5" t="s">
        <v>1282</v>
      </c>
    </row>
    <row r="1026" spans="1:16" ht="14.25" customHeight="1">
      <c r="A1026">
        <v>2592</v>
      </c>
      <c r="B1026">
        <v>0</v>
      </c>
      <c r="C1026">
        <v>0</v>
      </c>
      <c r="E1026">
        <v>0.5</v>
      </c>
      <c r="F1026">
        <v>6</v>
      </c>
      <c r="G1026" s="1" t="s">
        <v>924</v>
      </c>
      <c r="H1026" s="16" t="s">
        <v>3658</v>
      </c>
      <c r="I1026" s="16" t="s">
        <v>4529</v>
      </c>
      <c r="J1026" s="20" t="str">
        <f>IF(LEN(VLOOKUP(表1[[#This Row],[id]],数据引用!A:C,3,FALSE))&gt;0,VLOOKUP(表1[[#This Row],[id]],数据引用!A:C,3,FALSE),"")</f>
        <v>戒指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font-size:12;"&gt;戒指&lt;/text&gt;&lt;text transform="matrix(1 0 0 1 0 10.3205)" style="fill:#FFFFFF; font-family:'FZXS12--GB1-0'; font-size:12;"&gt;戒指&lt;/text&gt;&lt;/svg&gt;</v>
      </c>
      <c r="P1026" s="5" t="s">
        <v>1282</v>
      </c>
    </row>
    <row r="1027" spans="1:16" ht="14.25" customHeight="1">
      <c r="A1027">
        <v>2593</v>
      </c>
      <c r="B1027">
        <v>0</v>
      </c>
      <c r="C1027">
        <v>0</v>
      </c>
      <c r="E1027">
        <v>0.5</v>
      </c>
      <c r="F1027">
        <v>6</v>
      </c>
      <c r="G1027" s="1" t="s">
        <v>925</v>
      </c>
      <c r="H1027" s="16" t="s">
        <v>3659</v>
      </c>
      <c r="I1027" s="16" t="s">
        <v>4530</v>
      </c>
      <c r="J1027" s="20" t="str">
        <f>IF(LEN(VLOOKUP(表1[[#This Row],[id]],数据引用!A:C,3,FALSE))&gt;0,VLOOKUP(表1[[#This Row],[id]],数据引用!A:C,3,FALSE),"")</f>
        <v>卷轴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font-size:12;"&gt;卷轴&lt;/text&gt;&lt;text transform="matrix(1 0 0 1 0 10.3205)" style="fill:#FFFFFF; font-family:'FZXS12--GB1-0'; font-size:12;"&gt;卷轴&lt;/text&gt;&lt;/svg&gt;</v>
      </c>
      <c r="P1027" s="5" t="s">
        <v>1282</v>
      </c>
    </row>
    <row r="1028" spans="1:16" ht="14.25" customHeight="1">
      <c r="A1028">
        <v>2594</v>
      </c>
      <c r="B1028">
        <v>0</v>
      </c>
      <c r="C1028">
        <v>0</v>
      </c>
      <c r="E1028">
        <v>0.5</v>
      </c>
      <c r="F1028">
        <v>6</v>
      </c>
      <c r="G1028" s="1" t="s">
        <v>926</v>
      </c>
      <c r="H1028" s="16" t="s">
        <v>3660</v>
      </c>
      <c r="I1028" s="16" t="s">
        <v>4531</v>
      </c>
      <c r="J1028" s="20" t="str">
        <f>IF(LEN(VLOOKUP(表1[[#This Row],[id]],数据引用!A:C,3,FALSE))&gt;0,VLOOKUP(表1[[#This Row],[id]],数据引用!A:C,3,FALSE),"")</f>
        <v>其他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font-size:12;"&gt;其他&lt;/text&gt;&lt;text transform="matrix(1 0 0 1 0 10.3205)" style="fill:#FFFFFF; font-family:'FZXS12--GB1-0'; font-size:12;"&gt;其他&lt;/text&gt;&lt;/svg&gt;</v>
      </c>
      <c r="P1028" s="5" t="s">
        <v>1282</v>
      </c>
    </row>
    <row r="1029" spans="1:16" ht="14.25" customHeight="1">
      <c r="A1029">
        <v>2595</v>
      </c>
      <c r="B1029">
        <v>0</v>
      </c>
      <c r="C1029">
        <v>0</v>
      </c>
      <c r="E1029">
        <v>1</v>
      </c>
      <c r="F1029">
        <v>12</v>
      </c>
      <c r="G1029" s="1" t="s">
        <v>927</v>
      </c>
      <c r="H1029" s="16" t="s">
        <v>3661</v>
      </c>
      <c r="I1029" s="18"/>
      <c r="J1029" t="str">
        <f>IF(LEN(VLOOKUP(表1[[#This Row],[id]],数据引用!A:C,3,FALSE))&gt;0,VLOOKUP(表1[[#This Row],[id]],数据引用!A:C,3,FALSE),"")</f>
        <v>输入地下城的名称</v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font-size:12;"&gt;输入地下城的名称&lt;/text&gt;&lt;text transform="matrix(1 0 0 1 0 10.3205)" style="fill:#FFFFFF; font-family:'FZXS12--GB1-0'; font-size:12;"&gt;输入地下城的名称&lt;/text&gt;&lt;/svg&gt;</v>
      </c>
      <c r="P1029" s="5"/>
    </row>
    <row r="1030" spans="1:16" ht="14.25" customHeight="1">
      <c r="A1030">
        <v>2596</v>
      </c>
      <c r="B1030">
        <v>0</v>
      </c>
      <c r="C1030">
        <v>0</v>
      </c>
      <c r="E1030">
        <v>1</v>
      </c>
      <c r="F1030">
        <v>12</v>
      </c>
      <c r="G1030" s="1" t="s">
        <v>928</v>
      </c>
      <c r="H1030" s="16" t="s">
        <v>3662</v>
      </c>
      <c r="I1030" s="18"/>
      <c r="J1030" t="str">
        <f>IF(LEN(VLOOKUP(表1[[#This Row],[id]],数据引用!A:C,3,FALSE))&gt;0,VLOOKUP(表1[[#This Row],[id]],数据引用!A:C,3,FALSE),"")</f>
        <v>不保存退出？</v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font-size:12;"&gt;不保存退出？&lt;/text&gt;&lt;text transform="matrix(1 0 0 1 0 10.3205)" style="fill:#FFFFFF; font-family:'FZXS12--GB1-0'; font-size:12;"&gt;不保存退出？&lt;/text&gt;&lt;/svg&gt;</v>
      </c>
      <c r="P1030" s="5"/>
    </row>
    <row r="1031" spans="1:16" ht="14.25" customHeight="1">
      <c r="A1031">
        <v>2597</v>
      </c>
      <c r="B1031">
        <v>0</v>
      </c>
      <c r="C1031">
        <v>0</v>
      </c>
      <c r="E1031">
        <v>1</v>
      </c>
      <c r="F1031">
        <v>12</v>
      </c>
      <c r="G1031" s="1" t="s">
        <v>929</v>
      </c>
      <c r="H1031" s="16" t="s">
        <v>3663</v>
      </c>
      <c r="I1031" s="18"/>
      <c r="J1031" t="str">
        <f>IF(LEN(VLOOKUP(表1[[#This Row],[id]],数据引用!A:C,3,FALSE))&gt;0,VLOOKUP(表1[[#This Row],[id]],数据引用!A:C,3,FALSE),"")</f>
        <v>保存并发布到STEAM workshop？</v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font-size:12;"&gt;保存并发布到STEAM workshop？&lt;/text&gt;&lt;text transform="matrix(1 0 0 1 0 10.3205)" style="fill:#FFFFFF; font-family:'FZXS12--GB1-0'; font-size:12;"&gt;保存并发布到STEAM workshop？&lt;/text&gt;&lt;/svg&gt;</v>
      </c>
      <c r="P1031" s="5"/>
    </row>
    <row r="1032" spans="1:16" ht="14.25" customHeight="1">
      <c r="A1032">
        <v>2598</v>
      </c>
      <c r="B1032">
        <v>0</v>
      </c>
      <c r="C1032">
        <v>0</v>
      </c>
      <c r="E1032">
        <v>1</v>
      </c>
      <c r="F1032">
        <v>12</v>
      </c>
      <c r="G1032" s="1" t="s">
        <v>930</v>
      </c>
      <c r="H1032" s="16" t="s">
        <v>3664</v>
      </c>
      <c r="I1032" s="18"/>
      <c r="J1032" t="str">
        <f>IF(LEN(VLOOKUP(表1[[#This Row],[id]],数据引用!A:C,3,FALSE))&gt;0,VLOOKUP(表1[[#This Row],[id]],数据引用!A:C,3,FALSE),"")</f>
        <v>（地下城制作FAQ请访问NECRODANCER.COM/WORKSHOP）</v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font-size:12;"&gt;（地下城制作FAQ请访问NECRODANCER.COM/WORKSHOP）&lt;/text&gt;&lt;text transform="matrix(1 0 0 1 0 10.3205)" style="fill:#FFFFFF; font-family:'FZXS12--GB1-0'; font-size:12;"&gt;（地下城制作FAQ请访问NECRODANCER.COM/WORKSHOP）&lt;/text&gt;&lt;/svg&gt;</v>
      </c>
      <c r="P1032" s="5"/>
    </row>
    <row r="1033" spans="1:16" ht="14.25" customHeight="1">
      <c r="A1033">
        <v>2599</v>
      </c>
      <c r="B1033">
        <v>0</v>
      </c>
      <c r="C1033">
        <v>0</v>
      </c>
      <c r="E1033">
        <v>1</v>
      </c>
      <c r="F1033">
        <v>12</v>
      </c>
      <c r="G1033" s="1" t="s">
        <v>931</v>
      </c>
      <c r="H1033" s="16" t="s">
        <v>3665</v>
      </c>
      <c r="I1033" s="18"/>
      <c r="J1033" t="str">
        <f>IF(LEN(VLOOKUP(表1[[#This Row],[id]],数据引用!A:C,3,FALSE))&gt;0,VLOOKUP(表1[[#This Row],[id]],数据引用!A:C,3,FALSE),"")</f>
        <v>加载一个新的地下城？</v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font-size:12;"&gt;加载一个新的地下城？&lt;/text&gt;&lt;text transform="matrix(1 0 0 1 0 10.3205)" style="fill:#FFFFFF; font-family:'FZXS12--GB1-0'; font-size:12;"&gt;加载一个新的地下城？&lt;/text&gt;&lt;/svg&gt;</v>
      </c>
      <c r="P1033" s="5"/>
    </row>
    <row r="1034" spans="1:16" ht="14.25" customHeight="1">
      <c r="A1034">
        <v>2600</v>
      </c>
      <c r="B1034">
        <v>0</v>
      </c>
      <c r="C1034">
        <v>0</v>
      </c>
      <c r="E1034">
        <v>1</v>
      </c>
      <c r="F1034">
        <v>12</v>
      </c>
      <c r="G1034" s="1" t="s">
        <v>932</v>
      </c>
      <c r="H1034" s="16" t="s">
        <v>3666</v>
      </c>
      <c r="I1034" s="18"/>
      <c r="J1034" t="str">
        <f>IF(LEN(VLOOKUP(表1[[#This Row],[id]],数据引用!A:C,3,FALSE))&gt;0,VLOOKUP(表1[[#This Row],[id]],数据引用!A:C,3,FALSE),"")</f>
        <v>（未保存的文件将会丢失）</v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4" s="5"/>
    </row>
    <row r="1035" spans="1:16" ht="14.25" customHeight="1">
      <c r="A1035">
        <v>2601</v>
      </c>
      <c r="B1035">
        <v>0</v>
      </c>
      <c r="C1035">
        <v>0</v>
      </c>
      <c r="E1035">
        <v>1</v>
      </c>
      <c r="F1035">
        <v>12</v>
      </c>
      <c r="G1035" s="1" t="s">
        <v>933</v>
      </c>
      <c r="H1035" s="16" t="s">
        <v>3667</v>
      </c>
      <c r="I1035" s="18"/>
      <c r="J1035" t="str">
        <f>IF(LEN(VLOOKUP(表1[[#This Row],[id]],数据引用!A:C,3,FALSE))&gt;0,VLOOKUP(表1[[#This Row],[id]],数据引用!A:C,3,FALSE),"")</f>
        <v>确定要删除这个关卡？</v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font-size:12;"&gt;确定要删除这个关卡？&lt;/text&gt;&lt;text transform="matrix(1 0 0 1 0 10.3205)" style="fill:#FFFFFF; font-family:'FZXS12--GB1-0'; font-size:12;"&gt;确定要删除这个关卡？&lt;/text&gt;&lt;/svg&gt;</v>
      </c>
      <c r="P1035" s="5"/>
    </row>
    <row r="1036" spans="1:16" ht="14.25" customHeight="1">
      <c r="A1036">
        <v>2602</v>
      </c>
      <c r="B1036">
        <v>0</v>
      </c>
      <c r="C1036">
        <v>0</v>
      </c>
      <c r="E1036">
        <v>1</v>
      </c>
      <c r="F1036">
        <v>12</v>
      </c>
      <c r="G1036" s="1" t="s">
        <v>934</v>
      </c>
      <c r="H1036" s="16" t="s">
        <v>3668</v>
      </c>
      <c r="I1036" s="18"/>
      <c r="J1036" t="str">
        <f>IF(LEN(VLOOKUP(表1[[#This Row],[id]],数据引用!A:C,3,FALSE))&gt;0,VLOOKUP(表1[[#This Row],[id]],数据引用!A:C,3,FALSE),"")</f>
        <v>生成关卡？</v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font-size:12;"&gt;生成关卡？&lt;/text&gt;&lt;text transform="matrix(1 0 0 1 0 10.3205)" style="fill:#FFFFFF; font-family:'FZXS12--GB1-0'; font-size:12;"&gt;生成关卡？&lt;/text&gt;&lt;/svg&gt;</v>
      </c>
      <c r="P1036" s="5"/>
    </row>
    <row r="1037" spans="1:16" ht="14.25" customHeight="1">
      <c r="A1037">
        <v>2603</v>
      </c>
      <c r="B1037">
        <v>0</v>
      </c>
      <c r="C1037">
        <v>0</v>
      </c>
      <c r="E1037">
        <v>1</v>
      </c>
      <c r="F1037">
        <v>12</v>
      </c>
      <c r="G1037" s="1" t="s">
        <v>935</v>
      </c>
      <c r="H1037" s="16" t="s">
        <v>3669</v>
      </c>
      <c r="I1037" s="18"/>
      <c r="J1037" t="str">
        <f>IF(LEN(VLOOKUP(表1[[#This Row],[id]],数据引用!A:C,3,FALSE))&gt;0,VLOOKUP(表1[[#This Row],[id]],数据引用!A:C,3,FALSE),"")</f>
        <v>（未保存的文件将会丢失）</v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7" s="5"/>
    </row>
    <row r="1038" spans="1:16" ht="14.25" customHeight="1">
      <c r="A1038">
        <v>2604</v>
      </c>
      <c r="B1038">
        <v>0</v>
      </c>
      <c r="C1038">
        <v>0</v>
      </c>
      <c r="E1038">
        <v>1</v>
      </c>
      <c r="F1038">
        <v>12</v>
      </c>
      <c r="G1038" s="1" t="s">
        <v>936</v>
      </c>
      <c r="H1038" s="16" t="s">
        <v>3670</v>
      </c>
      <c r="I1038" s="18"/>
      <c r="J1038" t="str">
        <f>IF(LEN(VLOOKUP(表1[[#This Row],[id]],数据引用!A:C,3,FALSE))&gt;0,VLOOKUP(表1[[#This Row],[id]],数据引用!A:C,3,FALSE),"")</f>
        <v>已存在</v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font-size:12;"&gt;已存在&lt;/text&gt;&lt;text transform="matrix(1 0 0 1 0 10.3205)" style="fill:#FFFFFF; font-family:'FZXS12--GB1-0'; font-size:12;"&gt;已存在&lt;/text&gt;&lt;/svg&gt;</v>
      </c>
      <c r="P1038" s="5"/>
    </row>
    <row r="1039" spans="1:16" ht="14.25" customHeight="1">
      <c r="A1039">
        <v>2605</v>
      </c>
      <c r="B1039">
        <v>0</v>
      </c>
      <c r="C1039">
        <v>0</v>
      </c>
      <c r="E1039">
        <v>1</v>
      </c>
      <c r="F1039">
        <v>12</v>
      </c>
      <c r="G1039" s="1" t="s">
        <v>937</v>
      </c>
      <c r="H1039" s="16" t="s">
        <v>3671</v>
      </c>
      <c r="I1039" s="18"/>
      <c r="J1039" t="str">
        <f>IF(LEN(VLOOKUP(表1[[#This Row],[id]],数据引用!A:C,3,FALSE))&gt;0,VLOOKUP(表1[[#This Row],[id]],数据引用!A:C,3,FALSE),"")</f>
        <v>要覆盖现有的吗？</v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font-size:12;"&gt;要覆盖现有的吗？&lt;/text&gt;&lt;text transform="matrix(1 0 0 1 0 10.3205)" style="fill:#FFFFFF; font-family:'FZXS12--GB1-0'; font-size:12;"&gt;要覆盖现有的吗？&lt;/text&gt;&lt;/svg&gt;</v>
      </c>
      <c r="P1039" s="5"/>
    </row>
    <row r="1040" spans="1:16" ht="14.25" customHeight="1">
      <c r="A1040">
        <v>3000</v>
      </c>
      <c r="B1040">
        <v>0</v>
      </c>
      <c r="C1040">
        <v>0</v>
      </c>
      <c r="E1040" t="s">
        <v>2570</v>
      </c>
      <c r="F1040">
        <v>6</v>
      </c>
      <c r="G1040" s="1" t="s">
        <v>938</v>
      </c>
      <c r="H1040" s="16" t="s">
        <v>3672</v>
      </c>
      <c r="I1040" s="18"/>
      <c r="J1040" t="str">
        <f>IF(LEN(VLOOKUP(表1[[#This Row],[id]],数据引用!A:C,3,FALSE))&gt;0,VLOOKUP(表1[[#This Row],[id]],数据引用!A:C,3,FALSE),"")</f>
        <v>绿史莱姆</v>
      </c>
      <c r="K1040" t="s">
        <v>1211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040" s="5"/>
    </row>
    <row r="1041" spans="1:16" ht="14.25" customHeight="1">
      <c r="A1041">
        <v>3001</v>
      </c>
      <c r="B1041">
        <v>0</v>
      </c>
      <c r="C1041">
        <v>0</v>
      </c>
      <c r="E1041" t="s">
        <v>2570</v>
      </c>
      <c r="F1041">
        <v>6</v>
      </c>
      <c r="G1041" s="1" t="s">
        <v>939</v>
      </c>
      <c r="H1041" s="16" t="s">
        <v>3673</v>
      </c>
      <c r="I1041" s="18"/>
      <c r="J1041" t="str">
        <f>IF(LEN(VLOOKUP(表1[[#This Row],[id]],数据引用!A:C,3,FALSE))&gt;0,VLOOKUP(表1[[#This Row],[id]],数据引用!A:C,3,FALSE),"")</f>
        <v>蓝史莱姆</v>
      </c>
      <c r="K1041" t="s">
        <v>1211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041" s="5"/>
    </row>
    <row r="1042" spans="1:16" ht="14.25" customHeight="1">
      <c r="A1042">
        <v>3002</v>
      </c>
      <c r="B1042">
        <v>0</v>
      </c>
      <c r="C1042">
        <v>0</v>
      </c>
      <c r="E1042" t="s">
        <v>2570</v>
      </c>
      <c r="F1042">
        <v>6</v>
      </c>
      <c r="G1042" s="1" t="s">
        <v>940</v>
      </c>
      <c r="H1042" s="16" t="s">
        <v>3674</v>
      </c>
      <c r="I1042" s="18"/>
      <c r="J1042" t="str">
        <f>IF(LEN(VLOOKUP(表1[[#This Row],[id]],数据引用!A:C,3,FALSE))&gt;0,VLOOKUP(表1[[#This Row],[id]],数据引用!A:C,3,FALSE),"")</f>
        <v>橙史莱姆</v>
      </c>
      <c r="K1042" t="s">
        <v>1211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042" s="5"/>
    </row>
    <row r="1043" spans="1:16" ht="14.25" customHeight="1">
      <c r="A1043">
        <v>3003</v>
      </c>
      <c r="B1043">
        <v>0</v>
      </c>
      <c r="C1043">
        <v>0</v>
      </c>
      <c r="E1043" t="s">
        <v>2570</v>
      </c>
      <c r="F1043">
        <v>6</v>
      </c>
      <c r="G1043" s="1" t="s">
        <v>941</v>
      </c>
      <c r="H1043" s="16" t="s">
        <v>3675</v>
      </c>
      <c r="I1043" s="18"/>
      <c r="J1043" t="str">
        <f>IF(LEN(VLOOKUP(表1[[#This Row],[id]],数据引用!A:C,3,FALSE))&gt;0,VLOOKUP(表1[[#This Row],[id]],数据引用!A:C,3,FALSE),"")</f>
        <v>骷髅</v>
      </c>
      <c r="K1043" t="s">
        <v>1211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font-size:12;"&gt;骷髅&lt;/text&gt;&lt;text transform="matrix(1 0 0 1 0 10.3205)" style="fill:#FFFFFF; font-family:'FZXS12--GB1-0'; font-size:12;"&gt;骷髅&lt;/text&gt;&lt;/svg&gt;</v>
      </c>
      <c r="P1043" s="5"/>
    </row>
    <row r="1044" spans="1:16" ht="14.25" customHeight="1">
      <c r="A1044">
        <v>3004</v>
      </c>
      <c r="B1044">
        <v>0</v>
      </c>
      <c r="C1044">
        <v>0</v>
      </c>
      <c r="E1044" t="s">
        <v>2570</v>
      </c>
      <c r="F1044">
        <v>6</v>
      </c>
      <c r="G1044" s="1" t="s">
        <v>942</v>
      </c>
      <c r="H1044" s="16" t="s">
        <v>3676</v>
      </c>
      <c r="I1044" s="18"/>
      <c r="J1044" t="str">
        <f>IF(LEN(VLOOKUP(表1[[#This Row],[id]],数据引用!A:C,3,FALSE))&gt;0,VLOOKUP(表1[[#This Row],[id]],数据引用!A:C,3,FALSE),"")</f>
        <v>黄骷髅</v>
      </c>
      <c r="K1044" t="s">
        <v>1211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044" s="5"/>
    </row>
    <row r="1045" spans="1:16" ht="14.25" customHeight="1">
      <c r="A1045">
        <v>3005</v>
      </c>
      <c r="B1045">
        <v>0</v>
      </c>
      <c r="C1045">
        <v>0</v>
      </c>
      <c r="E1045" t="s">
        <v>2570</v>
      </c>
      <c r="F1045">
        <v>6</v>
      </c>
      <c r="G1045" s="1" t="s">
        <v>943</v>
      </c>
      <c r="H1045" s="16" t="s">
        <v>3677</v>
      </c>
      <c r="I1045" s="18"/>
      <c r="J1045" t="str">
        <f>IF(LEN(VLOOKUP(表1[[#This Row],[id]],数据引用!A:C,3,FALSE))&gt;0,VLOOKUP(表1[[#This Row],[id]],数据引用!A:C,3,FALSE),"")</f>
        <v>黑骷髅</v>
      </c>
      <c r="K1045" t="s">
        <v>1211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045" s="5"/>
    </row>
    <row r="1046" spans="1:16" ht="14.25" customHeight="1">
      <c r="A1046">
        <v>3006</v>
      </c>
      <c r="B1046">
        <v>0</v>
      </c>
      <c r="C1046">
        <v>0</v>
      </c>
      <c r="E1046" t="s">
        <v>2570</v>
      </c>
      <c r="F1046">
        <v>6</v>
      </c>
      <c r="G1046" s="1" t="s">
        <v>944</v>
      </c>
      <c r="H1046" s="16" t="s">
        <v>3678</v>
      </c>
      <c r="I1046" s="18"/>
      <c r="J1046" t="str">
        <f>IF(LEN(VLOOKUP(表1[[#This Row],[id]],数据引用!A:C,3,FALSE))&gt;0,VLOOKUP(表1[[#This Row],[id]],数据引用!A:C,3,FALSE),"")</f>
        <v>蝙蝠</v>
      </c>
      <c r="K1046" t="s">
        <v>1211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font-size:12;"&gt;蝙蝠&lt;/text&gt;&lt;text transform="matrix(1 0 0 1 0 10.3205)" style="fill:#FFFFFF; font-family:'FZXS12--GB1-0'; font-size:12;"&gt;蝙蝠&lt;/text&gt;&lt;/svg&gt;</v>
      </c>
      <c r="P1046" s="5"/>
    </row>
    <row r="1047" spans="1:16" ht="14.25" customHeight="1">
      <c r="A1047">
        <v>3007</v>
      </c>
      <c r="B1047">
        <v>0</v>
      </c>
      <c r="C1047">
        <v>0</v>
      </c>
      <c r="E1047" t="s">
        <v>2570</v>
      </c>
      <c r="F1047">
        <v>6</v>
      </c>
      <c r="G1047" s="1" t="s">
        <v>945</v>
      </c>
      <c r="H1047" s="16" t="s">
        <v>3679</v>
      </c>
      <c r="I1047" s="18"/>
      <c r="J1047" t="str">
        <f>IF(LEN(VLOOKUP(表1[[#This Row],[id]],数据引用!A:C,3,FALSE))&gt;0,VLOOKUP(表1[[#This Row],[id]],数据引用!A:C,3,FALSE),"")</f>
        <v>红蝙蝠</v>
      </c>
      <c r="K1047" t="s">
        <v>1211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047" s="5"/>
    </row>
    <row r="1048" spans="1:16" ht="14.25" customHeight="1">
      <c r="A1048">
        <v>3008</v>
      </c>
      <c r="B1048">
        <v>0</v>
      </c>
      <c r="C1048">
        <v>0</v>
      </c>
      <c r="E1048" t="s">
        <v>2570</v>
      </c>
      <c r="F1048">
        <v>6</v>
      </c>
      <c r="G1048" s="1" t="s">
        <v>946</v>
      </c>
      <c r="H1048" s="16" t="s">
        <v>3680</v>
      </c>
      <c r="I1048" s="18"/>
      <c r="J1048" t="str">
        <f>IF(LEN(VLOOKUP(表1[[#This Row],[id]],数据引用!A:C,3,FALSE))&gt;0,VLOOKUP(表1[[#This Row],[id]],数据引用!A:C,3,FALSE),"")</f>
        <v>绿蝙蝠</v>
      </c>
      <c r="K1048" t="s">
        <v>1211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048" s="5"/>
    </row>
    <row r="1049" spans="1:16" ht="14.25" customHeight="1">
      <c r="A1049">
        <v>3009</v>
      </c>
      <c r="B1049">
        <v>0</v>
      </c>
      <c r="C1049">
        <v>0</v>
      </c>
      <c r="E1049" t="s">
        <v>2570</v>
      </c>
      <c r="F1049">
        <v>6</v>
      </c>
      <c r="G1049" s="1" t="s">
        <v>947</v>
      </c>
      <c r="H1049" s="16" t="s">
        <v>3681</v>
      </c>
      <c r="I1049" s="18"/>
      <c r="J1049" t="str">
        <f>IF(LEN(VLOOKUP(表1[[#This Row],[id]],数据引用!A:C,3,FALSE))&gt;0,VLOOKUP(表1[[#This Row],[id]],数据引用!A:C,3,FALSE),"")</f>
        <v>猴子</v>
      </c>
      <c r="K1049" t="s">
        <v>1211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font-size:12;"&gt;猴子&lt;/text&gt;&lt;text transform="matrix(1 0 0 1 0 10.3205)" style="fill:#FFFFFF; font-family:'FZXS12--GB1-0'; font-size:12;"&gt;猴子&lt;/text&gt;&lt;/svg&gt;</v>
      </c>
      <c r="P1049" s="5"/>
    </row>
    <row r="1050" spans="1:16" ht="14.25" customHeight="1">
      <c r="A1050">
        <v>3010</v>
      </c>
      <c r="B1050">
        <v>0</v>
      </c>
      <c r="C1050">
        <v>0</v>
      </c>
      <c r="E1050" t="s">
        <v>2570</v>
      </c>
      <c r="F1050">
        <v>6</v>
      </c>
      <c r="G1050" s="1" t="s">
        <v>948</v>
      </c>
      <c r="H1050" s="16" t="s">
        <v>3682</v>
      </c>
      <c r="I1050" s="18"/>
      <c r="J1050" t="str">
        <f>IF(LEN(VLOOKUP(表1[[#This Row],[id]],数据引用!A:C,3,FALSE))&gt;0,VLOOKUP(表1[[#This Row],[id]],数据引用!A:C,3,FALSE),"")</f>
        <v>白猴子</v>
      </c>
      <c r="K1050" t="s">
        <v>1211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050" s="5"/>
    </row>
    <row r="1051" spans="1:16" ht="14.25" customHeight="1">
      <c r="A1051">
        <v>3011</v>
      </c>
      <c r="B1051">
        <v>0</v>
      </c>
      <c r="C1051">
        <v>0</v>
      </c>
      <c r="E1051" t="s">
        <v>2570</v>
      </c>
      <c r="F1051">
        <v>6</v>
      </c>
      <c r="G1051" s="1" t="s">
        <v>949</v>
      </c>
      <c r="H1051" s="16" t="s">
        <v>3683</v>
      </c>
      <c r="I1051" s="18"/>
      <c r="J1051" t="str">
        <f>IF(LEN(VLOOKUP(表1[[#This Row],[id]],数据引用!A:C,3,FALSE))&gt;0,VLOOKUP(表1[[#This Row],[id]],数据引用!A:C,3,FALSE),"")</f>
        <v>鬼魂</v>
      </c>
      <c r="K1051" t="s">
        <v>1211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051" s="5"/>
    </row>
    <row r="1052" spans="1:16" ht="14.25" customHeight="1">
      <c r="A1052">
        <v>3012</v>
      </c>
      <c r="B1052">
        <v>0</v>
      </c>
      <c r="C1052">
        <v>0</v>
      </c>
      <c r="E1052" t="s">
        <v>2570</v>
      </c>
      <c r="F1052">
        <v>6</v>
      </c>
      <c r="G1052" s="1" t="s">
        <v>950</v>
      </c>
      <c r="H1052" s="16" t="s">
        <v>3684</v>
      </c>
      <c r="I1052" s="18"/>
      <c r="J1052" t="str">
        <f>IF(LEN(VLOOKUP(表1[[#This Row],[id]],数据引用!A:C,3,FALSE))&gt;0,VLOOKUP(表1[[#This Row],[id]],数据引用!A:C,3,FALSE),"")</f>
        <v>僵尸</v>
      </c>
      <c r="K1052" t="s">
        <v>1211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052" s="5"/>
    </row>
    <row r="1053" spans="1:16" ht="14.25" customHeight="1">
      <c r="A1053">
        <v>3013</v>
      </c>
      <c r="B1053">
        <v>0</v>
      </c>
      <c r="C1053">
        <v>0</v>
      </c>
      <c r="E1053" t="s">
        <v>2570</v>
      </c>
      <c r="F1053">
        <v>6</v>
      </c>
      <c r="G1053" s="1" t="s">
        <v>951</v>
      </c>
      <c r="H1053" s="16" t="s">
        <v>3685</v>
      </c>
      <c r="I1053" s="18"/>
      <c r="J1053" t="str">
        <f>IF(LEN(VLOOKUP(表1[[#This Row],[id]],数据引用!A:C,3,FALSE))&gt;0,VLOOKUP(表1[[#This Row],[id]],数据引用!A:C,3,FALSE),"")</f>
        <v>亡灵</v>
      </c>
      <c r="K1053" t="s">
        <v>1211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053" s="5"/>
    </row>
    <row r="1054" spans="1:16" ht="14.25" customHeight="1">
      <c r="A1054">
        <v>3014</v>
      </c>
      <c r="B1054">
        <v>0</v>
      </c>
      <c r="C1054">
        <v>0</v>
      </c>
      <c r="E1054" t="s">
        <v>2570</v>
      </c>
      <c r="F1054">
        <v>6</v>
      </c>
      <c r="G1054" s="1" t="s">
        <v>952</v>
      </c>
      <c r="H1054" s="16" t="s">
        <v>3686</v>
      </c>
      <c r="I1054" s="18"/>
      <c r="J1054" t="str">
        <f>IF(LEN(VLOOKUP(表1[[#This Row],[id]],数据引用!A:C,3,FALSE))&gt;0,VLOOKUP(表1[[#This Row],[id]],数据引用!A:C,3,FALSE),"")</f>
        <v>宝箱怪</v>
      </c>
      <c r="K1054" t="s">
        <v>1211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054" s="5"/>
    </row>
    <row r="1055" spans="1:16" ht="14.25" customHeight="1">
      <c r="A1055">
        <v>3015</v>
      </c>
      <c r="B1055">
        <v>0</v>
      </c>
      <c r="C1055">
        <v>0</v>
      </c>
      <c r="E1055" t="s">
        <v>2570</v>
      </c>
      <c r="F1055">
        <v>6</v>
      </c>
      <c r="G1055" s="13" t="s">
        <v>953</v>
      </c>
      <c r="H1055" s="15" t="s">
        <v>3687</v>
      </c>
      <c r="I1055" s="18"/>
      <c r="J1055" t="str">
        <f>IF(LEN(VLOOKUP(表1[[#This Row],[id]],数据引用!A:C,3,FALSE))&gt;0,VLOOKUP(表1[[#This Row],[id]],数据引用!A:C,3,FALSE),"")</f>
        <v>NULL</v>
      </c>
      <c r="K1055" t="s">
        <v>1211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55" s="5"/>
    </row>
    <row r="1056" spans="1:16" ht="14.25" customHeight="1">
      <c r="A1056">
        <v>3016</v>
      </c>
      <c r="B1056">
        <v>0</v>
      </c>
      <c r="C1056">
        <v>0</v>
      </c>
      <c r="E1056" t="s">
        <v>2570</v>
      </c>
      <c r="F1056">
        <v>6</v>
      </c>
      <c r="G1056" s="12" t="s">
        <v>941</v>
      </c>
      <c r="H1056" s="16" t="s">
        <v>3688</v>
      </c>
      <c r="I1056" s="18"/>
      <c r="J1056" t="str">
        <f>IF(LEN(VLOOKUP(表1[[#This Row],[id]],数据引用!A:C,3,FALSE))&gt;0,VLOOKUP(表1[[#This Row],[id]],数据引用!A:C,3,FALSE),"")</f>
        <v>持盾骷髅</v>
      </c>
      <c r="K1056" t="s">
        <v>1211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font-size:12;"&gt;持盾骷髅&lt;/text&gt;&lt;text transform="matrix(1 0 0 1 0 10.3205)" style="fill:#FFFFFF; font-family:'FZXS12--GB1-0'; font-size:12;"&gt;持盾骷髅&lt;/text&gt;&lt;/svg&gt;</v>
      </c>
      <c r="P1056" s="5"/>
    </row>
    <row r="1057" spans="1:16" ht="14.25" customHeight="1">
      <c r="A1057">
        <v>3017</v>
      </c>
      <c r="B1057">
        <v>0</v>
      </c>
      <c r="C1057">
        <v>0</v>
      </c>
      <c r="E1057" t="s">
        <v>2570</v>
      </c>
      <c r="F1057">
        <v>6</v>
      </c>
      <c r="G1057" s="13" t="s">
        <v>954</v>
      </c>
      <c r="H1057" s="15" t="s">
        <v>3689</v>
      </c>
      <c r="I1057" s="18"/>
      <c r="J1057" t="str">
        <f>IF(LEN(VLOOKUP(表1[[#This Row],[id]],数据引用!A:C,3,FALSE))&gt;0,VLOOKUP(表1[[#This Row],[id]],数据引用!A:C,3,FALSE),"")</f>
        <v>NULL</v>
      </c>
      <c r="K1057" t="s">
        <v>1211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57" s="5"/>
    </row>
    <row r="1058" spans="1:16" ht="14.25" customHeight="1">
      <c r="A1058">
        <v>3018</v>
      </c>
      <c r="B1058">
        <v>0</v>
      </c>
      <c r="C1058">
        <v>0</v>
      </c>
      <c r="E1058" t="s">
        <v>2570</v>
      </c>
      <c r="F1058">
        <v>6</v>
      </c>
      <c r="G1058" s="12" t="s">
        <v>941</v>
      </c>
      <c r="H1058" s="16" t="s">
        <v>3690</v>
      </c>
      <c r="I1058" s="18"/>
      <c r="J1058" t="str">
        <f>IF(LEN(VLOOKUP(表1[[#This Row],[id]],数据引用!A:C,3,FALSE))&gt;0,VLOOKUP(表1[[#This Row],[id]],数据引用!A:C,3,FALSE),"")</f>
        <v>黄色持盾骷髅</v>
      </c>
      <c r="K1058" t="s">
        <v>1211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058" s="5"/>
    </row>
    <row r="1059" spans="1:16" ht="14.25" customHeight="1">
      <c r="A1059">
        <v>3019</v>
      </c>
      <c r="B1059">
        <v>0</v>
      </c>
      <c r="C1059">
        <v>0</v>
      </c>
      <c r="E1059" t="s">
        <v>2570</v>
      </c>
      <c r="F1059">
        <v>6</v>
      </c>
      <c r="G1059" s="13" t="s">
        <v>955</v>
      </c>
      <c r="H1059" s="15" t="s">
        <v>3691</v>
      </c>
      <c r="I1059" s="18"/>
      <c r="J1059" t="str">
        <f>IF(LEN(VLOOKUP(表1[[#This Row],[id]],数据引用!A:C,3,FALSE))&gt;0,VLOOKUP(表1[[#This Row],[id]],数据引用!A:C,3,FALSE),"")</f>
        <v>NULL</v>
      </c>
      <c r="K1059" t="s">
        <v>1211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59" s="5"/>
    </row>
    <row r="1060" spans="1:16" ht="14.25" customHeight="1">
      <c r="A1060">
        <v>3020</v>
      </c>
      <c r="B1060">
        <v>0</v>
      </c>
      <c r="C1060">
        <v>0</v>
      </c>
      <c r="E1060" t="s">
        <v>2570</v>
      </c>
      <c r="F1060">
        <v>6</v>
      </c>
      <c r="G1060" s="12" t="s">
        <v>941</v>
      </c>
      <c r="H1060" s="16" t="s">
        <v>3692</v>
      </c>
      <c r="I1060" s="18"/>
      <c r="J1060" t="str">
        <f>IF(LEN(VLOOKUP(表1[[#This Row],[id]],数据引用!A:C,3,FALSE))&gt;0,VLOOKUP(表1[[#This Row],[id]],数据引用!A:C,3,FALSE),"")</f>
        <v>黑色持盾骷髅</v>
      </c>
      <c r="K1060" t="s">
        <v>1211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060" s="5"/>
    </row>
    <row r="1061" spans="1:16" ht="14.25" customHeight="1">
      <c r="A1061">
        <v>3021</v>
      </c>
      <c r="B1061">
        <v>0</v>
      </c>
      <c r="C1061">
        <v>0</v>
      </c>
      <c r="E1061" t="s">
        <v>2570</v>
      </c>
      <c r="F1061">
        <v>6</v>
      </c>
      <c r="G1061" s="1" t="s">
        <v>956</v>
      </c>
      <c r="H1061" s="16" t="s">
        <v>3693</v>
      </c>
      <c r="I1061" s="18"/>
      <c r="J1061" t="str">
        <f>IF(LEN(VLOOKUP(表1[[#This Row],[id]],数据引用!A:C,3,FALSE))&gt;0,VLOOKUP(表1[[#This Row],[id]],数据引用!A:C,3,FALSE),"")</f>
        <v>骷髅法师</v>
      </c>
      <c r="K1061" t="s">
        <v>1211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font-size:12;"&gt;骷髅法师&lt;/text&gt;&lt;text transform="matrix(1 0 0 1 0 10.3205)" style="fill:#FFFFFF; font-family:'FZXS12--GB1-0'; font-size:12;"&gt;骷髅法师&lt;/text&gt;&lt;/svg&gt;</v>
      </c>
      <c r="P1061" s="5"/>
    </row>
    <row r="1062" spans="1:16" ht="14.25" customHeight="1">
      <c r="A1062">
        <v>3022</v>
      </c>
      <c r="B1062">
        <v>0</v>
      </c>
      <c r="C1062">
        <v>0</v>
      </c>
      <c r="E1062" t="s">
        <v>2570</v>
      </c>
      <c r="F1062">
        <v>6</v>
      </c>
      <c r="G1062" s="13" t="s">
        <v>957</v>
      </c>
      <c r="H1062" s="15" t="s">
        <v>3694</v>
      </c>
      <c r="I1062" s="18"/>
      <c r="J1062" t="str">
        <f>IF(LEN(VLOOKUP(表1[[#This Row],[id]],数据引用!A:C,3,FALSE))&gt;0,VLOOKUP(表1[[#This Row],[id]],数据引用!A:C,3,FALSE),"")</f>
        <v>NULL</v>
      </c>
      <c r="K1062" t="s">
        <v>1211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62" s="5"/>
    </row>
    <row r="1063" spans="1:16" ht="14.25" customHeight="1">
      <c r="A1063">
        <v>3023</v>
      </c>
      <c r="B1063">
        <v>0</v>
      </c>
      <c r="C1063">
        <v>0</v>
      </c>
      <c r="E1063" t="s">
        <v>2570</v>
      </c>
      <c r="F1063">
        <v>6</v>
      </c>
      <c r="G1063" s="12" t="s">
        <v>956</v>
      </c>
      <c r="H1063" s="16" t="s">
        <v>3695</v>
      </c>
      <c r="I1063" s="18"/>
      <c r="J1063" t="str">
        <f>IF(LEN(VLOOKUP(表1[[#This Row],[id]],数据引用!A:C,3,FALSE))&gt;0,VLOOKUP(表1[[#This Row],[id]],数据引用!A:C,3,FALSE),"")</f>
        <v>黄色骷髅法师</v>
      </c>
      <c r="K1063" t="s">
        <v>1211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063" s="5"/>
    </row>
    <row r="1064" spans="1:16" ht="14.25" customHeight="1">
      <c r="A1064">
        <v>3024</v>
      </c>
      <c r="B1064">
        <v>0</v>
      </c>
      <c r="C1064">
        <v>0</v>
      </c>
      <c r="E1064" t="s">
        <v>2570</v>
      </c>
      <c r="F1064">
        <v>6</v>
      </c>
      <c r="G1064" s="13" t="s">
        <v>958</v>
      </c>
      <c r="H1064" s="15" t="s">
        <v>3696</v>
      </c>
      <c r="I1064" s="18"/>
      <c r="J1064" t="str">
        <f>IF(LEN(VLOOKUP(表1[[#This Row],[id]],数据引用!A:C,3,FALSE))&gt;0,VLOOKUP(表1[[#This Row],[id]],数据引用!A:C,3,FALSE),"")</f>
        <v>NULL</v>
      </c>
      <c r="K1064" t="s">
        <v>1211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64" s="5"/>
    </row>
    <row r="1065" spans="1:16" ht="14.25" customHeight="1">
      <c r="A1065">
        <v>3025</v>
      </c>
      <c r="B1065">
        <v>0</v>
      </c>
      <c r="C1065">
        <v>0</v>
      </c>
      <c r="E1065" t="s">
        <v>2570</v>
      </c>
      <c r="F1065">
        <v>6</v>
      </c>
      <c r="G1065" s="12" t="s">
        <v>956</v>
      </c>
      <c r="H1065" s="16" t="s">
        <v>3697</v>
      </c>
      <c r="I1065" s="18"/>
      <c r="J1065" t="str">
        <f>IF(LEN(VLOOKUP(表1[[#This Row],[id]],数据引用!A:C,3,FALSE))&gt;0,VLOOKUP(表1[[#This Row],[id]],数据引用!A:C,3,FALSE),"")</f>
        <v>黑色骷髅法师</v>
      </c>
      <c r="K1065" t="s">
        <v>1211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065" s="5"/>
    </row>
    <row r="1066" spans="1:16" ht="14.25" customHeight="1">
      <c r="A1066">
        <v>3026</v>
      </c>
      <c r="B1066">
        <v>0</v>
      </c>
      <c r="C1066">
        <v>0</v>
      </c>
      <c r="E1066" t="s">
        <v>2570</v>
      </c>
      <c r="F1066">
        <v>6</v>
      </c>
      <c r="G1066" s="1" t="s">
        <v>959</v>
      </c>
      <c r="H1066" s="16" t="s">
        <v>3698</v>
      </c>
      <c r="I1066" s="18"/>
      <c r="J1066" t="str">
        <f>IF(LEN(VLOOKUP(表1[[#This Row],[id]],数据引用!A:C,3,FALSE))&gt;0,VLOOKUP(表1[[#This Row],[id]],数据引用!A:C,3,FALSE),"")</f>
        <v>蘑菇怪</v>
      </c>
      <c r="K1066" t="s">
        <v>1211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font-size:12;"&gt;蘑菇怪&lt;/text&gt;&lt;text transform="matrix(1 0 0 1 0 10.3205)" style="fill:#FFFFFF; font-family:'FZXS12--GB1-0'; font-size:12;"&gt;蘑菇怪&lt;/text&gt;&lt;/svg&gt;</v>
      </c>
      <c r="P1066" s="5"/>
    </row>
    <row r="1067" spans="1:16" ht="14.25" customHeight="1">
      <c r="A1067">
        <v>3027</v>
      </c>
      <c r="B1067">
        <v>0</v>
      </c>
      <c r="C1067">
        <v>0</v>
      </c>
      <c r="E1067" t="s">
        <v>2570</v>
      </c>
      <c r="F1067">
        <v>6</v>
      </c>
      <c r="G1067" s="13" t="s">
        <v>960</v>
      </c>
      <c r="H1067" s="15" t="s">
        <v>3699</v>
      </c>
      <c r="I1067" s="18"/>
      <c r="J1067" t="str">
        <f>IF(LEN(VLOOKUP(表1[[#This Row],[id]],数据引用!A:C,3,FALSE))&gt;0,VLOOKUP(表1[[#This Row],[id]],数据引用!A:C,3,FALSE),"")</f>
        <v>NULL</v>
      </c>
      <c r="K1067" t="s">
        <v>1211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67" s="5"/>
    </row>
    <row r="1068" spans="1:16" ht="14.25" customHeight="1">
      <c r="A1068">
        <v>3028</v>
      </c>
      <c r="B1068">
        <v>0</v>
      </c>
      <c r="C1068">
        <v>0</v>
      </c>
      <c r="E1068" t="s">
        <v>2570</v>
      </c>
      <c r="F1068">
        <v>6</v>
      </c>
      <c r="G1068" s="12" t="s">
        <v>959</v>
      </c>
      <c r="H1068" s="16" t="s">
        <v>3700</v>
      </c>
      <c r="I1068" s="18"/>
      <c r="J1068" t="str">
        <f>IF(LEN(VLOOKUP(表1[[#This Row],[id]],数据引用!A:C,3,FALSE))&gt;0,VLOOKUP(表1[[#This Row],[id]],数据引用!A:C,3,FALSE),"")</f>
        <v>紫色蘑菇怪</v>
      </c>
      <c r="K1068" t="s">
        <v>1211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068" s="5"/>
    </row>
    <row r="1069" spans="1:16" ht="14.25" customHeight="1">
      <c r="A1069">
        <v>3029</v>
      </c>
      <c r="B1069">
        <v>0</v>
      </c>
      <c r="C1069">
        <v>0</v>
      </c>
      <c r="E1069" t="s">
        <v>2570</v>
      </c>
      <c r="F1069">
        <v>6</v>
      </c>
      <c r="G1069" s="1" t="s">
        <v>961</v>
      </c>
      <c r="H1069" s="16" t="s">
        <v>3701</v>
      </c>
      <c r="I1069" s="18"/>
      <c r="J1069" t="str">
        <f>IF(LEN(VLOOKUP(表1[[#This Row],[id]],数据引用!A:C,3,FALSE))&gt;0,VLOOKUP(表1[[#This Row],[id]],数据引用!A:C,3,FALSE),"")</f>
        <v>石巨人</v>
      </c>
      <c r="K1069" t="s">
        <v>1211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font-size:12;"&gt;石巨人&lt;/text&gt;&lt;text transform="matrix(1 0 0 1 0 10.3205)" style="fill:#FFFFFF; font-family:'FZXS12--GB1-0'; font-size:12;"&gt;石巨人&lt;/text&gt;&lt;/svg&gt;</v>
      </c>
      <c r="P1069" s="5"/>
    </row>
    <row r="1070" spans="1:16" ht="14.25" customHeight="1">
      <c r="A1070">
        <v>3030</v>
      </c>
      <c r="B1070">
        <v>0</v>
      </c>
      <c r="C1070">
        <v>0</v>
      </c>
      <c r="E1070" t="s">
        <v>2570</v>
      </c>
      <c r="F1070">
        <v>6</v>
      </c>
      <c r="G1070" s="1" t="s">
        <v>962</v>
      </c>
      <c r="H1070" s="16" t="s">
        <v>3702</v>
      </c>
      <c r="I1070" s="18"/>
      <c r="J1070" t="str">
        <f>IF(LEN(VLOOKUP(表1[[#This Row],[id]],数据引用!A:C,3,FALSE))&gt;0,VLOOKUP(表1[[#This Row],[id]],数据引用!A:C,3,FALSE),"")</f>
        <v>深色石巨人</v>
      </c>
      <c r="K1070" t="s">
        <v>1211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070" s="5"/>
    </row>
    <row r="1071" spans="1:16" ht="14.25" customHeight="1">
      <c r="A1071">
        <v>3031</v>
      </c>
      <c r="B1071">
        <v>0</v>
      </c>
      <c r="C1071">
        <v>0</v>
      </c>
      <c r="E1071" t="s">
        <v>2570</v>
      </c>
      <c r="F1071">
        <v>6</v>
      </c>
      <c r="G1071" s="1" t="s">
        <v>963</v>
      </c>
      <c r="H1071" s="16" t="s">
        <v>3703</v>
      </c>
      <c r="I1071" s="18"/>
      <c r="J1071" t="str">
        <f>IF(LEN(VLOOKUP(表1[[#This Row],[id]],数据引用!A:C,3,FALSE))&gt;0,VLOOKUP(表1[[#This Row],[id]],数据引用!A:C,3,FALSE),"")</f>
        <v>犰狳</v>
      </c>
      <c r="K1071" t="s">
        <v>1211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font-size:12;"&gt;犰狳&lt;/text&gt;&lt;text transform="matrix(1 0 0 1 0 10.3205)" style="fill:#FFFFFF; font-family:'FZXS12--GB1-0'; font-size:12;"&gt;犰狳&lt;/text&gt;&lt;/svg&gt;</v>
      </c>
      <c r="P1071" s="5"/>
    </row>
    <row r="1072" spans="1:16" ht="14.25" customHeight="1">
      <c r="A1072">
        <v>3032</v>
      </c>
      <c r="B1072">
        <v>0</v>
      </c>
      <c r="C1072">
        <v>0</v>
      </c>
      <c r="E1072" t="s">
        <v>2570</v>
      </c>
      <c r="F1072">
        <v>6</v>
      </c>
      <c r="G1072" s="1" t="s">
        <v>964</v>
      </c>
      <c r="H1072" s="16" t="s">
        <v>3704</v>
      </c>
      <c r="I1072" s="18"/>
      <c r="J1072" t="str">
        <f>IF(LEN(VLOOKUP(表1[[#This Row],[id]],数据引用!A:C,3,FALSE))&gt;0,VLOOKUP(表1[[#This Row],[id]],数据引用!A:C,3,FALSE),"")</f>
        <v>黄色犰狳</v>
      </c>
      <c r="K1072" t="s">
        <v>1211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072" s="5"/>
    </row>
    <row r="1073" spans="1:16" ht="14.25" customHeight="1">
      <c r="A1073">
        <v>3033</v>
      </c>
      <c r="B1073">
        <v>0</v>
      </c>
      <c r="C1073">
        <v>0</v>
      </c>
      <c r="E1073" t="s">
        <v>2570</v>
      </c>
      <c r="F1073">
        <v>6</v>
      </c>
      <c r="G1073" s="1" t="s">
        <v>2466</v>
      </c>
      <c r="H1073" s="16" t="s">
        <v>3705</v>
      </c>
      <c r="I1073" s="18"/>
      <c r="J1073" t="str">
        <f>IF(LEN(VLOOKUP(表1[[#This Row],[id]],数据引用!A:C,3,FALSE))&gt;0,VLOOKUP(表1[[#This Row],[id]],数据引用!A:C,3,FALSE),"")</f>
        <v>克隆体</v>
      </c>
      <c r="K1073" t="s">
        <v>1211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073" s="5"/>
    </row>
    <row r="1074" spans="1:16" ht="14.25" customHeight="1">
      <c r="A1074">
        <v>3034</v>
      </c>
      <c r="B1074">
        <v>0</v>
      </c>
      <c r="C1074">
        <v>0</v>
      </c>
      <c r="E1074" t="s">
        <v>2570</v>
      </c>
      <c r="F1074">
        <v>6</v>
      </c>
      <c r="G1074" s="1" t="s">
        <v>965</v>
      </c>
      <c r="H1074" s="16" t="s">
        <v>3706</v>
      </c>
      <c r="I1074" s="18"/>
      <c r="J1074" t="str">
        <f>IF(LEN(VLOOKUP(表1[[#This Row],[id]],数据引用!A:C,3,FALSE))&gt;0,VLOOKUP(表1[[#This Row],[id]],数据引用!A:C,3,FALSE),"")</f>
        <v>焦油怪</v>
      </c>
      <c r="K1074" t="s">
        <v>1211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074" s="5"/>
    </row>
    <row r="1075" spans="1:16" ht="14.25" customHeight="1">
      <c r="A1075">
        <v>3035</v>
      </c>
      <c r="B1075">
        <v>0</v>
      </c>
      <c r="C1075">
        <v>0</v>
      </c>
      <c r="E1075" t="s">
        <v>2570</v>
      </c>
      <c r="F1075">
        <v>6</v>
      </c>
      <c r="G1075" s="1" t="s">
        <v>966</v>
      </c>
      <c r="H1075" s="16" t="s">
        <v>3707</v>
      </c>
      <c r="I1075" s="18"/>
      <c r="J1075" t="str">
        <f>IF(LEN(VLOOKUP(表1[[#This Row],[id]],数据引用!A:C,3,FALSE))&gt;0,VLOOKUP(表1[[#This Row],[id]],数据引用!A:C,3,FALSE),"")</f>
        <v>鼹鼠</v>
      </c>
      <c r="K1075" t="s">
        <v>1211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075" s="5"/>
    </row>
    <row r="1076" spans="1:16" ht="14.25" customHeight="1">
      <c r="A1076">
        <v>3036</v>
      </c>
      <c r="B1076">
        <v>0</v>
      </c>
      <c r="C1076">
        <v>0</v>
      </c>
      <c r="E1076" t="s">
        <v>2570</v>
      </c>
      <c r="F1076">
        <v>6</v>
      </c>
      <c r="G1076" s="1" t="s">
        <v>967</v>
      </c>
      <c r="H1076" s="16" t="s">
        <v>3708</v>
      </c>
      <c r="I1076" s="18"/>
      <c r="J1076" t="str">
        <f>IF(LEN(VLOOKUP(表1[[#This Row],[id]],数据引用!A:C,3,FALSE))&gt;0,VLOOKUP(表1[[#This Row],[id]],数据引用!A:C,3,FALSE),"")</f>
        <v>幽灵</v>
      </c>
      <c r="K1076" t="s">
        <v>1211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076" s="5"/>
    </row>
    <row r="1077" spans="1:16" ht="14.25" customHeight="1">
      <c r="A1077">
        <v>3037</v>
      </c>
      <c r="B1077">
        <v>0</v>
      </c>
      <c r="C1077">
        <v>0</v>
      </c>
      <c r="E1077" t="s">
        <v>2570</v>
      </c>
      <c r="F1077">
        <v>6</v>
      </c>
      <c r="G1077" s="1" t="s">
        <v>968</v>
      </c>
      <c r="H1077" s="16" t="s">
        <v>3709</v>
      </c>
      <c r="I1077" s="18"/>
      <c r="J1077" t="str">
        <f>IF(LEN(VLOOKUP(表1[[#This Row],[id]],数据引用!A:C,3,FALSE))&gt;0,VLOOKUP(表1[[#This Row],[id]],数据引用!A:C,3,FALSE),"")</f>
        <v>假墙体</v>
      </c>
      <c r="K1077" t="s">
        <v>1211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077" s="5"/>
    </row>
    <row r="1078" spans="1:16" ht="14.25" customHeight="1">
      <c r="A1078">
        <v>3038</v>
      </c>
      <c r="B1078">
        <v>0</v>
      </c>
      <c r="C1078">
        <v>0</v>
      </c>
      <c r="E1078" t="s">
        <v>2570</v>
      </c>
      <c r="F1078">
        <v>6</v>
      </c>
      <c r="G1078" s="1" t="s">
        <v>969</v>
      </c>
      <c r="H1078" s="16" t="s">
        <v>3710</v>
      </c>
      <c r="I1078" s="18"/>
      <c r="J1078" t="str">
        <f>IF(LEN(VLOOKUP(表1[[#This Row],[id]],数据引用!A:C,3,FALSE))&gt;0,VLOOKUP(表1[[#This Row],[id]],数据引用!A:C,3,FALSE),"")</f>
        <v>火焰史莱姆</v>
      </c>
      <c r="K1078" t="s">
        <v>1211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078" s="5"/>
    </row>
    <row r="1079" spans="1:16" ht="14.25" customHeight="1">
      <c r="A1079">
        <v>3039</v>
      </c>
      <c r="B1079">
        <v>0</v>
      </c>
      <c r="C1079">
        <v>0</v>
      </c>
      <c r="E1079" t="s">
        <v>2570</v>
      </c>
      <c r="F1079">
        <v>6</v>
      </c>
      <c r="G1079" s="1" t="s">
        <v>970</v>
      </c>
      <c r="H1079" s="16" t="s">
        <v>3711</v>
      </c>
      <c r="I1079" s="18"/>
      <c r="J1079" t="str">
        <f>IF(LEN(VLOOKUP(表1[[#This Row],[id]],数据引用!A:C,3,FALSE))&gt;0,VLOOKUP(表1[[#This Row],[id]],数据引用!A:C,3,FALSE),"")</f>
        <v>冰霜史莱姆</v>
      </c>
      <c r="K1079" t="s">
        <v>1211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079" s="5"/>
    </row>
    <row r="1080" spans="1:16" ht="14.25" customHeight="1">
      <c r="A1080">
        <v>3040</v>
      </c>
      <c r="B1080">
        <v>0</v>
      </c>
      <c r="C1080">
        <v>0</v>
      </c>
      <c r="E1080" t="s">
        <v>2570</v>
      </c>
      <c r="F1080">
        <v>6</v>
      </c>
      <c r="G1080" s="1" t="s">
        <v>971</v>
      </c>
      <c r="H1080" s="16" t="s">
        <v>3712</v>
      </c>
      <c r="I1080" s="18"/>
      <c r="J1080" t="str">
        <f>IF(LEN(VLOOKUP(表1[[#This Row],[id]],数据引用!A:C,3,FALSE))&gt;0,VLOOKUP(表1[[#This Row],[id]],数据引用!A:C,3,FALSE),"")</f>
        <v>骷髅骑士</v>
      </c>
      <c r="K1080" t="s">
        <v>1211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font-size:12;"&gt;骷髅骑士&lt;/text&gt;&lt;text transform="matrix(1 0 0 1 0 10.3205)" style="fill:#FFFFFF; font-family:'FZXS12--GB1-0'; font-size:12;"&gt;骷髅骑士&lt;/text&gt;&lt;/svg&gt;</v>
      </c>
      <c r="P1080" s="5"/>
    </row>
    <row r="1081" spans="1:16" ht="14.25" customHeight="1">
      <c r="A1081">
        <v>3041</v>
      </c>
      <c r="B1081">
        <v>0</v>
      </c>
      <c r="C1081">
        <v>0</v>
      </c>
      <c r="E1081" t="s">
        <v>2570</v>
      </c>
      <c r="F1081">
        <v>6</v>
      </c>
      <c r="G1081" s="13" t="s">
        <v>957</v>
      </c>
      <c r="H1081" s="15" t="s">
        <v>3713</v>
      </c>
      <c r="I1081" s="18"/>
      <c r="J1081" t="str">
        <f>IF(LEN(VLOOKUP(表1[[#This Row],[id]],数据引用!A:C,3,FALSE))&gt;0,VLOOKUP(表1[[#This Row],[id]],数据引用!A:C,3,FALSE),"")</f>
        <v>NULL</v>
      </c>
      <c r="K1081" t="s">
        <v>1211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81" s="5"/>
    </row>
    <row r="1082" spans="1:16" ht="14.25" customHeight="1">
      <c r="A1082">
        <v>3042</v>
      </c>
      <c r="B1082">
        <v>0</v>
      </c>
      <c r="C1082">
        <v>0</v>
      </c>
      <c r="E1082" t="s">
        <v>2570</v>
      </c>
      <c r="F1082">
        <v>6</v>
      </c>
      <c r="G1082" s="12" t="s">
        <v>971</v>
      </c>
      <c r="H1082" s="16" t="s">
        <v>3714</v>
      </c>
      <c r="I1082" s="18"/>
      <c r="J1082" t="str">
        <f>IF(LEN(VLOOKUP(表1[[#This Row],[id]],数据引用!A:C,3,FALSE))&gt;0,VLOOKUP(表1[[#This Row],[id]],数据引用!A:C,3,FALSE),"")</f>
        <v>黄色骷髅骑士</v>
      </c>
      <c r="K1082" t="s">
        <v>1211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082" s="5"/>
    </row>
    <row r="1083" spans="1:16" ht="14.25" customHeight="1">
      <c r="A1083">
        <v>3043</v>
      </c>
      <c r="B1083">
        <v>0</v>
      </c>
      <c r="C1083">
        <v>0</v>
      </c>
      <c r="E1083" t="s">
        <v>2570</v>
      </c>
      <c r="F1083">
        <v>6</v>
      </c>
      <c r="G1083" s="13" t="s">
        <v>958</v>
      </c>
      <c r="H1083" s="15" t="s">
        <v>3715</v>
      </c>
      <c r="I1083" s="18"/>
      <c r="J1083" t="str">
        <f>IF(LEN(VLOOKUP(表1[[#This Row],[id]],数据引用!A:C,3,FALSE))&gt;0,VLOOKUP(表1[[#This Row],[id]],数据引用!A:C,3,FALSE),"")</f>
        <v>NULL</v>
      </c>
      <c r="K1083" t="s">
        <v>1211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83" s="5"/>
    </row>
    <row r="1084" spans="1:16" ht="14.25" customHeight="1">
      <c r="A1084">
        <v>3044</v>
      </c>
      <c r="B1084">
        <v>0</v>
      </c>
      <c r="C1084">
        <v>0</v>
      </c>
      <c r="E1084" t="s">
        <v>2570</v>
      </c>
      <c r="F1084">
        <v>6</v>
      </c>
      <c r="G1084" s="12" t="s">
        <v>971</v>
      </c>
      <c r="H1084" s="16" t="s">
        <v>3716</v>
      </c>
      <c r="I1084" s="18"/>
      <c r="J1084" t="str">
        <f>IF(LEN(VLOOKUP(表1[[#This Row],[id]],数据引用!A:C,3,FALSE))&gt;0,VLOOKUP(表1[[#This Row],[id]],数据引用!A:C,3,FALSE),"")</f>
        <v>黑色骷髅骑士</v>
      </c>
      <c r="K1084" t="s">
        <v>1211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084" s="5"/>
    </row>
    <row r="1085" spans="1:16" ht="14.25" customHeight="1">
      <c r="A1085">
        <v>3045</v>
      </c>
      <c r="B1085">
        <v>0</v>
      </c>
      <c r="C1085">
        <v>0</v>
      </c>
      <c r="E1085" t="s">
        <v>2570</v>
      </c>
      <c r="F1085">
        <v>6</v>
      </c>
      <c r="G1085" s="1" t="s">
        <v>972</v>
      </c>
      <c r="H1085" s="16" t="s">
        <v>3717</v>
      </c>
      <c r="I1085" s="18"/>
      <c r="J1085" t="str">
        <f>IF(LEN(VLOOKUP(表1[[#This Row],[id]],数据引用!A:C,3,FALSE))&gt;0,VLOOKUP(表1[[#This Row],[id]],数据引用!A:C,3,FALSE),"")</f>
        <v>火元素</v>
      </c>
      <c r="K1085" t="s">
        <v>1211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085" s="5"/>
    </row>
    <row r="1086" spans="1:16" ht="14.25" customHeight="1">
      <c r="A1086">
        <v>3046</v>
      </c>
      <c r="B1086">
        <v>0</v>
      </c>
      <c r="C1086">
        <v>0</v>
      </c>
      <c r="E1086" t="s">
        <v>2570</v>
      </c>
      <c r="F1086">
        <v>6</v>
      </c>
      <c r="G1086" s="1" t="s">
        <v>973</v>
      </c>
      <c r="H1086" s="16" t="s">
        <v>3718</v>
      </c>
      <c r="I1086" s="18"/>
      <c r="J1086" t="str">
        <f>IF(LEN(VLOOKUP(表1[[#This Row],[id]],数据引用!A:C,3,FALSE))&gt;0,VLOOKUP(表1[[#This Row],[id]],数据引用!A:C,3,FALSE),"")</f>
        <v>冰元素</v>
      </c>
      <c r="K1086" t="s">
        <v>1211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086" s="5"/>
    </row>
    <row r="1087" spans="1:16" ht="14.25" customHeight="1">
      <c r="A1087">
        <v>3047</v>
      </c>
      <c r="B1087">
        <v>0</v>
      </c>
      <c r="C1087">
        <v>0</v>
      </c>
      <c r="E1087" t="s">
        <v>2570</v>
      </c>
      <c r="F1087">
        <v>6</v>
      </c>
      <c r="G1087" s="1" t="s">
        <v>974</v>
      </c>
      <c r="H1087" s="16" t="s">
        <v>3719</v>
      </c>
      <c r="I1087" s="18"/>
      <c r="J1087" t="str">
        <f>IF(LEN(VLOOKUP(表1[[#This Row],[id]],数据引用!A:C,3,FALSE))&gt;0,VLOOKUP(表1[[#This Row],[id]],数据引用!A:C,3,FALSE),"")</f>
        <v>紫色哥布林</v>
      </c>
      <c r="K1087" t="s">
        <v>1211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087" s="5"/>
    </row>
    <row r="1088" spans="1:16" ht="14.25" customHeight="1">
      <c r="A1088">
        <v>3048</v>
      </c>
      <c r="B1088">
        <v>0</v>
      </c>
      <c r="C1088">
        <v>0</v>
      </c>
      <c r="E1088" t="s">
        <v>2570</v>
      </c>
      <c r="F1088">
        <v>6</v>
      </c>
      <c r="G1088" s="13" t="s">
        <v>975</v>
      </c>
      <c r="H1088" s="15" t="s">
        <v>3720</v>
      </c>
      <c r="I1088" s="18"/>
      <c r="J1088" t="str">
        <f>IF(LEN(VLOOKUP(表1[[#This Row],[id]],数据引用!A:C,3,FALSE))&gt;0,VLOOKUP(表1[[#This Row],[id]],数据引用!A:C,3,FALSE),"")</f>
        <v>NULL</v>
      </c>
      <c r="K1088" t="s">
        <v>1211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88" s="5"/>
    </row>
    <row r="1089" spans="1:16" ht="14.25" customHeight="1">
      <c r="A1089">
        <v>3049</v>
      </c>
      <c r="B1089">
        <v>0</v>
      </c>
      <c r="C1089">
        <v>0</v>
      </c>
      <c r="E1089" t="s">
        <v>2570</v>
      </c>
      <c r="F1089">
        <v>6</v>
      </c>
      <c r="G1089" s="12" t="s">
        <v>974</v>
      </c>
      <c r="H1089" s="16" t="s">
        <v>3721</v>
      </c>
      <c r="I1089" s="18"/>
      <c r="J1089" t="str">
        <f>IF(LEN(VLOOKUP(表1[[#This Row],[id]],数据引用!A:C,3,FALSE))&gt;0,VLOOKUP(表1[[#This Row],[id]],数据引用!A:C,3,FALSE),"")</f>
        <v>灰色哥布林</v>
      </c>
      <c r="K1089" t="s">
        <v>1211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089" s="5"/>
    </row>
    <row r="1090" spans="1:16" ht="14.25" customHeight="1">
      <c r="A1090">
        <v>3050</v>
      </c>
      <c r="B1090">
        <v>0</v>
      </c>
      <c r="C1090">
        <v>0</v>
      </c>
      <c r="E1090" t="s">
        <v>2570</v>
      </c>
      <c r="F1090">
        <v>6</v>
      </c>
      <c r="G1090" s="1" t="s">
        <v>976</v>
      </c>
      <c r="H1090" s="16" t="s">
        <v>3722</v>
      </c>
      <c r="I1090" s="18"/>
      <c r="J1090" t="str">
        <f>IF(LEN(VLOOKUP(表1[[#This Row],[id]],数据引用!A:C,3,FALSE))&gt;0,VLOOKUP(表1[[#This Row],[id]],数据引用!A:C,3,FALSE),"")</f>
        <v>火甲虫</v>
      </c>
      <c r="K1090" t="s">
        <v>1211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090" s="5"/>
    </row>
    <row r="1091" spans="1:16" ht="14.25" customHeight="1">
      <c r="A1091">
        <v>3051</v>
      </c>
      <c r="B1091">
        <v>0</v>
      </c>
      <c r="C1091">
        <v>0</v>
      </c>
      <c r="E1091" t="s">
        <v>2570</v>
      </c>
      <c r="F1091">
        <v>6</v>
      </c>
      <c r="G1091" s="1" t="s">
        <v>977</v>
      </c>
      <c r="H1091" s="16" t="s">
        <v>3723</v>
      </c>
      <c r="I1091" s="18"/>
      <c r="J1091" t="str">
        <f>IF(LEN(VLOOKUP(表1[[#This Row],[id]],数据引用!A:C,3,FALSE))&gt;0,VLOOKUP(表1[[#This Row],[id]],数据引用!A:C,3,FALSE),"")</f>
        <v>冰甲虫</v>
      </c>
      <c r="K1091" t="s">
        <v>1211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091" s="5"/>
    </row>
    <row r="1092" spans="1:16" ht="14.25" customHeight="1">
      <c r="A1092">
        <v>3052</v>
      </c>
      <c r="B1092">
        <v>0</v>
      </c>
      <c r="C1092">
        <v>0</v>
      </c>
      <c r="E1092" t="s">
        <v>2570</v>
      </c>
      <c r="F1092">
        <v>6</v>
      </c>
      <c r="G1092" s="1" t="s">
        <v>978</v>
      </c>
      <c r="H1092" s="16" t="s">
        <v>3724</v>
      </c>
      <c r="I1092" s="18"/>
      <c r="J1092" t="str">
        <f>IF(LEN(VLOOKUP(表1[[#This Row],[id]],数据引用!A:C,3,FALSE))&gt;0,VLOOKUP(表1[[#This Row],[id]],数据引用!A:C,3,FALSE),"")</f>
        <v>推推怪</v>
      </c>
      <c r="K1092" t="s">
        <v>1211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092" s="5"/>
    </row>
    <row r="1093" spans="1:16" ht="14.25" customHeight="1">
      <c r="A1093">
        <v>3053</v>
      </c>
      <c r="B1093">
        <v>0</v>
      </c>
      <c r="C1093">
        <v>0</v>
      </c>
      <c r="E1093" t="s">
        <v>2570</v>
      </c>
      <c r="F1093">
        <v>6</v>
      </c>
      <c r="G1093" s="13" t="s">
        <v>975</v>
      </c>
      <c r="H1093" s="15" t="s">
        <v>3725</v>
      </c>
      <c r="I1093" s="18"/>
      <c r="J1093" t="str">
        <f>IF(LEN(VLOOKUP(表1[[#This Row],[id]],数据引用!A:C,3,FALSE))&gt;0,VLOOKUP(表1[[#This Row],[id]],数据引用!A:C,3,FALSE),"")</f>
        <v>NULL</v>
      </c>
      <c r="K1093" t="s">
        <v>1211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093" s="5"/>
    </row>
    <row r="1094" spans="1:16" ht="14.25" customHeight="1">
      <c r="A1094">
        <v>3054</v>
      </c>
      <c r="B1094">
        <v>0</v>
      </c>
      <c r="C1094">
        <v>0</v>
      </c>
      <c r="E1094" t="s">
        <v>2570</v>
      </c>
      <c r="F1094">
        <v>6</v>
      </c>
      <c r="G1094" s="12" t="s">
        <v>978</v>
      </c>
      <c r="H1094" s="16" t="s">
        <v>3726</v>
      </c>
      <c r="I1094" s="18"/>
      <c r="J1094" t="str">
        <f>IF(LEN(VLOOKUP(表1[[#This Row],[id]],数据引用!A:C,3,FALSE))&gt;0,VLOOKUP(表1[[#This Row],[id]],数据引用!A:C,3,FALSE),"")</f>
        <v>推推怪</v>
      </c>
      <c r="K1094" t="s">
        <v>1211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094" s="5"/>
    </row>
    <row r="1095" spans="1:16" ht="14.25" customHeight="1">
      <c r="A1095">
        <v>3055</v>
      </c>
      <c r="B1095">
        <v>0</v>
      </c>
      <c r="C1095">
        <v>0</v>
      </c>
      <c r="E1095" t="s">
        <v>2570</v>
      </c>
      <c r="F1095">
        <v>6</v>
      </c>
      <c r="G1095" s="1" t="s">
        <v>979</v>
      </c>
      <c r="H1095" s="16" t="s">
        <v>3727</v>
      </c>
      <c r="I1095" s="18"/>
      <c r="J1095" t="str">
        <f>IF(LEN(VLOOKUP(表1[[#This Row],[id]],数据引用!A:C,3,FALSE))&gt;0,VLOOKUP(表1[[#This Row],[id]],数据引用!A:C,3,FALSE),"")</f>
        <v>地狱犬</v>
      </c>
      <c r="K1095" t="s">
        <v>1211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095" s="5"/>
    </row>
    <row r="1096" spans="1:16" ht="14.25" customHeight="1">
      <c r="A1096">
        <v>3056</v>
      </c>
      <c r="B1096">
        <v>0</v>
      </c>
      <c r="C1096">
        <v>0</v>
      </c>
      <c r="E1096" t="s">
        <v>2570</v>
      </c>
      <c r="F1096">
        <v>6</v>
      </c>
      <c r="G1096" s="1" t="s">
        <v>980</v>
      </c>
      <c r="H1096" s="16" t="s">
        <v>3728</v>
      </c>
      <c r="I1096" s="18"/>
      <c r="J1096" t="str">
        <f>IF(LEN(VLOOKUP(表1[[#This Row],[id]],数据引用!A:C,3,FALSE))&gt;0,VLOOKUP(表1[[#This Row],[id]],数据引用!A:C,3,FALSE),"")</f>
        <v>冰风雪人</v>
      </c>
      <c r="K1096" t="s">
        <v>1211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096" s="5"/>
    </row>
    <row r="1097" spans="1:16" ht="14.25" customHeight="1">
      <c r="A1097">
        <v>3057</v>
      </c>
      <c r="B1097">
        <v>0</v>
      </c>
      <c r="C1097">
        <v>0</v>
      </c>
      <c r="E1097" t="s">
        <v>2570</v>
      </c>
      <c r="F1097">
        <v>6</v>
      </c>
      <c r="G1097" s="1" t="s">
        <v>981</v>
      </c>
      <c r="H1097" s="16" t="s">
        <v>3729</v>
      </c>
      <c r="I1097" s="18"/>
      <c r="J1097" t="str">
        <f>IF(LEN(VLOOKUP(表1[[#This Row],[id]],数据引用!A:C,3,FALSE))&gt;0,VLOOKUP(表1[[#This Row],[id]],数据引用!A:C,3,FALSE),"")</f>
        <v>恶魂</v>
      </c>
      <c r="K1097" t="s">
        <v>1211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097" s="5"/>
    </row>
    <row r="1098" spans="1:16" ht="14.25" customHeight="1">
      <c r="A1098">
        <v>3058</v>
      </c>
      <c r="B1098">
        <v>0</v>
      </c>
      <c r="C1098">
        <v>0</v>
      </c>
      <c r="E1098" t="s">
        <v>2570</v>
      </c>
      <c r="F1098">
        <v>6</v>
      </c>
      <c r="G1098" s="1" t="s">
        <v>982</v>
      </c>
      <c r="H1098" s="16" t="s">
        <v>3730</v>
      </c>
      <c r="I1098" s="18"/>
      <c r="J1098" t="str">
        <f>IF(LEN(VLOOKUP(表1[[#This Row],[id]],数据引用!A:C,3,FALSE))&gt;0,VLOOKUP(表1[[#This Row],[id]],数据引用!A:C,3,FALSE),"")</f>
        <v>锅炉怪</v>
      </c>
      <c r="K1098" t="s">
        <v>1211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font-size:12;"&gt;锅炉怪&lt;/text&gt;&lt;text transform="matrix(1 0 0 1 0 10.3205)" style="fill:#FFFFFF; font-family:'FZXS12--GB1-0'; font-size:12;"&gt;锅炉怪&lt;/text&gt;&lt;/svg&gt;</v>
      </c>
      <c r="P1098" s="5"/>
    </row>
    <row r="1099" spans="1:16" ht="14.25" customHeight="1">
      <c r="A1099">
        <v>3059</v>
      </c>
      <c r="B1099">
        <v>0</v>
      </c>
      <c r="C1099">
        <v>0</v>
      </c>
      <c r="E1099" t="s">
        <v>2570</v>
      </c>
      <c r="F1099">
        <v>6</v>
      </c>
      <c r="G1099" s="1" t="s">
        <v>983</v>
      </c>
      <c r="H1099" s="16" t="s">
        <v>3731</v>
      </c>
      <c r="I1099" s="18"/>
      <c r="J1099" t="str">
        <f>IF(LEN(VLOOKUP(表1[[#This Row],[id]],数据引用!A:C,3,FALSE))&gt;0,VLOOKUP(表1[[#This Row],[id]],数据引用!A:C,3,FALSE),"")</f>
        <v>石棺</v>
      </c>
      <c r="K1099" t="s">
        <v>1211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099" s="5"/>
    </row>
    <row r="1100" spans="1:16" ht="14.25" customHeight="1">
      <c r="A1100">
        <v>3060</v>
      </c>
      <c r="B1100">
        <v>0</v>
      </c>
      <c r="C1100">
        <v>0</v>
      </c>
      <c r="E1100" t="s">
        <v>2570</v>
      </c>
      <c r="F1100">
        <v>6</v>
      </c>
      <c r="G1100" s="13" t="s">
        <v>957</v>
      </c>
      <c r="H1100" s="15" t="s">
        <v>3732</v>
      </c>
      <c r="I1100" s="18"/>
      <c r="J1100" t="str">
        <f>IF(LEN(VLOOKUP(表1[[#This Row],[id]],数据引用!A:C,3,FALSE))&gt;0,VLOOKUP(表1[[#This Row],[id]],数据引用!A:C,3,FALSE),"")</f>
        <v>NULL</v>
      </c>
      <c r="K1100" t="s">
        <v>1211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00" s="5"/>
    </row>
    <row r="1101" spans="1:16" ht="14.25" customHeight="1">
      <c r="A1101">
        <v>3061</v>
      </c>
      <c r="B1101">
        <v>0</v>
      </c>
      <c r="C1101">
        <v>0</v>
      </c>
      <c r="E1101" t="s">
        <v>2570</v>
      </c>
      <c r="F1101">
        <v>6</v>
      </c>
      <c r="G1101" s="12" t="s">
        <v>983</v>
      </c>
      <c r="H1101" s="16" t="s">
        <v>3733</v>
      </c>
      <c r="I1101" s="18"/>
      <c r="J1101" t="str">
        <f>IF(LEN(VLOOKUP(表1[[#This Row],[id]],数据引用!A:C,3,FALSE))&gt;0,VLOOKUP(表1[[#This Row],[id]],数据引用!A:C,3,FALSE),"")</f>
        <v>黄色石棺</v>
      </c>
      <c r="K1101" t="s">
        <v>1211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101" s="5"/>
    </row>
    <row r="1102" spans="1:16" ht="14.25" customHeight="1">
      <c r="A1102">
        <v>3062</v>
      </c>
      <c r="B1102">
        <v>0</v>
      </c>
      <c r="C1102">
        <v>0</v>
      </c>
      <c r="E1102" t="s">
        <v>2570</v>
      </c>
      <c r="F1102">
        <v>6</v>
      </c>
      <c r="G1102" s="13" t="s">
        <v>958</v>
      </c>
      <c r="H1102" s="15" t="s">
        <v>3734</v>
      </c>
      <c r="I1102" s="18"/>
      <c r="J1102" t="str">
        <f>IF(LEN(VLOOKUP(表1[[#This Row],[id]],数据引用!A:C,3,FALSE))&gt;0,VLOOKUP(表1[[#This Row],[id]],数据引用!A:C,3,FALSE),"")</f>
        <v>NULL</v>
      </c>
      <c r="K1102" t="s">
        <v>1211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02" s="5"/>
    </row>
    <row r="1103" spans="1:16" ht="14.25" customHeight="1">
      <c r="A1103">
        <v>3063</v>
      </c>
      <c r="B1103">
        <v>0</v>
      </c>
      <c r="C1103">
        <v>0</v>
      </c>
      <c r="E1103" t="s">
        <v>2570</v>
      </c>
      <c r="F1103">
        <v>6</v>
      </c>
      <c r="G1103" s="12" t="s">
        <v>983</v>
      </c>
      <c r="H1103" s="16" t="s">
        <v>3735</v>
      </c>
      <c r="I1103" s="18"/>
      <c r="J1103" t="str">
        <f>IF(LEN(VLOOKUP(表1[[#This Row],[id]],数据引用!A:C,3,FALSE))&gt;0,VLOOKUP(表1[[#This Row],[id]],数据引用!A:C,3,FALSE),"")</f>
        <v>黑色石棺</v>
      </c>
      <c r="K1103" t="s">
        <v>1211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103" s="5"/>
    </row>
    <row r="1104" spans="1:16" ht="14.25" customHeight="1">
      <c r="A1104">
        <v>3064</v>
      </c>
      <c r="B1104">
        <v>0</v>
      </c>
      <c r="C1104">
        <v>0</v>
      </c>
      <c r="E1104" t="s">
        <v>2570</v>
      </c>
      <c r="F1104">
        <v>6</v>
      </c>
      <c r="G1104" s="1" t="s">
        <v>984</v>
      </c>
      <c r="H1104" s="16" t="s">
        <v>3736</v>
      </c>
      <c r="I1104" s="18"/>
      <c r="J1104" t="str">
        <f>IF(LEN(VLOOKUP(表1[[#This Row],[id]],数据引用!A:C,3,FALSE))&gt;0,VLOOKUP(表1[[#This Row],[id]],数据引用!A:C,3,FALSE),"")</f>
        <v>巫妖</v>
      </c>
      <c r="K1104" t="s">
        <v>1211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104" s="5"/>
    </row>
    <row r="1105" spans="1:16" ht="14.25" customHeight="1">
      <c r="A1105">
        <v>3065</v>
      </c>
      <c r="B1105">
        <v>0</v>
      </c>
      <c r="C1105">
        <v>0</v>
      </c>
      <c r="E1105" t="s">
        <v>2570</v>
      </c>
      <c r="F1105">
        <v>6</v>
      </c>
      <c r="G1105" s="1" t="s">
        <v>985</v>
      </c>
      <c r="H1105" s="16" t="s">
        <v>3737</v>
      </c>
      <c r="I1105" s="18"/>
      <c r="J1105" t="str">
        <f>IF(LEN(VLOOKUP(表1[[#This Row],[id]],数据引用!A:C,3,FALSE))&gt;0,VLOOKUP(表1[[#This Row],[id]],数据引用!A:C,3,FALSE),"")</f>
        <v>红巫妖</v>
      </c>
      <c r="K1105" t="s">
        <v>1211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105" s="5"/>
    </row>
    <row r="1106" spans="1:16" ht="14.25" customHeight="1">
      <c r="A1106">
        <v>3066</v>
      </c>
      <c r="B1106">
        <v>0</v>
      </c>
      <c r="C1106">
        <v>0</v>
      </c>
      <c r="E1106" t="s">
        <v>2570</v>
      </c>
      <c r="F1106">
        <v>6</v>
      </c>
      <c r="G1106" s="1" t="s">
        <v>986</v>
      </c>
      <c r="H1106" s="16" t="s">
        <v>3738</v>
      </c>
      <c r="I1106" s="18"/>
      <c r="J1106" t="str">
        <f>IF(LEN(VLOOKUP(表1[[#This Row],[id]],数据引用!A:C,3,FALSE))&gt;0,VLOOKUP(表1[[#This Row],[id]],数据引用!A:C,3,FALSE),"")</f>
        <v>黑巫妖</v>
      </c>
      <c r="K1106" t="s">
        <v>1211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106" s="5"/>
    </row>
    <row r="1107" spans="1:16" ht="14.25" customHeight="1">
      <c r="A1107">
        <v>3067</v>
      </c>
      <c r="B1107">
        <v>0</v>
      </c>
      <c r="C1107">
        <v>0</v>
      </c>
      <c r="E1107" t="s">
        <v>2570</v>
      </c>
      <c r="F1107">
        <v>6</v>
      </c>
      <c r="G1107" s="13" t="s">
        <v>987</v>
      </c>
      <c r="H1107" s="15" t="s">
        <v>3739</v>
      </c>
      <c r="I1107" s="18"/>
      <c r="J1107" t="str">
        <f>IF(LEN(VLOOKUP(表1[[#This Row],[id]],数据引用!A:C,3,FALSE))&gt;0,VLOOKUP(表1[[#This Row],[id]],数据引用!A:C,3,FALSE),"")</f>
        <v>NULL</v>
      </c>
      <c r="K1107" t="s">
        <v>1211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07" s="5"/>
    </row>
    <row r="1108" spans="1:16" ht="14.25" customHeight="1">
      <c r="A1108">
        <v>3068</v>
      </c>
      <c r="B1108">
        <v>0</v>
      </c>
      <c r="C1108">
        <v>0</v>
      </c>
      <c r="E1108" t="s">
        <v>2570</v>
      </c>
      <c r="F1108">
        <v>6</v>
      </c>
      <c r="G1108" s="12" t="s">
        <v>947</v>
      </c>
      <c r="H1108" s="16" t="s">
        <v>3740</v>
      </c>
      <c r="I1108" s="18"/>
      <c r="J1108" t="str">
        <f>IF(LEN(VLOOKUP(表1[[#This Row],[id]],数据引用!A:C,3,FALSE))&gt;0,VLOOKUP(表1[[#This Row],[id]],数据引用!A:C,3,FALSE),"")</f>
        <v>绿色猴子</v>
      </c>
      <c r="K1108" t="s">
        <v>1211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108" s="5"/>
    </row>
    <row r="1109" spans="1:16" ht="14.25" customHeight="1">
      <c r="A1109">
        <v>3069</v>
      </c>
      <c r="B1109">
        <v>0</v>
      </c>
      <c r="C1109">
        <v>0</v>
      </c>
      <c r="E1109" t="s">
        <v>2570</v>
      </c>
      <c r="F1109">
        <v>6</v>
      </c>
      <c r="G1109" s="13" t="s">
        <v>988</v>
      </c>
      <c r="H1109" s="15" t="s">
        <v>3741</v>
      </c>
      <c r="I1109" s="18"/>
      <c r="J1109" t="str">
        <f>IF(LEN(VLOOKUP(表1[[#This Row],[id]],数据引用!A:C,3,FALSE))&gt;0,VLOOKUP(表1[[#This Row],[id]],数据引用!A:C,3,FALSE),"")</f>
        <v>NULL</v>
      </c>
      <c r="K1109" t="s">
        <v>1211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09" s="5"/>
    </row>
    <row r="1110" spans="1:16" ht="14.25" customHeight="1">
      <c r="A1110">
        <v>3070</v>
      </c>
      <c r="B1110">
        <v>0</v>
      </c>
      <c r="C1110">
        <v>0</v>
      </c>
      <c r="E1110" t="s">
        <v>2570</v>
      </c>
      <c r="F1110">
        <v>6</v>
      </c>
      <c r="G1110" s="12" t="s">
        <v>947</v>
      </c>
      <c r="H1110" s="16" t="s">
        <v>3742</v>
      </c>
      <c r="I1110" s="18"/>
      <c r="J1110" t="str">
        <f>IF(LEN(VLOOKUP(表1[[#This Row],[id]],数据引用!A:C,3,FALSE))&gt;0,VLOOKUP(表1[[#This Row],[id]],数据引用!A:C,3,FALSE),"")</f>
        <v>魔法猴子</v>
      </c>
      <c r="K1110" t="s">
        <v>1211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110" s="5"/>
    </row>
    <row r="1111" spans="1:16" ht="14.25" customHeight="1">
      <c r="A1111">
        <v>3071</v>
      </c>
      <c r="B1111">
        <v>0</v>
      </c>
      <c r="C1111">
        <v>0</v>
      </c>
      <c r="E1111" t="s">
        <v>2570</v>
      </c>
      <c r="F1111">
        <v>6</v>
      </c>
      <c r="G1111" s="1" t="s">
        <v>989</v>
      </c>
      <c r="H1111" s="16" t="s">
        <v>3743</v>
      </c>
      <c r="I1111" s="18"/>
      <c r="J1111" t="str">
        <f>IF(LEN(VLOOKUP(表1[[#This Row],[id]],数据引用!A:C,3,FALSE))&gt;0,VLOOKUP(表1[[#This Row],[id]],数据引用!A:C,3,FALSE),"")</f>
        <v>术士</v>
      </c>
      <c r="K1111" t="s">
        <v>1211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111" s="5"/>
    </row>
    <row r="1112" spans="1:16" ht="14.25" customHeight="1">
      <c r="A1112">
        <v>3072</v>
      </c>
      <c r="B1112">
        <v>0</v>
      </c>
      <c r="C1112">
        <v>0</v>
      </c>
      <c r="E1112" t="s">
        <v>2570</v>
      </c>
      <c r="F1112">
        <v>6</v>
      </c>
      <c r="G1112" s="1" t="s">
        <v>990</v>
      </c>
      <c r="H1112" s="16" t="s">
        <v>3744</v>
      </c>
      <c r="I1112" s="18"/>
      <c r="J1112" t="str">
        <f>IF(LEN(VLOOKUP(表1[[#This Row],[id]],数据引用!A:C,3,FALSE))&gt;0,VLOOKUP(表1[[#This Row],[id]],数据引用!A:C,3,FALSE),"")</f>
        <v>霓虹术士</v>
      </c>
      <c r="K1112" t="s">
        <v>1211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112" s="5"/>
    </row>
    <row r="1113" spans="1:16" ht="14.25" customHeight="1">
      <c r="A1113">
        <v>3073</v>
      </c>
      <c r="B1113">
        <v>0</v>
      </c>
      <c r="C1113">
        <v>0</v>
      </c>
      <c r="E1113" t="s">
        <v>2570</v>
      </c>
      <c r="F1113">
        <v>6</v>
      </c>
      <c r="G1113" s="13" t="s">
        <v>991</v>
      </c>
      <c r="H1113" s="15" t="s">
        <v>3745</v>
      </c>
      <c r="I1113" s="18"/>
      <c r="J1113" t="str">
        <f>IF(LEN(VLOOKUP(表1[[#This Row],[id]],数据引用!A:C,3,FALSE))&gt;0,VLOOKUP(表1[[#This Row],[id]],数据引用!A:C,3,FALSE),"")</f>
        <v>NULL</v>
      </c>
      <c r="K1113" t="s">
        <v>1211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13" s="5"/>
    </row>
    <row r="1114" spans="1:16" ht="14.25" customHeight="1">
      <c r="A1114">
        <v>3074</v>
      </c>
      <c r="B1114">
        <v>0</v>
      </c>
      <c r="C1114">
        <v>0</v>
      </c>
      <c r="E1114" t="s">
        <v>2570</v>
      </c>
      <c r="F1114">
        <v>6</v>
      </c>
      <c r="G1114" s="12" t="s">
        <v>992</v>
      </c>
      <c r="H1114" s="16" t="s">
        <v>3746</v>
      </c>
      <c r="I1114" s="18"/>
      <c r="J1114" t="str">
        <f>IF(LEN(VLOOKUP(表1[[#This Row],[id]],数据引用!A:C,3,FALSE))&gt;0,VLOOKUP(表1[[#This Row],[id]],数据引用!A:C,3,FALSE),"")</f>
        <v>见习剑士</v>
      </c>
      <c r="K1114" t="s">
        <v>1211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14" s="5"/>
    </row>
    <row r="1115" spans="1:16" ht="14.25" customHeight="1">
      <c r="A1115">
        <v>3075</v>
      </c>
      <c r="B1115">
        <v>0</v>
      </c>
      <c r="C1115">
        <v>0</v>
      </c>
      <c r="E1115" t="s">
        <v>2570</v>
      </c>
      <c r="F1115">
        <v>6</v>
      </c>
      <c r="G1115" s="1" t="s">
        <v>992</v>
      </c>
      <c r="H1115" s="16" t="s">
        <v>3747</v>
      </c>
      <c r="I1115" s="18"/>
      <c r="J1115" t="str">
        <f>IF(LEN(VLOOKUP(表1[[#This Row],[id]],数据引用!A:C,3,FALSE))&gt;0,VLOOKUP(表1[[#This Row],[id]],数据引用!A:C,3,FALSE),"")</f>
        <v>剑术大师</v>
      </c>
      <c r="K1115" t="s">
        <v>1211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font-size:12;"&gt;剑术大师&lt;/text&gt;&lt;text transform="matrix(1 0 0 1 0 10.3205)" style="fill:#FFFFFF; font-family:'FZXS12--GB1-0'; font-size:12;"&gt;剑术大师&lt;/text&gt;&lt;/svg&gt;</v>
      </c>
      <c r="P1115" s="5"/>
    </row>
    <row r="1116" spans="1:16" ht="14.25" customHeight="1">
      <c r="A1116">
        <v>3076</v>
      </c>
      <c r="B1116">
        <v>0</v>
      </c>
      <c r="C1116">
        <v>0</v>
      </c>
      <c r="E1116" t="s">
        <v>2570</v>
      </c>
      <c r="F1116">
        <v>6</v>
      </c>
      <c r="G1116" s="1" t="s">
        <v>993</v>
      </c>
      <c r="H1116" s="16" t="s">
        <v>3748</v>
      </c>
      <c r="I1116" s="18"/>
      <c r="J1116" t="str">
        <f>IF(LEN(VLOOKUP(表1[[#This Row],[id]],数据引用!A:C,3,FALSE))&gt;0,VLOOKUP(表1[[#This Row],[id]],数据引用!A:C,3,FALSE),"")</f>
        <v>鹰身女妖</v>
      </c>
      <c r="K1116" t="s">
        <v>1211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116" s="5"/>
    </row>
    <row r="1117" spans="1:16" ht="14.25" customHeight="1">
      <c r="A1117">
        <v>3077</v>
      </c>
      <c r="B1117">
        <v>0</v>
      </c>
      <c r="C1117">
        <v>0</v>
      </c>
      <c r="E1117" t="s">
        <v>2570</v>
      </c>
      <c r="F1117">
        <v>6</v>
      </c>
      <c r="G1117" s="13" t="s">
        <v>974</v>
      </c>
      <c r="H1117" s="15" t="s">
        <v>3749</v>
      </c>
      <c r="I1117" s="18"/>
      <c r="J1117" t="str">
        <f>IF(LEN(VLOOKUP(表1[[#This Row],[id]],数据引用!A:C,3,FALSE))&gt;0,VLOOKUP(表1[[#This Row],[id]],数据引用!A:C,3,FALSE),"")</f>
        <v>NULL</v>
      </c>
      <c r="K1117" t="s">
        <v>1211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17" s="5"/>
    </row>
    <row r="1118" spans="1:16" ht="14.25" customHeight="1">
      <c r="A1118">
        <v>3078</v>
      </c>
      <c r="B1118">
        <v>0</v>
      </c>
      <c r="C1118">
        <v>0</v>
      </c>
      <c r="E1118" t="s">
        <v>2570</v>
      </c>
      <c r="F1118">
        <v>6</v>
      </c>
      <c r="G1118" s="1" t="s">
        <v>994</v>
      </c>
      <c r="H1118" s="16" t="s">
        <v>3750</v>
      </c>
      <c r="I1118" s="18"/>
      <c r="J1118" t="str">
        <f>IF(LEN(VLOOKUP(表1[[#This Row],[id]],数据引用!A:C,3,FALSE))&gt;0,VLOOKUP(表1[[#This Row],[id]],数据引用!A:C,3,FALSE),"")</f>
        <v>哥布林投弹手</v>
      </c>
      <c r="K1118" t="s">
        <v>1211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font-size:12;"&gt;哥布林投弹手&lt;/text&gt;&lt;text transform="matrix(1 0 0 1 0 10.3205)" style="fill:#FFFFFF; font-family:'FZXS12--GB1-0'; font-size:12;"&gt;哥布林投弹手&lt;/text&gt;&lt;/svg&gt;</v>
      </c>
      <c r="P1118" s="5"/>
    </row>
    <row r="1119" spans="1:16" ht="14.25" customHeight="1">
      <c r="A1119">
        <v>3079</v>
      </c>
      <c r="B1119">
        <v>0</v>
      </c>
      <c r="C1119">
        <v>0</v>
      </c>
      <c r="E1119" t="s">
        <v>2570</v>
      </c>
      <c r="F1119">
        <v>6</v>
      </c>
      <c r="G1119" s="1" t="s">
        <v>995</v>
      </c>
      <c r="H1119" s="16" t="s">
        <v>3751</v>
      </c>
      <c r="I1119" s="18"/>
      <c r="J1119" t="str">
        <f>IF(LEN(VLOOKUP(表1[[#This Row],[id]],数据引用!A:C,3,FALSE))&gt;0,VLOOKUP(表1[[#This Row],[id]],数据引用!A:C,3,FALSE),"")</f>
        <v>蜘蛛</v>
      </c>
      <c r="K1119" t="s">
        <v>1211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119" s="5"/>
    </row>
    <row r="1120" spans="1:16" ht="14.25" customHeight="1">
      <c r="A1120">
        <v>3080</v>
      </c>
      <c r="B1120">
        <v>0</v>
      </c>
      <c r="C1120">
        <v>0</v>
      </c>
      <c r="E1120" t="s">
        <v>2570</v>
      </c>
      <c r="F1120">
        <v>6</v>
      </c>
      <c r="G1120" s="13" t="s">
        <v>974</v>
      </c>
      <c r="H1120" s="15" t="s">
        <v>3752</v>
      </c>
      <c r="I1120" s="18"/>
      <c r="J1120" t="str">
        <f>IF(LEN(VLOOKUP(表1[[#This Row],[id]],数据引用!A:C,3,FALSE))&gt;0,VLOOKUP(表1[[#This Row],[id]],数据引用!A:C,3,FALSE),"")</f>
        <v>NULL</v>
      </c>
      <c r="K1120" t="s">
        <v>1211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20" s="5"/>
    </row>
    <row r="1121" spans="1:16" ht="14.25" customHeight="1">
      <c r="A1121">
        <v>3081</v>
      </c>
      <c r="B1121">
        <v>0</v>
      </c>
      <c r="C1121">
        <v>0</v>
      </c>
      <c r="E1121" t="s">
        <v>2570</v>
      </c>
      <c r="F1121">
        <v>6</v>
      </c>
      <c r="G1121" s="12" t="s">
        <v>996</v>
      </c>
      <c r="H1121" s="16" t="s">
        <v>3753</v>
      </c>
      <c r="I1121" s="18"/>
      <c r="J1121" t="str">
        <f>IF(LEN(VLOOKUP(表1[[#This Row],[id]],数据引用!A:C,3,FALSE))&gt;0,VLOOKUP(表1[[#This Row],[id]],数据引用!A:C,3,FALSE),"")</f>
        <v>哥布林警卫</v>
      </c>
      <c r="K1121" t="s">
        <v>1211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121" s="5"/>
    </row>
    <row r="1122" spans="1:16" ht="14.25" customHeight="1">
      <c r="A1122">
        <v>3082</v>
      </c>
      <c r="B1122">
        <v>0</v>
      </c>
      <c r="C1122">
        <v>0</v>
      </c>
      <c r="E1122" t="s">
        <v>2570</v>
      </c>
      <c r="F1122">
        <v>6</v>
      </c>
      <c r="G1122" s="1" t="s">
        <v>997</v>
      </c>
      <c r="H1122" s="16" t="s">
        <v>3754</v>
      </c>
      <c r="I1122" s="18"/>
      <c r="J1122" t="str">
        <f>IF(LEN(VLOOKUP(表1[[#This Row],[id]],数据引用!A:C,3,FALSE))&gt;0,VLOOKUP(表1[[#This Row],[id]],数据引用!A:C,3,FALSE),"")</f>
        <v>软泥巨人</v>
      </c>
      <c r="K1122" t="s">
        <v>1211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122" s="5"/>
    </row>
    <row r="1123" spans="1:16" ht="14.25" customHeight="1">
      <c r="A1123">
        <v>3083</v>
      </c>
      <c r="B1123">
        <v>0</v>
      </c>
      <c r="C1123">
        <v>0</v>
      </c>
      <c r="E1123" t="s">
        <v>2570</v>
      </c>
      <c r="F1123">
        <v>6</v>
      </c>
      <c r="G1123" s="1" t="s">
        <v>998</v>
      </c>
      <c r="H1123" s="16" t="s">
        <v>3755</v>
      </c>
      <c r="I1123" s="18"/>
      <c r="J1123" t="str">
        <f>IF(LEN(VLOOKUP(表1[[#This Row],[id]],数据引用!A:C,3,FALSE))&gt;0,VLOOKUP(表1[[#This Row],[id]],数据引用!A:C,3,FALSE),"")</f>
        <v>黑色蝙蝠</v>
      </c>
      <c r="K1123" t="s">
        <v>1211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123" s="5"/>
    </row>
    <row r="1124" spans="1:16" ht="14.25" customHeight="1">
      <c r="A1124">
        <v>3084</v>
      </c>
      <c r="B1124">
        <v>0</v>
      </c>
      <c r="C1124">
        <v>0</v>
      </c>
      <c r="E1124" t="s">
        <v>2570</v>
      </c>
      <c r="F1124">
        <v>6</v>
      </c>
      <c r="G1124" s="13" t="s">
        <v>999</v>
      </c>
      <c r="H1124" s="15" t="s">
        <v>3756</v>
      </c>
      <c r="I1124" s="18"/>
      <c r="J1124" t="str">
        <f>IF(LEN(VLOOKUP(表1[[#This Row],[id]],数据引用!A:C,3,FALSE))&gt;0,VLOOKUP(表1[[#This Row],[id]],数据引用!A:C,3,FALSE),"")</f>
        <v>NULL</v>
      </c>
      <c r="K1124" t="s">
        <v>1211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24" s="5"/>
    </row>
    <row r="1125" spans="1:16" ht="14.25" customHeight="1">
      <c r="A1125">
        <v>3085</v>
      </c>
      <c r="B1125">
        <v>0</v>
      </c>
      <c r="C1125">
        <v>0</v>
      </c>
      <c r="E1125" t="s">
        <v>2570</v>
      </c>
      <c r="F1125">
        <v>6</v>
      </c>
      <c r="G1125" s="12" t="s">
        <v>963</v>
      </c>
      <c r="H1125" s="16" t="s">
        <v>3757</v>
      </c>
      <c r="I1125" s="18"/>
      <c r="J1125" t="str">
        <f>IF(LEN(VLOOKUP(表1[[#This Row],[id]],数据引用!A:C,3,FALSE))&gt;0,VLOOKUP(表1[[#This Row],[id]],数据引用!A:C,3,FALSE),"")</f>
        <v>橙色犰狳</v>
      </c>
      <c r="K1125" t="s">
        <v>1211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125" s="5"/>
    </row>
    <row r="1126" spans="1:16" ht="14.25" customHeight="1">
      <c r="A1126">
        <v>3086</v>
      </c>
      <c r="B1126">
        <v>0</v>
      </c>
      <c r="C1126">
        <v>0</v>
      </c>
      <c r="E1126" t="s">
        <v>2570</v>
      </c>
      <c r="F1126">
        <v>6</v>
      </c>
      <c r="G1126" s="1" t="s">
        <v>1000</v>
      </c>
      <c r="H1126" s="16" t="s">
        <v>3758</v>
      </c>
      <c r="I1126" s="18"/>
      <c r="J1126" t="str">
        <f>IF(LEN(VLOOKUP(表1[[#This Row],[id]],数据引用!A:C,3,FALSE))&gt;0,VLOOKUP(表1[[#This Row],[id]],数据引用!A:C,3,FALSE),"")</f>
        <v>饿魂</v>
      </c>
      <c r="K1126" t="s">
        <v>1211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126" s="5"/>
    </row>
    <row r="1127" spans="1:16" ht="14.25" customHeight="1">
      <c r="A1127">
        <v>3087</v>
      </c>
      <c r="B1127">
        <v>0</v>
      </c>
      <c r="C1127">
        <v>0</v>
      </c>
      <c r="E1127" t="s">
        <v>2570</v>
      </c>
      <c r="F1127">
        <v>6</v>
      </c>
      <c r="G1127" s="1" t="s">
        <v>1001</v>
      </c>
      <c r="H1127" s="16" t="s">
        <v>3759</v>
      </c>
      <c r="I1127" s="18"/>
      <c r="J1127" t="str">
        <f>IF(LEN(VLOOKUP(表1[[#This Row],[id]],数据引用!A:C,3,FALSE))&gt;0,VLOOKUP(表1[[#This Row],[id]],数据引用!A:C,3,FALSE),"")</f>
        <v>小精灵</v>
      </c>
      <c r="K1127" t="s">
        <v>1211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127" s="5"/>
    </row>
    <row r="1128" spans="1:16" ht="14.25" customHeight="1">
      <c r="A1128">
        <v>3088</v>
      </c>
      <c r="B1128">
        <v>0</v>
      </c>
      <c r="C1128">
        <v>0</v>
      </c>
      <c r="E1128" t="s">
        <v>2570</v>
      </c>
      <c r="F1128">
        <v>6</v>
      </c>
      <c r="G1128" s="1" t="s">
        <v>1002</v>
      </c>
      <c r="H1128" s="16" t="s">
        <v>3760</v>
      </c>
      <c r="I1128" s="18"/>
      <c r="J1128" t="str">
        <f>IF(LEN(VLOOKUP(表1[[#This Row],[id]],数据引用!A:C,3,FALSE))&gt;0,VLOOKUP(表1[[#This Row],[id]],数据引用!A:C,3,FALSE),"")</f>
        <v>恐怖巨蝠</v>
      </c>
      <c r="K1128" t="s">
        <v>1211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font-size:12;"&gt;恐怖巨蝠&lt;/text&gt;&lt;text transform="matrix(1 0 0 1 0 10.3205)" style="fill:#FFFFFF; font-family:'FZXS12--GB1-0'; font-size:12;"&gt;恐怖巨蝠&lt;/text&gt;&lt;/svg&gt;</v>
      </c>
      <c r="P1128" s="5"/>
    </row>
    <row r="1129" spans="1:16" ht="14.25" customHeight="1">
      <c r="A1129">
        <v>3089</v>
      </c>
      <c r="B1129">
        <v>0</v>
      </c>
      <c r="C1129">
        <v>0</v>
      </c>
      <c r="E1129" t="s">
        <v>2570</v>
      </c>
      <c r="F1129">
        <v>6</v>
      </c>
      <c r="G1129" s="1" t="s">
        <v>1003</v>
      </c>
      <c r="H1129" s="16" t="s">
        <v>3761</v>
      </c>
      <c r="I1129" s="18"/>
      <c r="J1129" t="str">
        <f>IF(LEN(VLOOKUP(表1[[#This Row],[id]],数据引用!A:C,3,FALSE))&gt;0,VLOOKUP(表1[[#This Row],[id]],数据引用!A:C,3,FALSE),"")</f>
        <v>灰色恐怖巨蝠</v>
      </c>
      <c r="K1129" t="s">
        <v>1211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font-size:12;"&gt;灰色恐怖巨蝠&lt;/text&gt;&lt;text transform="matrix(1 0 0 1 0 10.3205)" style="fill:#FFFFFF; font-family:'FZXS12--GB1-0'; font-size:12;"&gt;灰色恐怖巨蝠&lt;/text&gt;&lt;/svg&gt;</v>
      </c>
      <c r="P1129" s="5"/>
    </row>
    <row r="1130" spans="1:16" ht="14.25" customHeight="1">
      <c r="A1130">
        <v>3090</v>
      </c>
      <c r="B1130">
        <v>0</v>
      </c>
      <c r="C1130">
        <v>0</v>
      </c>
      <c r="E1130" t="s">
        <v>2570</v>
      </c>
      <c r="F1130">
        <v>6</v>
      </c>
      <c r="G1130" s="1" t="s">
        <v>1004</v>
      </c>
      <c r="H1130" s="16" t="s">
        <v>3762</v>
      </c>
      <c r="I1130" s="18"/>
      <c r="J1130" t="str">
        <f>IF(LEN(VLOOKUP(表1[[#This Row],[id]],数据引用!A:C,3,FALSE))&gt;0,VLOOKUP(表1[[#This Row],[id]],数据引用!A:C,3,FALSE),"")</f>
        <v>绿龙</v>
      </c>
      <c r="K1130" t="s">
        <v>1211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130" s="5"/>
    </row>
    <row r="1131" spans="1:16" ht="14.25" customHeight="1">
      <c r="A1131">
        <v>3091</v>
      </c>
      <c r="B1131">
        <v>0</v>
      </c>
      <c r="C1131">
        <v>0</v>
      </c>
      <c r="E1131" t="s">
        <v>2570</v>
      </c>
      <c r="F1131">
        <v>6</v>
      </c>
      <c r="G1131" s="1" t="s">
        <v>1005</v>
      </c>
      <c r="H1131" s="16" t="s">
        <v>3763</v>
      </c>
      <c r="I1131" s="18"/>
      <c r="J1131" t="str">
        <f>IF(LEN(VLOOKUP(表1[[#This Row],[id]],数据引用!A:C,3,FALSE))&gt;0,VLOOKUP(表1[[#This Row],[id]],数据引用!A:C,3,FALSE),"")</f>
        <v>红龙</v>
      </c>
      <c r="K1131" t="s">
        <v>1211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131" s="5"/>
    </row>
    <row r="1132" spans="1:16" ht="14.25" customHeight="1">
      <c r="A1132">
        <v>3092</v>
      </c>
      <c r="B1132">
        <v>0</v>
      </c>
      <c r="C1132">
        <v>0</v>
      </c>
      <c r="E1132" t="s">
        <v>2570</v>
      </c>
      <c r="F1132">
        <v>6</v>
      </c>
      <c r="G1132" s="1" t="s">
        <v>1006</v>
      </c>
      <c r="H1132" s="16" t="s">
        <v>3764</v>
      </c>
      <c r="I1132" s="18"/>
      <c r="J1132" t="str">
        <f>IF(LEN(VLOOKUP(表1[[#This Row],[id]],数据引用!A:C,3,FALSE))&gt;0,VLOOKUP(表1[[#This Row],[id]],数据引用!A:C,3,FALSE),"")</f>
        <v>蓝龙</v>
      </c>
      <c r="K1132" t="s">
        <v>1211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132" s="5"/>
    </row>
    <row r="1133" spans="1:16" ht="14.25" customHeight="1">
      <c r="A1133">
        <v>3093</v>
      </c>
      <c r="B1133">
        <v>0</v>
      </c>
      <c r="C1133">
        <v>0</v>
      </c>
      <c r="E1133" t="s">
        <v>2570</v>
      </c>
      <c r="F1133">
        <v>6</v>
      </c>
      <c r="G1133" s="1" t="s">
        <v>1007</v>
      </c>
      <c r="H1133" s="16" t="s">
        <v>3765</v>
      </c>
      <c r="I1133" s="18"/>
      <c r="J1133" t="str">
        <f>IF(LEN(VLOOKUP(表1[[#This Row],[id]],数据引用!A:C,3,FALSE))&gt;0,VLOOKUP(表1[[#This Row],[id]],数据引用!A:C,3,FALSE),"")</f>
        <v>女妖</v>
      </c>
      <c r="K1133" t="s">
        <v>1211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font-size:12;"&gt;女妖&lt;/text&gt;&lt;text transform="matrix(1 0 0 1 0 10.3205)" style="fill:#FFFFFF; font-family:'FZXS12--GB1-0'; font-size:12;"&gt;女妖&lt;/text&gt;&lt;/svg&gt;</v>
      </c>
      <c r="P1133" s="5"/>
    </row>
    <row r="1134" spans="1:16" ht="14.25" customHeight="1">
      <c r="A1134">
        <v>3094</v>
      </c>
      <c r="B1134">
        <v>0</v>
      </c>
      <c r="C1134">
        <v>0</v>
      </c>
      <c r="E1134" t="s">
        <v>2570</v>
      </c>
      <c r="F1134">
        <v>6</v>
      </c>
      <c r="G1134" s="13" t="s">
        <v>987</v>
      </c>
      <c r="H1134" s="15" t="s">
        <v>3766</v>
      </c>
      <c r="I1134" s="18"/>
      <c r="J1134" t="str">
        <f>IF(LEN(VLOOKUP(表1[[#This Row],[id]],数据引用!A:C,3,FALSE))&gt;0,VLOOKUP(表1[[#This Row],[id]],数据引用!A:C,3,FALSE),"")</f>
        <v>NULL</v>
      </c>
      <c r="K1134" t="s">
        <v>1211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34" s="5"/>
    </row>
    <row r="1135" spans="1:16" ht="14.25" customHeight="1">
      <c r="A1135">
        <v>3095</v>
      </c>
      <c r="B1135">
        <v>0</v>
      </c>
      <c r="C1135">
        <v>0</v>
      </c>
      <c r="E1135" t="s">
        <v>2570</v>
      </c>
      <c r="F1135">
        <v>6</v>
      </c>
      <c r="G1135" s="12" t="s">
        <v>1007</v>
      </c>
      <c r="H1135" s="16" t="s">
        <v>3767</v>
      </c>
      <c r="I1135" s="18"/>
      <c r="J1135" t="str">
        <f>IF(LEN(VLOOKUP(表1[[#This Row],[id]],数据引用!A:C,3,FALSE))&gt;0,VLOOKUP(表1[[#This Row],[id]],数据引用!A:C,3,FALSE),"")</f>
        <v>绿色女妖</v>
      </c>
      <c r="K1135" t="s">
        <v>1211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135" s="5"/>
    </row>
    <row r="1136" spans="1:16" ht="14.25" customHeight="1">
      <c r="A1136">
        <v>3096</v>
      </c>
      <c r="B1136">
        <v>0</v>
      </c>
      <c r="C1136">
        <v>0</v>
      </c>
      <c r="E1136" t="s">
        <v>2570</v>
      </c>
      <c r="F1136">
        <v>6</v>
      </c>
      <c r="G1136" s="1" t="s">
        <v>1008</v>
      </c>
      <c r="H1136" s="16" t="s">
        <v>3768</v>
      </c>
      <c r="I1136" s="18"/>
      <c r="J1136" t="str">
        <f>IF(LEN(VLOOKUP(表1[[#This Row],[id]],数据引用!A:C,3,FALSE))&gt;0,VLOOKUP(表1[[#This Row],[id]],数据引用!A:C,3,FALSE),"")</f>
        <v>竖琴牛头怪</v>
      </c>
      <c r="K1136" t="s">
        <v>1211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font-size:12;"&gt;竖琴牛头怪&lt;/text&gt;&lt;text transform="matrix(1 0 0 1 0 10.3205)" style="fill:#FFFFFF; font-family:'FZXS12--GB1-0'; font-size:12;"&gt;竖琴牛头怪&lt;/text&gt;&lt;/svg&gt;</v>
      </c>
      <c r="P1136" s="5"/>
    </row>
    <row r="1137" spans="1:16" ht="14.25" customHeight="1">
      <c r="A1137">
        <v>3097</v>
      </c>
      <c r="B1137">
        <v>0</v>
      </c>
      <c r="C1137">
        <v>0</v>
      </c>
      <c r="E1137" t="s">
        <v>2570</v>
      </c>
      <c r="F1137">
        <v>6</v>
      </c>
      <c r="G1137" s="1" t="s">
        <v>1009</v>
      </c>
      <c r="H1137" s="16" t="s">
        <v>3769</v>
      </c>
      <c r="I1137" s="18"/>
      <c r="J1137" t="str">
        <f>IF(LEN(VLOOKUP(表1[[#This Row],[id]],数据引用!A:C,3,FALSE))&gt;0,VLOOKUP(表1[[#This Row],[id]],数据引用!A:C,3,FALSE),"")</f>
        <v>灰色竖琴牛头怪</v>
      </c>
      <c r="K1137" t="s">
        <v>1211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font-size:12;"&gt;灰色竖琴牛头怪&lt;/text&gt;&lt;text transform="matrix(1 0 0 1 0 10.3205)" style="fill:#FFFFFF; font-family:'FZXS12--GB1-0'; font-size:12;"&gt;灰色竖琴牛头怪&lt;/text&gt;&lt;/svg&gt;</v>
      </c>
      <c r="P1137" s="5"/>
    </row>
    <row r="1138" spans="1:16" ht="14.25" customHeight="1">
      <c r="A1138">
        <v>3098</v>
      </c>
      <c r="B1138">
        <v>0</v>
      </c>
      <c r="C1138">
        <v>0</v>
      </c>
      <c r="E1138" t="s">
        <v>2570</v>
      </c>
      <c r="F1138">
        <v>6</v>
      </c>
      <c r="G1138" s="1" t="s">
        <v>1010</v>
      </c>
      <c r="H1138" s="16" t="s">
        <v>3770</v>
      </c>
      <c r="I1138" s="18"/>
      <c r="J1138" t="str">
        <f>IF(LEN(VLOOKUP(表1[[#This Row],[id]],数据引用!A:C,3,FALSE))&gt;0,VLOOKUP(表1[[#This Row],[id]],数据引用!A:C,3,FALSE),"")</f>
        <v>梦魇</v>
      </c>
      <c r="K1138" t="s">
        <v>1211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font-size:12;"&gt;梦魇&lt;/text&gt;&lt;text transform="matrix(1 0 0 1 0 10.3205)" style="fill:#FFFFFF; font-family:'FZXS12--GB1-0'; font-size:12;"&gt;梦魇&lt;/text&gt;&lt;/svg&gt;</v>
      </c>
      <c r="P1138" s="5"/>
    </row>
    <row r="1139" spans="1:16" ht="14.25" customHeight="1">
      <c r="A1139">
        <v>3099</v>
      </c>
      <c r="B1139">
        <v>0</v>
      </c>
      <c r="C1139">
        <v>0</v>
      </c>
      <c r="E1139" t="s">
        <v>2570</v>
      </c>
      <c r="F1139">
        <v>6</v>
      </c>
      <c r="G1139" s="1" t="s">
        <v>1011</v>
      </c>
      <c r="H1139" s="16" t="s">
        <v>3771</v>
      </c>
      <c r="I1139" s="18"/>
      <c r="J1139" t="str">
        <f>IF(LEN(VLOOKUP(表1[[#This Row],[id]],数据引用!A:C,3,FALSE))&gt;0,VLOOKUP(表1[[#This Row],[id]],数据引用!A:C,3,FALSE),"")</f>
        <v>血之梦魇</v>
      </c>
      <c r="K1139" t="s">
        <v>1211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139" s="5"/>
    </row>
    <row r="1140" spans="1:16" ht="14.25" customHeight="1">
      <c r="A1140">
        <v>3100</v>
      </c>
      <c r="B1140">
        <v>0</v>
      </c>
      <c r="C1140">
        <v>0</v>
      </c>
      <c r="E1140" t="s">
        <v>2570</v>
      </c>
      <c r="F1140">
        <v>6</v>
      </c>
      <c r="G1140" s="1" t="s">
        <v>1012</v>
      </c>
      <c r="H1140" s="16" t="s">
        <v>3772</v>
      </c>
      <c r="I1140" s="18"/>
      <c r="J1140" t="str">
        <f>IF(LEN(VLOOKUP(表1[[#This Row],[id]],数据引用!A:C,3,FALSE))&gt;0,VLOOKUP(表1[[#This Row],[id]],数据引用!A:C,3,FALSE),"")</f>
        <v>木乃伊母体</v>
      </c>
      <c r="K1140" t="s">
        <v>1211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140" s="5"/>
    </row>
    <row r="1141" spans="1:16" ht="14.25" customHeight="1">
      <c r="A1141">
        <v>3101</v>
      </c>
      <c r="B1141">
        <v>0</v>
      </c>
      <c r="C1141">
        <v>0</v>
      </c>
      <c r="E1141" t="s">
        <v>2570</v>
      </c>
      <c r="F1141">
        <v>6</v>
      </c>
      <c r="G1141" s="1" t="s">
        <v>1013</v>
      </c>
      <c r="H1141" s="16" t="s">
        <v>3773</v>
      </c>
      <c r="I1141" s="18"/>
      <c r="J1141" t="str">
        <f>IF(LEN(VLOOKUP(表1[[#This Row],[id]],数据引用!A:C,3,FALSE))&gt;0,VLOOKUP(表1[[#This Row],[id]],数据引用!A:C,3,FALSE),"")</f>
        <v>食人魔</v>
      </c>
      <c r="K1141" t="s">
        <v>1211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141" s="5"/>
    </row>
    <row r="1142" spans="1:16" ht="14.25" customHeight="1">
      <c r="A1142">
        <v>3102</v>
      </c>
      <c r="B1142">
        <v>0</v>
      </c>
      <c r="C1142">
        <v>0</v>
      </c>
      <c r="E1142" t="s">
        <v>2570</v>
      </c>
      <c r="F1142">
        <v>6</v>
      </c>
      <c r="G1142" s="1" t="s">
        <v>1014</v>
      </c>
      <c r="H1142" s="16" t="s">
        <v>3774</v>
      </c>
      <c r="I1142" s="18"/>
      <c r="J1142" t="str">
        <f>IF(LEN(VLOOKUP(表1[[#This Row],[id]],数据引用!A:C,3,FALSE))&gt;0,VLOOKUP(表1[[#This Row],[id]],数据引用!A:C,3,FALSE),"")</f>
        <v>金刚鼓王 1</v>
      </c>
      <c r="K1142" t="s">
        <v>1211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1&lt;/text&gt;&lt;text transform="matrix(1 0 0 1 0 10.3205)" style="fill:#FFFFFF; font-family:'FZXS12--GB1-0'; font-size:12;"&gt;金刚鼓王 1&lt;/text&gt;&lt;/svg&gt;</v>
      </c>
      <c r="P1142" s="5"/>
    </row>
    <row r="1143" spans="1:16" ht="14.25" customHeight="1">
      <c r="A1143">
        <v>3103</v>
      </c>
      <c r="B1143">
        <v>0</v>
      </c>
      <c r="C1143">
        <v>0</v>
      </c>
      <c r="E1143" t="s">
        <v>2570</v>
      </c>
      <c r="F1143">
        <v>6</v>
      </c>
      <c r="G1143" s="1" t="s">
        <v>1015</v>
      </c>
      <c r="H1143" s="16" t="s">
        <v>3775</v>
      </c>
      <c r="I1143" s="18"/>
      <c r="J1143" t="str">
        <f>IF(LEN(VLOOKUP(表1[[#This Row],[id]],数据引用!A:C,3,FALSE))&gt;0,VLOOKUP(表1[[#This Row],[id]],数据引用!A:C,3,FALSE),"")</f>
        <v>金刚鼓王 2</v>
      </c>
      <c r="K1143" t="s">
        <v>1211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2&lt;/text&gt;&lt;text transform="matrix(1 0 0 1 0 10.3205)" style="fill:#FFFFFF; font-family:'FZXS12--GB1-0'; font-size:12;"&gt;金刚鼓王 2&lt;/text&gt;&lt;/svg&gt;</v>
      </c>
      <c r="P1143" s="5"/>
    </row>
    <row r="1144" spans="1:16" ht="14.25" customHeight="1">
      <c r="A1144">
        <v>3104</v>
      </c>
      <c r="B1144">
        <v>0</v>
      </c>
      <c r="C1144">
        <v>0</v>
      </c>
      <c r="E1144" t="s">
        <v>2570</v>
      </c>
      <c r="F1144">
        <v>6</v>
      </c>
      <c r="G1144" s="1" t="s">
        <v>1016</v>
      </c>
      <c r="H1144" s="16" t="s">
        <v>3776</v>
      </c>
      <c r="I1144" s="18"/>
      <c r="J1144" t="str">
        <f>IF(LEN(VLOOKUP(表1[[#This Row],[id]],数据引用!A:C,3,FALSE))&gt;0,VLOOKUP(表1[[#This Row],[id]],数据引用!A:C,3,FALSE),"")</f>
        <v>金刚鼓王 3</v>
      </c>
      <c r="K1144" t="s">
        <v>1211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3&lt;/text&gt;&lt;text transform="matrix(1 0 0 1 0 10.3205)" style="fill:#FFFFFF; font-family:'FZXS12--GB1-0'; font-size:12;"&gt;金刚鼓王 3&lt;/text&gt;&lt;/svg&gt;</v>
      </c>
      <c r="P1144" s="5"/>
    </row>
    <row r="1145" spans="1:16" ht="14.25" customHeight="1">
      <c r="A1145">
        <v>3105</v>
      </c>
      <c r="B1145">
        <v>0</v>
      </c>
      <c r="C1145">
        <v>0</v>
      </c>
      <c r="E1145" t="s">
        <v>2570</v>
      </c>
      <c r="F1145">
        <v>6</v>
      </c>
      <c r="G1145" s="1" t="s">
        <v>1017</v>
      </c>
      <c r="H1145" s="16" t="s">
        <v>3777</v>
      </c>
      <c r="I1145" s="18"/>
      <c r="J1145" t="str">
        <f>IF(LEN(VLOOKUP(表1[[#This Row],[id]],数据引用!A:C,3,FALSE))&gt;0,VLOOKUP(表1[[#This Row],[id]],数据引用!A:C,3,FALSE),"")</f>
        <v>金刚鼓王 4</v>
      </c>
      <c r="K1145" t="s">
        <v>1211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4&lt;/text&gt;&lt;text transform="matrix(1 0 0 1 0 10.3205)" style="fill:#FFFFFF; font-family:'FZXS12--GB1-0'; font-size:12;"&gt;金刚鼓王 4&lt;/text&gt;&lt;/svg&gt;</v>
      </c>
      <c r="P1145" s="5"/>
    </row>
    <row r="1146" spans="1:16" ht="14.25" customHeight="1">
      <c r="A1146">
        <v>3106</v>
      </c>
      <c r="B1146">
        <v>0</v>
      </c>
      <c r="C1146">
        <v>0</v>
      </c>
      <c r="E1146" t="s">
        <v>2570</v>
      </c>
      <c r="F1146">
        <v>6</v>
      </c>
      <c r="G1146" s="1" t="s">
        <v>1018</v>
      </c>
      <c r="H1146" s="16" t="s">
        <v>3778</v>
      </c>
      <c r="I1146" s="18"/>
      <c r="J1146" t="str">
        <f>IF(LEN(VLOOKUP(表1[[#This Row],[id]],数据引用!A:C,3,FALSE))&gt;0,VLOOKUP(表1[[#This Row],[id]],数据引用!A:C,3,FALSE),"")</f>
        <v>死亡金属 1</v>
      </c>
      <c r="K1146" t="s">
        <v>1211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1&lt;/text&gt;&lt;text transform="matrix(1 0 0 1 0 10.3205)" style="fill:#FFFFFF; font-family:'FZXS12--GB1-0'; font-size:12;"&gt;死亡金属 1&lt;/text&gt;&lt;/svg&gt;</v>
      </c>
      <c r="P1146" s="5"/>
    </row>
    <row r="1147" spans="1:16" ht="14.25" customHeight="1">
      <c r="A1147">
        <v>3107</v>
      </c>
      <c r="B1147">
        <v>0</v>
      </c>
      <c r="C1147">
        <v>0</v>
      </c>
      <c r="E1147" t="s">
        <v>2570</v>
      </c>
      <c r="F1147">
        <v>6</v>
      </c>
      <c r="G1147" s="1" t="s">
        <v>1019</v>
      </c>
      <c r="H1147" s="16" t="s">
        <v>3779</v>
      </c>
      <c r="I1147" s="18"/>
      <c r="J1147" t="str">
        <f>IF(LEN(VLOOKUP(表1[[#This Row],[id]],数据引用!A:C,3,FALSE))&gt;0,VLOOKUP(表1[[#This Row],[id]],数据引用!A:C,3,FALSE),"")</f>
        <v>死亡金属 2</v>
      </c>
      <c r="K1147" t="s">
        <v>1211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2&lt;/text&gt;&lt;text transform="matrix(1 0 0 1 0 10.3205)" style="fill:#FFFFFF; font-family:'FZXS12--GB1-0'; font-size:12;"&gt;死亡金属 2&lt;/text&gt;&lt;/svg&gt;</v>
      </c>
      <c r="P1147" s="5"/>
    </row>
    <row r="1148" spans="1:16" ht="14.25" customHeight="1">
      <c r="A1148">
        <v>3108</v>
      </c>
      <c r="B1148">
        <v>0</v>
      </c>
      <c r="C1148">
        <v>0</v>
      </c>
      <c r="E1148" t="s">
        <v>2570</v>
      </c>
      <c r="F1148">
        <v>6</v>
      </c>
      <c r="G1148" s="1" t="s">
        <v>1020</v>
      </c>
      <c r="H1148" s="16" t="s">
        <v>3780</v>
      </c>
      <c r="I1148" s="18"/>
      <c r="J1148" t="str">
        <f>IF(LEN(VLOOKUP(表1[[#This Row],[id]],数据引用!A:C,3,FALSE))&gt;0,VLOOKUP(表1[[#This Row],[id]],数据引用!A:C,3,FALSE),"")</f>
        <v>死亡金属 3</v>
      </c>
      <c r="K1148" t="s">
        <v>1211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3&lt;/text&gt;&lt;text transform="matrix(1 0 0 1 0 10.3205)" style="fill:#FFFFFF; font-family:'FZXS12--GB1-0'; font-size:12;"&gt;死亡金属 3&lt;/text&gt;&lt;/svg&gt;</v>
      </c>
      <c r="P1148" s="5"/>
    </row>
    <row r="1149" spans="1:16" ht="14.25" customHeight="1">
      <c r="A1149">
        <v>3109</v>
      </c>
      <c r="B1149">
        <v>0</v>
      </c>
      <c r="C1149">
        <v>0</v>
      </c>
      <c r="E1149" t="s">
        <v>2570</v>
      </c>
      <c r="F1149">
        <v>6</v>
      </c>
      <c r="G1149" s="1" t="s">
        <v>1021</v>
      </c>
      <c r="H1149" s="16" t="s">
        <v>3781</v>
      </c>
      <c r="I1149" s="18"/>
      <c r="J1149" t="str">
        <f>IF(LEN(VLOOKUP(表1[[#This Row],[id]],数据引用!A:C,3,FALSE))&gt;0,VLOOKUP(表1[[#This Row],[id]],数据引用!A:C,3,FALSE),"")</f>
        <v>死亡金属 4</v>
      </c>
      <c r="K1149" t="s">
        <v>1211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4&lt;/text&gt;&lt;text transform="matrix(1 0 0 1 0 10.3205)" style="fill:#FFFFFF; font-family:'FZXS12--GB1-0'; font-size:12;"&gt;死亡金属 4&lt;/text&gt;&lt;/svg&gt;</v>
      </c>
      <c r="P1149" s="5"/>
    </row>
    <row r="1150" spans="1:16" ht="14.25" customHeight="1">
      <c r="A1150">
        <v>3110</v>
      </c>
      <c r="B1150">
        <v>0</v>
      </c>
      <c r="C1150">
        <v>0</v>
      </c>
      <c r="E1150" t="s">
        <v>2570</v>
      </c>
      <c r="F1150">
        <v>6</v>
      </c>
      <c r="G1150" s="1" t="s">
        <v>1022</v>
      </c>
      <c r="H1150" s="16" t="s">
        <v>3782</v>
      </c>
      <c r="I1150" s="18"/>
      <c r="J1150" t="str">
        <f>IF(LEN(VLOOKUP(表1[[#This Row],[id]],数据引用!A:C,3,FALSE))&gt;0,VLOOKUP(表1[[#This Row],[id]],数据引用!A:C,3,FALSE),"")</f>
        <v>深蓝象棋 1</v>
      </c>
      <c r="K1150" t="s">
        <v>1211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1&lt;/text&gt;&lt;text transform="matrix(1 0 0 1 0 10.3205)" style="fill:#FFFFFF; font-family:'FZXS12--GB1-0'; font-size:12;"&gt;深蓝象棋 1&lt;/text&gt;&lt;/svg&gt;</v>
      </c>
      <c r="P1150" s="5"/>
    </row>
    <row r="1151" spans="1:16" ht="14.25" customHeight="1">
      <c r="A1151">
        <v>3111</v>
      </c>
      <c r="B1151">
        <v>0</v>
      </c>
      <c r="C1151">
        <v>0</v>
      </c>
      <c r="E1151" t="s">
        <v>2570</v>
      </c>
      <c r="F1151">
        <v>6</v>
      </c>
      <c r="G1151" s="1" t="s">
        <v>1023</v>
      </c>
      <c r="H1151" s="16" t="s">
        <v>3783</v>
      </c>
      <c r="I1151" s="18"/>
      <c r="J1151" t="str">
        <f>IF(LEN(VLOOKUP(表1[[#This Row],[id]],数据引用!A:C,3,FALSE))&gt;0,VLOOKUP(表1[[#This Row],[id]],数据引用!A:C,3,FALSE),"")</f>
        <v>深蓝象棋 2</v>
      </c>
      <c r="K1151" t="s">
        <v>1211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2&lt;/text&gt;&lt;text transform="matrix(1 0 0 1 0 10.3205)" style="fill:#FFFFFF; font-family:'FZXS12--GB1-0'; font-size:12;"&gt;深蓝象棋 2&lt;/text&gt;&lt;/svg&gt;</v>
      </c>
      <c r="P1151" s="5"/>
    </row>
    <row r="1152" spans="1:16" ht="14.25" customHeight="1">
      <c r="A1152">
        <v>3112</v>
      </c>
      <c r="B1152">
        <v>0</v>
      </c>
      <c r="C1152">
        <v>0</v>
      </c>
      <c r="E1152" t="s">
        <v>2570</v>
      </c>
      <c r="F1152">
        <v>6</v>
      </c>
      <c r="G1152" s="1" t="s">
        <v>1024</v>
      </c>
      <c r="H1152" s="16" t="s">
        <v>3784</v>
      </c>
      <c r="I1152" s="18"/>
      <c r="J1152" t="str">
        <f>IF(LEN(VLOOKUP(表1[[#This Row],[id]],数据引用!A:C,3,FALSE))&gt;0,VLOOKUP(表1[[#This Row],[id]],数据引用!A:C,3,FALSE),"")</f>
        <v>深蓝象棋 3</v>
      </c>
      <c r="K1152" t="s">
        <v>1211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3&lt;/text&gt;&lt;text transform="matrix(1 0 0 1 0 10.3205)" style="fill:#FFFFFF; font-family:'FZXS12--GB1-0'; font-size:12;"&gt;深蓝象棋 3&lt;/text&gt;&lt;/svg&gt;</v>
      </c>
      <c r="P1152" s="5"/>
    </row>
    <row r="1153" spans="1:16" ht="14.25" customHeight="1">
      <c r="A1153">
        <v>3113</v>
      </c>
      <c r="B1153">
        <v>0</v>
      </c>
      <c r="C1153">
        <v>0</v>
      </c>
      <c r="E1153" t="s">
        <v>2570</v>
      </c>
      <c r="F1153">
        <v>6</v>
      </c>
      <c r="G1153" s="1" t="s">
        <v>1025</v>
      </c>
      <c r="H1153" s="16" t="s">
        <v>3785</v>
      </c>
      <c r="I1153" s="18"/>
      <c r="J1153" t="str">
        <f>IF(LEN(VLOOKUP(表1[[#This Row],[id]],数据引用!A:C,3,FALSE))&gt;0,VLOOKUP(表1[[#This Row],[id]],数据引用!A:C,3,FALSE),"")</f>
        <v>深蓝象棋 4</v>
      </c>
      <c r="K1153" t="s">
        <v>1211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4&lt;/text&gt;&lt;text transform="matrix(1 0 0 1 0 10.3205)" style="fill:#FFFFFF; font-family:'FZXS12--GB1-0'; font-size:12;"&gt;深蓝象棋 4&lt;/text&gt;&lt;/svg&gt;</v>
      </c>
      <c r="P1153" s="5"/>
    </row>
    <row r="1154" spans="1:16" ht="14.25" customHeight="1">
      <c r="A1154">
        <v>3114</v>
      </c>
      <c r="B1154">
        <v>0</v>
      </c>
      <c r="C1154">
        <v>0</v>
      </c>
      <c r="E1154" t="s">
        <v>2570</v>
      </c>
      <c r="F1154">
        <v>6</v>
      </c>
      <c r="G1154" s="1" t="s">
        <v>1026</v>
      </c>
      <c r="H1154" s="16" t="s">
        <v>3786</v>
      </c>
      <c r="I1154" s="18"/>
      <c r="J1154" t="str">
        <f>IF(LEN(VLOOKUP(表1[[#This Row],[id]],数据引用!A:C,3,FALSE))&gt;0,VLOOKUP(表1[[#This Row],[id]],数据引用!A:C,3,FALSE),"")</f>
        <v>珊瑚乐团 1</v>
      </c>
      <c r="K1154" t="s">
        <v>1211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1&lt;/text&gt;&lt;text transform="matrix(1 0 0 1 0 10.3205)" style="fill:#FFFFFF; font-family:'FZXS12--GB1-0'; font-size:12;"&gt;珊瑚乐团 1&lt;/text&gt;&lt;/svg&gt;</v>
      </c>
      <c r="P1154" s="5"/>
    </row>
    <row r="1155" spans="1:16" ht="14.25" customHeight="1">
      <c r="A1155">
        <v>3115</v>
      </c>
      <c r="B1155">
        <v>0</v>
      </c>
      <c r="C1155">
        <v>0</v>
      </c>
      <c r="E1155" t="s">
        <v>2570</v>
      </c>
      <c r="F1155">
        <v>6</v>
      </c>
      <c r="G1155" s="1" t="s">
        <v>1027</v>
      </c>
      <c r="H1155" s="16" t="s">
        <v>3787</v>
      </c>
      <c r="I1155" s="18"/>
      <c r="J1155" t="str">
        <f>IF(LEN(VLOOKUP(表1[[#This Row],[id]],数据引用!A:C,3,FALSE))&gt;0,VLOOKUP(表1[[#This Row],[id]],数据引用!A:C,3,FALSE),"")</f>
        <v>珊瑚乐团 2</v>
      </c>
      <c r="K1155" t="s">
        <v>1211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2&lt;/text&gt;&lt;text transform="matrix(1 0 0 1 0 10.3205)" style="fill:#FFFFFF; font-family:'FZXS12--GB1-0'; font-size:12;"&gt;珊瑚乐团 2&lt;/text&gt;&lt;/svg&gt;</v>
      </c>
      <c r="P1155" s="5"/>
    </row>
    <row r="1156" spans="1:16" ht="14.25" customHeight="1">
      <c r="A1156">
        <v>3116</v>
      </c>
      <c r="B1156">
        <v>0</v>
      </c>
      <c r="C1156">
        <v>0</v>
      </c>
      <c r="E1156" t="s">
        <v>2570</v>
      </c>
      <c r="F1156">
        <v>6</v>
      </c>
      <c r="G1156" s="1" t="s">
        <v>1028</v>
      </c>
      <c r="H1156" s="16" t="s">
        <v>3788</v>
      </c>
      <c r="I1156" s="18"/>
      <c r="J1156" t="str">
        <f>IF(LEN(VLOOKUP(表1[[#This Row],[id]],数据引用!A:C,3,FALSE))&gt;0,VLOOKUP(表1[[#This Row],[id]],数据引用!A:C,3,FALSE),"")</f>
        <v>珊瑚乐团 3</v>
      </c>
      <c r="K1156" t="s">
        <v>1211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3&lt;/text&gt;&lt;text transform="matrix(1 0 0 1 0 10.3205)" style="fill:#FFFFFF; font-family:'FZXS12--GB1-0'; font-size:12;"&gt;珊瑚乐团 3&lt;/text&gt;&lt;/svg&gt;</v>
      </c>
      <c r="P1156" s="5"/>
    </row>
    <row r="1157" spans="1:16" ht="14.25" customHeight="1">
      <c r="A1157">
        <v>3117</v>
      </c>
      <c r="B1157">
        <v>0</v>
      </c>
      <c r="C1157">
        <v>0</v>
      </c>
      <c r="E1157" t="s">
        <v>2570</v>
      </c>
      <c r="F1157">
        <v>6</v>
      </c>
      <c r="G1157" s="1" t="s">
        <v>1029</v>
      </c>
      <c r="H1157" s="16" t="s">
        <v>3789</v>
      </c>
      <c r="I1157" s="18"/>
      <c r="J1157" t="str">
        <f>IF(LEN(VLOOKUP(表1[[#This Row],[id]],数据引用!A:C,3,FALSE))&gt;0,VLOOKUP(表1[[#This Row],[id]],数据引用!A:C,3,FALSE),"")</f>
        <v>珊瑚乐团 4</v>
      </c>
      <c r="K1157" t="s">
        <v>1211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4&lt;/text&gt;&lt;text transform="matrix(1 0 0 1 0 10.3205)" style="fill:#FFFFFF; font-family:'FZXS12--GB1-0'; font-size:12;"&gt;珊瑚乐团 4&lt;/text&gt;&lt;/svg&gt;</v>
      </c>
      <c r="P1157" s="5"/>
    </row>
    <row r="1158" spans="1:16" ht="14.25" customHeight="1">
      <c r="A1158">
        <v>3118</v>
      </c>
      <c r="B1158">
        <v>0</v>
      </c>
      <c r="C1158">
        <v>0</v>
      </c>
      <c r="E1158" t="s">
        <v>2570</v>
      </c>
      <c r="F1158">
        <v>6</v>
      </c>
      <c r="G1158" s="1" t="s">
        <v>693</v>
      </c>
      <c r="H1158" s="16" t="s">
        <v>3790</v>
      </c>
      <c r="I1158" s="18"/>
      <c r="J1158" t="str">
        <f>IF(LEN(VLOOKUP(表1[[#This Row],[id]],数据引用!A:C,3,FALSE))&gt;0,VLOOKUP(表1[[#This Row],[id]],数据引用!A:C,3,FALSE),"")</f>
        <v>死亡丧钟</v>
      </c>
      <c r="K1158" t="s">
        <v>1211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58" s="5"/>
    </row>
    <row r="1159" spans="1:16" ht="14.25" customHeight="1">
      <c r="A1159">
        <v>3119</v>
      </c>
      <c r="B1159">
        <v>0</v>
      </c>
      <c r="C1159">
        <v>0</v>
      </c>
      <c r="E1159" t="s">
        <v>2570</v>
      </c>
      <c r="F1159">
        <v>6</v>
      </c>
      <c r="G1159" s="13" t="s">
        <v>1030</v>
      </c>
      <c r="H1159" s="15" t="s">
        <v>3791</v>
      </c>
      <c r="I1159" s="18"/>
      <c r="J1159" t="str">
        <f>IF(LEN(VLOOKUP(表1[[#This Row],[id]],数据引用!A:C,3,FALSE))&gt;0,VLOOKUP(表1[[#This Row],[id]],数据引用!A:C,3,FALSE),"")</f>
        <v>NULL</v>
      </c>
      <c r="K1159" t="s">
        <v>1211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59" s="5"/>
    </row>
    <row r="1160" spans="1:16" ht="14.25" customHeight="1">
      <c r="A1160">
        <v>3120</v>
      </c>
      <c r="B1160">
        <v>0</v>
      </c>
      <c r="C1160">
        <v>0</v>
      </c>
      <c r="E1160" t="s">
        <v>2570</v>
      </c>
      <c r="F1160">
        <v>6</v>
      </c>
      <c r="G1160" s="12" t="s">
        <v>1031</v>
      </c>
      <c r="H1160" s="16" t="s">
        <v>3792</v>
      </c>
      <c r="I1160" s="18"/>
      <c r="J1160" t="str">
        <f>IF(LEN(VLOOKUP(表1[[#This Row],[id]],数据引用!A:C,3,FALSE))&gt;0,VLOOKUP(表1[[#This Row],[id]],数据引用!A:C,3,FALSE),"")</f>
        <v>亡灵舞者</v>
      </c>
      <c r="K1160" t="s">
        <v>1211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160" s="5"/>
    </row>
    <row r="1161" spans="1:16" ht="14.25" customHeight="1">
      <c r="A1161">
        <v>3121</v>
      </c>
      <c r="B1161">
        <v>0</v>
      </c>
      <c r="C1161">
        <v>0</v>
      </c>
      <c r="E1161" t="s">
        <v>2570</v>
      </c>
      <c r="F1161">
        <v>6</v>
      </c>
      <c r="G1161" s="13" t="s">
        <v>1030</v>
      </c>
      <c r="H1161" s="15" t="s">
        <v>3793</v>
      </c>
      <c r="I1161" s="18"/>
      <c r="J1161" t="str">
        <f>IF(LEN(VLOOKUP(表1[[#This Row],[id]],数据引用!A:C,3,FALSE))&gt;0,VLOOKUP(表1[[#This Row],[id]],数据引用!A:C,3,FALSE),"")</f>
        <v>NULL</v>
      </c>
      <c r="K1161" t="s">
        <v>1211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1161" s="5"/>
    </row>
    <row r="1162" spans="1:16" ht="14.25" customHeight="1">
      <c r="A1162">
        <v>3122</v>
      </c>
      <c r="B1162">
        <v>0</v>
      </c>
      <c r="C1162">
        <v>0</v>
      </c>
      <c r="E1162" t="s">
        <v>2570</v>
      </c>
      <c r="F1162">
        <v>6</v>
      </c>
      <c r="G1162" s="12" t="s">
        <v>1032</v>
      </c>
      <c r="H1162" s="16" t="s">
        <v>3794</v>
      </c>
      <c r="I1162" s="18"/>
      <c r="J1162" t="str">
        <f>IF(LEN(VLOOKUP(表1[[#This Row],[id]],数据引用!A:C,3,FALSE))&gt;0,VLOOKUP(表1[[#This Row],[id]],数据引用!A:C,3,FALSE),"")</f>
        <v>亡灵舞者 2</v>
      </c>
      <c r="K1162" t="s">
        <v>1211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 2&lt;/text&gt;&lt;text transform="matrix(1 0 0 1 0 10.3205)" style="fill:#FFFFFF; font-family:'FZXS12--GB1-0'; font-size:12;"&gt;亡灵舞者 2&lt;/text&gt;&lt;/svg&gt;</v>
      </c>
      <c r="P1162" s="5"/>
    </row>
    <row r="1163" spans="1:16" ht="14.25" customHeight="1">
      <c r="A1163">
        <v>3123</v>
      </c>
      <c r="B1163">
        <v>0</v>
      </c>
      <c r="C1163">
        <v>0</v>
      </c>
      <c r="E1163" t="s">
        <v>2570</v>
      </c>
      <c r="F1163">
        <v>6</v>
      </c>
      <c r="G1163" s="1" t="s">
        <v>406</v>
      </c>
      <c r="H1163" s="16" t="s">
        <v>3795</v>
      </c>
      <c r="I1163" s="18"/>
      <c r="J1163" t="str">
        <f>IF(LEN(VLOOKUP(表1[[#This Row],[id]],数据引用!A:C,3,FALSE))&gt;0,VLOOKUP(表1[[#This Row],[id]],数据引用!A:C,3,FALSE),"")</f>
        <v>黄金鲁特琴</v>
      </c>
      <c r="K1163" t="s">
        <v>1211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163" s="5"/>
    </row>
    <row r="1164" spans="1:16" ht="14.25" customHeight="1">
      <c r="A1164">
        <v>4000</v>
      </c>
      <c r="B1164">
        <v>0</v>
      </c>
      <c r="C1164">
        <v>0</v>
      </c>
      <c r="E1164" t="s">
        <v>2570</v>
      </c>
      <c r="F1164">
        <v>6</v>
      </c>
      <c r="G1164" s="1" t="s">
        <v>1033</v>
      </c>
      <c r="H1164" s="16" t="s">
        <v>3796</v>
      </c>
      <c r="I1164" s="18"/>
      <c r="J1164" t="str">
        <f>IF(LEN(VLOOKUP(表1[[#This Row],[id]],数据引用!A:C,3,FALSE))&gt;0,VLOOKUP(表1[[#This Row],[id]],数据引用!A:C,3,FALSE),"")</f>
        <v>白色犰狳</v>
      </c>
      <c r="K1164" t="s">
        <v>1212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164" s="5"/>
    </row>
    <row r="1165" spans="1:16" ht="14.25" customHeight="1">
      <c r="A1165">
        <v>4001</v>
      </c>
      <c r="B1165">
        <v>0</v>
      </c>
      <c r="C1165">
        <v>0</v>
      </c>
      <c r="E1165" t="s">
        <v>2570</v>
      </c>
      <c r="F1165">
        <v>6</v>
      </c>
      <c r="G1165" s="1" t="s">
        <v>964</v>
      </c>
      <c r="H1165" s="16" t="s">
        <v>3797</v>
      </c>
      <c r="I1165" s="18"/>
      <c r="J1165" t="str">
        <f>IF(LEN(VLOOKUP(表1[[#This Row],[id]],数据引用!A:C,3,FALSE))&gt;0,VLOOKUP(表1[[#This Row],[id]],数据引用!A:C,3,FALSE),"")</f>
        <v>黄色犰狳</v>
      </c>
      <c r="K1165" t="s">
        <v>1212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165" s="5"/>
    </row>
    <row r="1166" spans="1:16" ht="14.25" customHeight="1">
      <c r="A1166">
        <v>4002</v>
      </c>
      <c r="B1166">
        <v>0</v>
      </c>
      <c r="C1166">
        <v>0</v>
      </c>
      <c r="E1166" t="s">
        <v>2570</v>
      </c>
      <c r="F1166">
        <v>6</v>
      </c>
      <c r="G1166" s="1" t="s">
        <v>1034</v>
      </c>
      <c r="H1166" s="16" t="s">
        <v>3798</v>
      </c>
      <c r="I1166" s="18"/>
      <c r="J1166" t="str">
        <f>IF(LEN(VLOOKUP(表1[[#This Row],[id]],数据引用!A:C,3,FALSE))&gt;0,VLOOKUP(表1[[#This Row],[id]],数据引用!A:C,3,FALSE),"")</f>
        <v>橙色犰狳</v>
      </c>
      <c r="K1166" t="s">
        <v>1212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166" s="5"/>
    </row>
    <row r="1167" spans="1:16" ht="14.25" customHeight="1">
      <c r="A1167">
        <v>4003</v>
      </c>
      <c r="B1167">
        <v>0</v>
      </c>
      <c r="C1167">
        <v>0</v>
      </c>
      <c r="E1167" t="s">
        <v>2570</v>
      </c>
      <c r="F1167">
        <v>6</v>
      </c>
      <c r="G1167" s="1" t="s">
        <v>1035</v>
      </c>
      <c r="H1167" s="16" t="s">
        <v>3799</v>
      </c>
      <c r="I1167" s="18"/>
      <c r="J1167" t="str">
        <f>IF(LEN(VLOOKUP(表1[[#This Row],[id]],数据引用!A:C,3,FALSE))&gt;0,VLOOKUP(表1[[#This Row],[id]],数据引用!A:C,3,FALSE),"")</f>
        <v>白色持盾骷髅</v>
      </c>
      <c r="K1167" t="s">
        <v>1212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167" s="5"/>
    </row>
    <row r="1168" spans="1:16" ht="14.25" customHeight="1">
      <c r="A1168">
        <v>4004</v>
      </c>
      <c r="B1168">
        <v>0</v>
      </c>
      <c r="C1168">
        <v>0</v>
      </c>
      <c r="E1168" t="s">
        <v>2570</v>
      </c>
      <c r="F1168">
        <v>6</v>
      </c>
      <c r="G1168" s="1" t="s">
        <v>1036</v>
      </c>
      <c r="H1168" s="16" t="s">
        <v>3800</v>
      </c>
      <c r="I1168" s="18"/>
      <c r="J1168" t="str">
        <f>IF(LEN(VLOOKUP(表1[[#This Row],[id]],数据引用!A:C,3,FALSE))&gt;0,VLOOKUP(表1[[#This Row],[id]],数据引用!A:C,3,FALSE),"")</f>
        <v>黄色持盾骷髅</v>
      </c>
      <c r="K1168" t="s">
        <v>1212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168" s="5"/>
    </row>
    <row r="1169" spans="1:16" ht="14.25" customHeight="1">
      <c r="A1169">
        <v>4005</v>
      </c>
      <c r="B1169">
        <v>0</v>
      </c>
      <c r="C1169">
        <v>0</v>
      </c>
      <c r="E1169" t="s">
        <v>2570</v>
      </c>
      <c r="F1169">
        <v>6</v>
      </c>
      <c r="G1169" s="1" t="s">
        <v>1037</v>
      </c>
      <c r="H1169" s="16" t="s">
        <v>3801</v>
      </c>
      <c r="I1169" s="18"/>
      <c r="J1169" t="str">
        <f>IF(LEN(VLOOKUP(表1[[#This Row],[id]],数据引用!A:C,3,FALSE))&gt;0,VLOOKUP(表1[[#This Row],[id]],数据引用!A:C,3,FALSE),"")</f>
        <v>黑色持盾骷髅</v>
      </c>
      <c r="K1169" t="s">
        <v>1212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169" s="5"/>
    </row>
    <row r="1170" spans="1:16" ht="14.25" customHeight="1">
      <c r="A1170">
        <v>4006</v>
      </c>
      <c r="B1170">
        <v>0</v>
      </c>
      <c r="C1170">
        <v>0</v>
      </c>
      <c r="E1170" t="s">
        <v>2570</v>
      </c>
      <c r="F1170">
        <v>6</v>
      </c>
      <c r="G1170" s="1" t="s">
        <v>1038</v>
      </c>
      <c r="H1170" s="16" t="s">
        <v>3802</v>
      </c>
      <c r="I1170" s="18"/>
      <c r="J1170" t="str">
        <f>IF(LEN(VLOOKUP(表1[[#This Row],[id]],数据引用!A:C,3,FALSE))&gt;0,VLOOKUP(表1[[#This Row],[id]],数据引用!A:C,3,FALSE),"")</f>
        <v>蓝色女妖</v>
      </c>
      <c r="K1170" t="s">
        <v>1212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170" s="5"/>
    </row>
    <row r="1171" spans="1:16" ht="14.25" customHeight="1">
      <c r="A1171">
        <v>4007</v>
      </c>
      <c r="B1171">
        <v>0</v>
      </c>
      <c r="C1171">
        <v>0</v>
      </c>
      <c r="E1171" t="s">
        <v>2570</v>
      </c>
      <c r="F1171">
        <v>6</v>
      </c>
      <c r="G1171" s="1" t="s">
        <v>1039</v>
      </c>
      <c r="H1171" s="16" t="s">
        <v>3803</v>
      </c>
      <c r="I1171" s="18"/>
      <c r="J1171" t="str">
        <f>IF(LEN(VLOOKUP(表1[[#This Row],[id]],数据引用!A:C,3,FALSE))&gt;0,VLOOKUP(表1[[#This Row],[id]],数据引用!A:C,3,FALSE),"")</f>
        <v>绿色女妖</v>
      </c>
      <c r="K1171" t="s">
        <v>1212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171" s="5"/>
    </row>
    <row r="1172" spans="1:16" ht="14.25" customHeight="1">
      <c r="A1172">
        <v>4008</v>
      </c>
      <c r="B1172">
        <v>0</v>
      </c>
      <c r="C1172">
        <v>0</v>
      </c>
      <c r="E1172" t="s">
        <v>2570</v>
      </c>
      <c r="F1172">
        <v>6</v>
      </c>
      <c r="G1172" s="1" t="s">
        <v>1040</v>
      </c>
      <c r="H1172" s="16" t="s">
        <v>3804</v>
      </c>
      <c r="I1172" s="18"/>
      <c r="J1172" t="str">
        <f>IF(LEN(VLOOKUP(表1[[#This Row],[id]],数据引用!A:C,3,FALSE))&gt;0,VLOOKUP(表1[[#This Row],[id]],数据引用!A:C,3,FALSE),"")</f>
        <v>蓝蝙蝠</v>
      </c>
      <c r="K1172" t="s">
        <v>1212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172" s="5"/>
    </row>
    <row r="1173" spans="1:16" ht="14.25" customHeight="1">
      <c r="A1173">
        <v>4009</v>
      </c>
      <c r="B1173">
        <v>0</v>
      </c>
      <c r="C1173">
        <v>0</v>
      </c>
      <c r="E1173" t="s">
        <v>2570</v>
      </c>
      <c r="F1173">
        <v>6</v>
      </c>
      <c r="G1173" s="1" t="s">
        <v>945</v>
      </c>
      <c r="H1173" s="16" t="s">
        <v>3805</v>
      </c>
      <c r="I1173" s="18"/>
      <c r="J1173" t="str">
        <f>IF(LEN(VLOOKUP(表1[[#This Row],[id]],数据引用!A:C,3,FALSE))&gt;0,VLOOKUP(表1[[#This Row],[id]],数据引用!A:C,3,FALSE),"")</f>
        <v>红蝙蝠</v>
      </c>
      <c r="K1173" t="s">
        <v>1212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173" s="5"/>
    </row>
    <row r="1174" spans="1:16" ht="14.25" customHeight="1">
      <c r="A1174">
        <v>4010</v>
      </c>
      <c r="B1174">
        <v>0</v>
      </c>
      <c r="C1174">
        <v>0</v>
      </c>
      <c r="E1174" t="s">
        <v>2570</v>
      </c>
      <c r="F1174">
        <v>6</v>
      </c>
      <c r="G1174" s="1" t="s">
        <v>946</v>
      </c>
      <c r="H1174" s="16" t="s">
        <v>3806</v>
      </c>
      <c r="I1174" s="18"/>
      <c r="J1174" t="str">
        <f>IF(LEN(VLOOKUP(表1[[#This Row],[id]],数据引用!A:C,3,FALSE))&gt;0,VLOOKUP(表1[[#This Row],[id]],数据引用!A:C,3,FALSE),"")</f>
        <v>绿蝙蝠</v>
      </c>
      <c r="K1174" t="s">
        <v>1212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174" s="5"/>
    </row>
    <row r="1175" spans="1:16" ht="14.25" customHeight="1">
      <c r="A1175">
        <v>4011</v>
      </c>
      <c r="B1175">
        <v>0</v>
      </c>
      <c r="C1175">
        <v>0</v>
      </c>
      <c r="E1175" t="s">
        <v>2570</v>
      </c>
      <c r="F1175">
        <v>6</v>
      </c>
      <c r="G1175" s="1" t="s">
        <v>998</v>
      </c>
      <c r="H1175" s="16" t="s">
        <v>3807</v>
      </c>
      <c r="I1175" s="18"/>
      <c r="J1175" t="str">
        <f>IF(LEN(VLOOKUP(表1[[#This Row],[id]],数据引用!A:C,3,FALSE))&gt;0,VLOOKUP(表1[[#This Row],[id]],数据引用!A:C,3,FALSE),"")</f>
        <v>黑色蝙蝠</v>
      </c>
      <c r="K1175" t="s">
        <v>1212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175" s="5"/>
    </row>
    <row r="1176" spans="1:16" ht="14.25" customHeight="1">
      <c r="A1176">
        <v>4012</v>
      </c>
      <c r="B1176">
        <v>0</v>
      </c>
      <c r="C1176">
        <v>0</v>
      </c>
      <c r="E1176" t="s">
        <v>2570</v>
      </c>
      <c r="F1176">
        <v>6</v>
      </c>
      <c r="G1176" s="1" t="s">
        <v>1041</v>
      </c>
      <c r="H1176" s="16" t="s">
        <v>3808</v>
      </c>
      <c r="I1176" s="18"/>
      <c r="J1176" t="str">
        <f>IF(LEN(VLOOKUP(表1[[#This Row],[id]],数据引用!A:C,3,FALSE))&gt;0,VLOOKUP(表1[[#This Row],[id]],数据引用!A:C,3,FALSE),"")</f>
        <v>黄色恐怖蝙蝠</v>
      </c>
      <c r="K1176" t="s">
        <v>1212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176" s="5"/>
    </row>
    <row r="1177" spans="1:16" ht="14.25" customHeight="1">
      <c r="A1177">
        <v>4013</v>
      </c>
      <c r="B1177">
        <v>0</v>
      </c>
      <c r="C1177">
        <v>0</v>
      </c>
      <c r="E1177" t="s">
        <v>2570</v>
      </c>
      <c r="F1177">
        <v>6</v>
      </c>
      <c r="G1177" s="1" t="s">
        <v>1042</v>
      </c>
      <c r="H1177" s="16" t="s">
        <v>3809</v>
      </c>
      <c r="I1177" s="18"/>
      <c r="J1177" t="str">
        <f>IF(LEN(VLOOKUP(表1[[#This Row],[id]],数据引用!A:C,3,FALSE))&gt;0,VLOOKUP(表1[[#This Row],[id]],数据引用!A:C,3,FALSE),"")</f>
        <v>棕色恐怖蝙蝠</v>
      </c>
      <c r="K1177" t="s">
        <v>1212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177" s="5"/>
    </row>
    <row r="1178" spans="1:16" ht="14.25" customHeight="1">
      <c r="A1178">
        <v>4014</v>
      </c>
      <c r="B1178">
        <v>0</v>
      </c>
      <c r="C1178">
        <v>0</v>
      </c>
      <c r="E1178" t="s">
        <v>2570</v>
      </c>
      <c r="F1178">
        <v>6</v>
      </c>
      <c r="G1178" s="1" t="s">
        <v>976</v>
      </c>
      <c r="H1178" s="16" t="s">
        <v>3810</v>
      </c>
      <c r="I1178" s="18"/>
      <c r="J1178" t="str">
        <f>IF(LEN(VLOOKUP(表1[[#This Row],[id]],数据引用!A:C,3,FALSE))&gt;0,VLOOKUP(表1[[#This Row],[id]],数据引用!A:C,3,FALSE),"")</f>
        <v>火甲虫</v>
      </c>
      <c r="K1178" t="s">
        <v>1212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178" s="5"/>
    </row>
    <row r="1179" spans="1:16" ht="14.25" customHeight="1">
      <c r="A1179">
        <v>4015</v>
      </c>
      <c r="B1179">
        <v>0</v>
      </c>
      <c r="C1179">
        <v>0</v>
      </c>
      <c r="E1179" t="s">
        <v>2570</v>
      </c>
      <c r="F1179">
        <v>6</v>
      </c>
      <c r="G1179" s="1" t="s">
        <v>977</v>
      </c>
      <c r="H1179" s="16" t="s">
        <v>3811</v>
      </c>
      <c r="I1179" s="18"/>
      <c r="J1179" t="str">
        <f>IF(LEN(VLOOKUP(表1[[#This Row],[id]],数据引用!A:C,3,FALSE))&gt;0,VLOOKUP(表1[[#This Row],[id]],数据引用!A:C,3,FALSE),"")</f>
        <v>冰甲虫</v>
      </c>
      <c r="K1179" t="s">
        <v>1212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179" s="5"/>
    </row>
    <row r="1180" spans="1:16" ht="14.25" customHeight="1">
      <c r="A1180">
        <v>4016</v>
      </c>
      <c r="B1180">
        <v>0</v>
      </c>
      <c r="C1180">
        <v>0</v>
      </c>
      <c r="E1180" t="s">
        <v>2570</v>
      </c>
      <c r="F1180">
        <v>6</v>
      </c>
      <c r="G1180" s="1" t="s">
        <v>1043</v>
      </c>
      <c r="H1180" s="16" t="s">
        <v>3812</v>
      </c>
      <c r="I1180" s="18"/>
      <c r="J1180" t="str">
        <f>IF(LEN(VLOOKUP(表1[[#This Row],[id]],数据引用!A:C,3,FALSE))&gt;0,VLOOKUP(表1[[#This Row],[id]],数据引用!A:C,3,FALSE),"")</f>
        <v>象</v>
      </c>
      <c r="K1180" t="s">
        <v>1212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180" s="5"/>
    </row>
    <row r="1181" spans="1:16" ht="14.25" customHeight="1">
      <c r="A1181">
        <v>4017</v>
      </c>
      <c r="B1181">
        <v>0</v>
      </c>
      <c r="C1181">
        <v>0</v>
      </c>
      <c r="E1181" t="s">
        <v>2570</v>
      </c>
      <c r="F1181">
        <v>6</v>
      </c>
      <c r="G1181" s="1" t="s">
        <v>1044</v>
      </c>
      <c r="H1181" s="16" t="s">
        <v>3813</v>
      </c>
      <c r="I1181" s="18"/>
      <c r="J1181" t="str">
        <f>IF(LEN(VLOOKUP(表1[[#This Row],[id]],数据引用!A:C,3,FALSE))&gt;0,VLOOKUP(表1[[#This Row],[id]],数据引用!A:C,3,FALSE),"")</f>
        <v>象(红方)</v>
      </c>
      <c r="K1181" t="s">
        <v>1212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181" s="5"/>
    </row>
    <row r="1182" spans="1:16" ht="14.25" customHeight="1">
      <c r="A1182">
        <v>4018</v>
      </c>
      <c r="B1182">
        <v>0</v>
      </c>
      <c r="C1182">
        <v>0</v>
      </c>
      <c r="E1182" t="s">
        <v>2570</v>
      </c>
      <c r="F1182">
        <v>6</v>
      </c>
      <c r="G1182" s="1" t="s">
        <v>1045</v>
      </c>
      <c r="H1182" s="16" t="s">
        <v>3814</v>
      </c>
      <c r="I1182" s="18"/>
      <c r="J1182" t="str">
        <f>IF(LEN(VLOOKUP(表1[[#This Row],[id]],数据引用!A:C,3,FALSE))&gt;0,VLOOKUP(表1[[#This Row],[id]],数据引用!A:C,3,FALSE),"")</f>
        <v>见习剑士</v>
      </c>
      <c r="K1182" t="s">
        <v>1212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2" s="5"/>
    </row>
    <row r="1183" spans="1:16" ht="14.25" customHeight="1">
      <c r="A1183">
        <v>4019</v>
      </c>
      <c r="B1183">
        <v>0</v>
      </c>
      <c r="C1183">
        <v>0</v>
      </c>
      <c r="E1183" t="s">
        <v>2570</v>
      </c>
      <c r="F1183">
        <v>6</v>
      </c>
      <c r="G1183" s="1" t="s">
        <v>992</v>
      </c>
      <c r="H1183" s="16" t="s">
        <v>3815</v>
      </c>
      <c r="I1183" s="18"/>
      <c r="J1183" t="str">
        <f>IF(LEN(VLOOKUP(表1[[#This Row],[id]],数据引用!A:C,3,FALSE))&gt;0,VLOOKUP(表1[[#This Row],[id]],数据引用!A:C,3,FALSE),"")</f>
        <v>见习剑士</v>
      </c>
      <c r="K1183" t="s">
        <v>1212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3" s="5"/>
    </row>
    <row r="1184" spans="1:16" ht="14.25" customHeight="1">
      <c r="A1184">
        <v>4020</v>
      </c>
      <c r="B1184">
        <v>0</v>
      </c>
      <c r="C1184">
        <v>0</v>
      </c>
      <c r="E1184" t="s">
        <v>2570</v>
      </c>
      <c r="F1184">
        <v>6</v>
      </c>
      <c r="G1184" s="1" t="s">
        <v>1046</v>
      </c>
      <c r="H1184" s="16" t="s">
        <v>3816</v>
      </c>
      <c r="I1184" s="18"/>
      <c r="J1184" t="str">
        <f>IF(LEN(VLOOKUP(表1[[#This Row],[id]],数据引用!A:C,3,FALSE))&gt;0,VLOOKUP(表1[[#This Row],[id]],数据引用!A:C,3,FALSE),"")</f>
        <v>克隆体</v>
      </c>
      <c r="K1184" t="s">
        <v>1212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184" s="5"/>
    </row>
    <row r="1185" spans="1:16" ht="14.25" customHeight="1">
      <c r="A1185">
        <v>4021</v>
      </c>
      <c r="B1185">
        <v>0</v>
      </c>
      <c r="C1185">
        <v>0</v>
      </c>
      <c r="E1185" t="s">
        <v>2570</v>
      </c>
      <c r="F1185">
        <v>6</v>
      </c>
      <c r="G1185" s="1" t="s">
        <v>692</v>
      </c>
      <c r="H1185" s="16" t="s">
        <v>3817</v>
      </c>
      <c r="I1185" s="18"/>
      <c r="J1185" t="str">
        <f>IF(LEN(VLOOKUP(表1[[#This Row],[id]],数据引用!A:C,3,FALSE))&gt;0,VLOOKUP(表1[[#This Row],[id]],数据引用!A:C,3,FALSE),"")</f>
        <v>珊瑚乐团</v>
      </c>
      <c r="K1185" t="s">
        <v>1212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185" s="5"/>
    </row>
    <row r="1186" spans="1:16" ht="14.25" customHeight="1">
      <c r="A1186">
        <v>4022</v>
      </c>
      <c r="B1186">
        <v>0</v>
      </c>
      <c r="C1186">
        <v>0</v>
      </c>
      <c r="E1186" t="s">
        <v>2570</v>
      </c>
      <c r="F1186">
        <v>6</v>
      </c>
      <c r="G1186" s="1" t="s">
        <v>1047</v>
      </c>
      <c r="H1186" s="16" t="s">
        <v>3818</v>
      </c>
      <c r="I1186" s="18"/>
      <c r="J1186" t="str">
        <f>IF(LEN(VLOOKUP(表1[[#This Row],[id]],数据引用!A:C,3,FALSE))&gt;0,VLOOKUP(表1[[#This Row],[id]],数据引用!A:C,3,FALSE),"")</f>
        <v>桶</v>
      </c>
      <c r="K1186" t="s">
        <v>1212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186" s="5"/>
    </row>
    <row r="1187" spans="1:16" ht="14.25" customHeight="1">
      <c r="A1187">
        <v>4023</v>
      </c>
      <c r="B1187">
        <v>0</v>
      </c>
      <c r="C1187">
        <v>0</v>
      </c>
      <c r="E1187" t="s">
        <v>2570</v>
      </c>
      <c r="F1187">
        <v>6</v>
      </c>
      <c r="G1187" s="1" t="s">
        <v>693</v>
      </c>
      <c r="H1187" s="16" t="s">
        <v>3819</v>
      </c>
      <c r="I1187" s="18"/>
      <c r="J1187" t="str">
        <f>IF(LEN(VLOOKUP(表1[[#This Row],[id]],数据引用!A:C,3,FALSE))&gt;0,VLOOKUP(表1[[#This Row],[id]],数据引用!A:C,3,FALSE),"")</f>
        <v>死亡丧钟</v>
      </c>
      <c r="K1187" t="s">
        <v>1212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87" s="5"/>
    </row>
    <row r="1188" spans="1:16" ht="14.25" customHeight="1">
      <c r="A1188">
        <v>4024</v>
      </c>
      <c r="B1188">
        <v>0</v>
      </c>
      <c r="C1188">
        <v>0</v>
      </c>
      <c r="E1188" t="s">
        <v>2570</v>
      </c>
      <c r="F1188">
        <v>6</v>
      </c>
      <c r="G1188" s="1" t="s">
        <v>690</v>
      </c>
      <c r="H1188" s="16" t="s">
        <v>3820</v>
      </c>
      <c r="I1188" s="18"/>
      <c r="J1188" t="str">
        <f>IF(LEN(VLOOKUP(表1[[#This Row],[id]],数据引用!A:C,3,FALSE))&gt;0,VLOOKUP(表1[[#This Row],[id]],数据引用!A:C,3,FALSE),"")</f>
        <v>死亡重金属</v>
      </c>
      <c r="K1188" t="s">
        <v>1212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188" s="5"/>
    </row>
    <row r="1189" spans="1:16" ht="14.25" customHeight="1">
      <c r="A1189">
        <v>4025</v>
      </c>
      <c r="B1189">
        <v>0</v>
      </c>
      <c r="C1189">
        <v>0</v>
      </c>
      <c r="E1189" t="s">
        <v>2570</v>
      </c>
      <c r="F1189">
        <v>6</v>
      </c>
      <c r="G1189" s="1" t="s">
        <v>1004</v>
      </c>
      <c r="H1189" s="16" t="s">
        <v>3821</v>
      </c>
      <c r="I1189" s="18"/>
      <c r="J1189" t="str">
        <f>IF(LEN(VLOOKUP(表1[[#This Row],[id]],数据引用!A:C,3,FALSE))&gt;0,VLOOKUP(表1[[#This Row],[id]],数据引用!A:C,3,FALSE),"")</f>
        <v>绿龙</v>
      </c>
      <c r="K1189" t="s">
        <v>1212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189" s="5"/>
    </row>
    <row r="1190" spans="1:16" ht="14.25" customHeight="1">
      <c r="A1190">
        <v>4026</v>
      </c>
      <c r="B1190">
        <v>0</v>
      </c>
      <c r="C1190">
        <v>0</v>
      </c>
      <c r="E1190" t="s">
        <v>2570</v>
      </c>
      <c r="F1190">
        <v>6</v>
      </c>
      <c r="G1190" s="1" t="s">
        <v>1005</v>
      </c>
      <c r="H1190" s="16" t="s">
        <v>3822</v>
      </c>
      <c r="I1190" s="18"/>
      <c r="J1190" t="str">
        <f>IF(LEN(VLOOKUP(表1[[#This Row],[id]],数据引用!A:C,3,FALSE))&gt;0,VLOOKUP(表1[[#This Row],[id]],数据引用!A:C,3,FALSE),"")</f>
        <v>红龙</v>
      </c>
      <c r="K1190" t="s">
        <v>1212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190" s="5"/>
    </row>
    <row r="1191" spans="1:16" ht="14.25" customHeight="1">
      <c r="A1191">
        <v>4027</v>
      </c>
      <c r="B1191">
        <v>0</v>
      </c>
      <c r="C1191">
        <v>0</v>
      </c>
      <c r="E1191" t="s">
        <v>2570</v>
      </c>
      <c r="F1191">
        <v>6</v>
      </c>
      <c r="G1191" s="1" t="s">
        <v>1006</v>
      </c>
      <c r="H1191" s="16" t="s">
        <v>3823</v>
      </c>
      <c r="I1191" s="18"/>
      <c r="J1191" t="str">
        <f>IF(LEN(VLOOKUP(表1[[#This Row],[id]],数据引用!A:C,3,FALSE))&gt;0,VLOOKUP(表1[[#This Row],[id]],数据引用!A:C,3,FALSE),"")</f>
        <v>蓝龙</v>
      </c>
      <c r="K1191" t="s">
        <v>1212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191" s="5"/>
    </row>
    <row r="1192" spans="1:16" ht="14.25" customHeight="1">
      <c r="A1192">
        <v>4028</v>
      </c>
      <c r="B1192">
        <v>0</v>
      </c>
      <c r="C1192">
        <v>0</v>
      </c>
      <c r="E1192" t="s">
        <v>2570</v>
      </c>
      <c r="F1192">
        <v>6</v>
      </c>
      <c r="G1192" s="1" t="s">
        <v>968</v>
      </c>
      <c r="H1192" s="16" t="s">
        <v>3824</v>
      </c>
      <c r="I1192" s="18"/>
      <c r="J1192" t="str">
        <f>IF(LEN(VLOOKUP(表1[[#This Row],[id]],数据引用!A:C,3,FALSE))&gt;0,VLOOKUP(表1[[#This Row],[id]],数据引用!A:C,3,FALSE),"")</f>
        <v>假墙体</v>
      </c>
      <c r="K1192" t="s">
        <v>1212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192" s="5"/>
    </row>
    <row r="1193" spans="1:16" ht="14.25" customHeight="1">
      <c r="A1193">
        <v>4029</v>
      </c>
      <c r="B1193">
        <v>0</v>
      </c>
      <c r="C1193">
        <v>0</v>
      </c>
      <c r="E1193" t="s">
        <v>2570</v>
      </c>
      <c r="F1193">
        <v>6</v>
      </c>
      <c r="G1193" s="1" t="s">
        <v>972</v>
      </c>
      <c r="H1193" s="16" t="s">
        <v>3825</v>
      </c>
      <c r="I1193" s="18"/>
      <c r="J1193" t="str">
        <f>IF(LEN(VLOOKUP(表1[[#This Row],[id]],数据引用!A:C,3,FALSE))&gt;0,VLOOKUP(表1[[#This Row],[id]],数据引用!A:C,3,FALSE),"")</f>
        <v>火元素</v>
      </c>
      <c r="K1193" t="s">
        <v>1212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193" s="5"/>
    </row>
    <row r="1194" spans="1:16" ht="14.25" customHeight="1">
      <c r="A1194">
        <v>4030</v>
      </c>
      <c r="B1194">
        <v>0</v>
      </c>
      <c r="C1194">
        <v>0</v>
      </c>
      <c r="E1194" t="s">
        <v>2570</v>
      </c>
      <c r="F1194">
        <v>6</v>
      </c>
      <c r="G1194" s="1" t="s">
        <v>1048</v>
      </c>
      <c r="H1194" s="16" t="s">
        <v>3826</v>
      </c>
      <c r="I1194" s="18"/>
      <c r="J1194" t="str">
        <f>IF(LEN(VLOOKUP(表1[[#This Row],[id]],数据引用!A:C,3,FALSE))&gt;0,VLOOKUP(表1[[#This Row],[id]],数据引用!A:C,3,FALSE),"")</f>
        <v>石像鬼</v>
      </c>
      <c r="K1194" t="s">
        <v>1212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194" s="5"/>
    </row>
    <row r="1195" spans="1:16" ht="14.25" customHeight="1">
      <c r="A1195">
        <v>4031</v>
      </c>
      <c r="B1195">
        <v>0</v>
      </c>
      <c r="C1195">
        <v>0</v>
      </c>
      <c r="E1195" t="s">
        <v>2570</v>
      </c>
      <c r="F1195">
        <v>6</v>
      </c>
      <c r="G1195" s="1" t="s">
        <v>981</v>
      </c>
      <c r="H1195" s="16" t="s">
        <v>3827</v>
      </c>
      <c r="I1195" s="18"/>
      <c r="J1195" t="str">
        <f>IF(LEN(VLOOKUP(表1[[#This Row],[id]],数据引用!A:C,3,FALSE))&gt;0,VLOOKUP(表1[[#This Row],[id]],数据引用!A:C,3,FALSE),"")</f>
        <v>恶魂</v>
      </c>
      <c r="K1195" t="s">
        <v>1212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195" s="5"/>
    </row>
    <row r="1196" spans="1:16" ht="14.25" customHeight="1">
      <c r="A1196">
        <v>4032</v>
      </c>
      <c r="B1196">
        <v>0</v>
      </c>
      <c r="C1196">
        <v>0</v>
      </c>
      <c r="E1196" t="s">
        <v>2570</v>
      </c>
      <c r="F1196">
        <v>6</v>
      </c>
      <c r="G1196" s="1" t="s">
        <v>949</v>
      </c>
      <c r="H1196" s="16" t="s">
        <v>3828</v>
      </c>
      <c r="I1196" s="18"/>
      <c r="J1196" t="str">
        <f>IF(LEN(VLOOKUP(表1[[#This Row],[id]],数据引用!A:C,3,FALSE))&gt;0,VLOOKUP(表1[[#This Row],[id]],数据引用!A:C,3,FALSE),"")</f>
        <v>鬼魂</v>
      </c>
      <c r="K1196" t="s">
        <v>1212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196" s="5"/>
    </row>
    <row r="1197" spans="1:16" ht="14.25" customHeight="1">
      <c r="A1197">
        <v>4033</v>
      </c>
      <c r="B1197">
        <v>0</v>
      </c>
      <c r="C1197">
        <v>0</v>
      </c>
      <c r="E1197" t="s">
        <v>2570</v>
      </c>
      <c r="F1197">
        <v>6</v>
      </c>
      <c r="G1197" s="1" t="s">
        <v>1000</v>
      </c>
      <c r="H1197" s="16" t="s">
        <v>3829</v>
      </c>
      <c r="I1197" s="18"/>
      <c r="J1197" t="str">
        <f>IF(LEN(VLOOKUP(表1[[#This Row],[id]],数据引用!A:C,3,FALSE))&gt;0,VLOOKUP(表1[[#This Row],[id]],数据引用!A:C,3,FALSE),"")</f>
        <v>饿魂</v>
      </c>
      <c r="K1197" t="s">
        <v>1212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197" s="5"/>
    </row>
    <row r="1198" spans="1:16" ht="14.25" customHeight="1">
      <c r="A1198">
        <v>4034</v>
      </c>
      <c r="B1198">
        <v>0</v>
      </c>
      <c r="C1198">
        <v>0</v>
      </c>
      <c r="E1198" t="s">
        <v>2570</v>
      </c>
      <c r="F1198">
        <v>6</v>
      </c>
      <c r="G1198" s="1" t="s">
        <v>1049</v>
      </c>
      <c r="H1198" s="16" t="s">
        <v>3830</v>
      </c>
      <c r="I1198" s="18"/>
      <c r="J1198" t="str">
        <f>IF(LEN(VLOOKUP(表1[[#This Row],[id]],数据引用!A:C,3,FALSE))&gt;0,VLOOKUP(表1[[#This Row],[id]],数据引用!A:C,3,FALSE),"")</f>
        <v>紫色哥布林</v>
      </c>
      <c r="K1198" t="s">
        <v>1212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198" s="5"/>
    </row>
    <row r="1199" spans="1:16" ht="14.25" customHeight="1">
      <c r="A1199">
        <v>4035</v>
      </c>
      <c r="B1199">
        <v>0</v>
      </c>
      <c r="C1199">
        <v>0</v>
      </c>
      <c r="E1199" t="s">
        <v>2570</v>
      </c>
      <c r="F1199">
        <v>6</v>
      </c>
      <c r="G1199" s="1" t="s">
        <v>1050</v>
      </c>
      <c r="H1199" s="16" t="s">
        <v>3831</v>
      </c>
      <c r="I1199" s="18"/>
      <c r="J1199" t="str">
        <f>IF(LEN(VLOOKUP(表1[[#This Row],[id]],数据引用!A:C,3,FALSE))&gt;0,VLOOKUP(表1[[#This Row],[id]],数据引用!A:C,3,FALSE),"")</f>
        <v>灰色哥布林</v>
      </c>
      <c r="K1199" t="s">
        <v>1212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199" s="5"/>
    </row>
    <row r="1200" spans="1:16" ht="14.25" customHeight="1">
      <c r="A1200">
        <v>4036</v>
      </c>
      <c r="B1200">
        <v>0</v>
      </c>
      <c r="C1200">
        <v>0</v>
      </c>
      <c r="E1200" t="s">
        <v>2570</v>
      </c>
      <c r="F1200">
        <v>6</v>
      </c>
      <c r="G1200" s="1" t="s">
        <v>1051</v>
      </c>
      <c r="H1200" s="16" t="s">
        <v>3832</v>
      </c>
      <c r="I1200" s="18"/>
      <c r="J1200" t="str">
        <f>IF(LEN(VLOOKUP(表1[[#This Row],[id]],数据引用!A:C,3,FALSE))&gt;0,VLOOKUP(表1[[#This Row],[id]],数据引用!A:C,3,FALSE),"")</f>
        <v>哥布林投弹手</v>
      </c>
      <c r="K1200" t="s">
        <v>1212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font-size:12;"&gt;哥布林投弹手&lt;/text&gt;&lt;text transform="matrix(1 0 0 1 0 10.3205)" style="fill:#FFFFFF; font-family:'FZXS12--GB1-0'; font-size:12;"&gt;哥布林投弹手&lt;/text&gt;&lt;/svg&gt;</v>
      </c>
      <c r="P1200" s="5"/>
    </row>
    <row r="1201" spans="1:16" ht="14.25" customHeight="1">
      <c r="A1201">
        <v>4037</v>
      </c>
      <c r="B1201">
        <v>0</v>
      </c>
      <c r="C1201">
        <v>0</v>
      </c>
      <c r="E1201" t="s">
        <v>2570</v>
      </c>
      <c r="F1201">
        <v>6</v>
      </c>
      <c r="G1201" s="1" t="s">
        <v>1052</v>
      </c>
      <c r="H1201" s="16" t="s">
        <v>3833</v>
      </c>
      <c r="I1201" s="18"/>
      <c r="J1201" t="str">
        <f>IF(LEN(VLOOKUP(表1[[#This Row],[id]],数据引用!A:C,3,FALSE))&gt;0,VLOOKUP(表1[[#This Row],[id]],数据引用!A:C,3,FALSE),"")</f>
        <v>浅色石巨人</v>
      </c>
      <c r="K1201" t="s">
        <v>1212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201" s="5"/>
    </row>
    <row r="1202" spans="1:16" ht="14.25" customHeight="1">
      <c r="A1202">
        <v>4038</v>
      </c>
      <c r="B1202">
        <v>0</v>
      </c>
      <c r="C1202">
        <v>0</v>
      </c>
      <c r="E1202" t="s">
        <v>2570</v>
      </c>
      <c r="F1202">
        <v>6</v>
      </c>
      <c r="G1202" s="1" t="s">
        <v>962</v>
      </c>
      <c r="H1202" s="16" t="s">
        <v>3834</v>
      </c>
      <c r="I1202" s="18"/>
      <c r="J1202" t="str">
        <f>IF(LEN(VLOOKUP(表1[[#This Row],[id]],数据引用!A:C,3,FALSE))&gt;0,VLOOKUP(表1[[#This Row],[id]],数据引用!A:C,3,FALSE),"")</f>
        <v>深色石巨人</v>
      </c>
      <c r="K1202" t="s">
        <v>1212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202" s="5"/>
    </row>
    <row r="1203" spans="1:16" ht="14.25" customHeight="1">
      <c r="A1203">
        <v>4039</v>
      </c>
      <c r="B1203">
        <v>0</v>
      </c>
      <c r="C1203">
        <v>0</v>
      </c>
      <c r="E1203" t="s">
        <v>2570</v>
      </c>
      <c r="F1203">
        <v>6</v>
      </c>
      <c r="G1203" s="1" t="s">
        <v>997</v>
      </c>
      <c r="H1203" s="16" t="s">
        <v>3835</v>
      </c>
      <c r="I1203" s="18"/>
      <c r="J1203" t="str">
        <f>IF(LEN(VLOOKUP(表1[[#This Row],[id]],数据引用!A:C,3,FALSE))&gt;0,VLOOKUP(表1[[#This Row],[id]],数据引用!A:C,3,FALSE),"")</f>
        <v>软泥巨人</v>
      </c>
      <c r="K1203" t="s">
        <v>1212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203" s="5"/>
    </row>
    <row r="1204" spans="1:16" ht="14.25" customHeight="1">
      <c r="A1204">
        <v>4040</v>
      </c>
      <c r="B1204">
        <v>0</v>
      </c>
      <c r="C1204">
        <v>0</v>
      </c>
      <c r="E1204" t="s">
        <v>2570</v>
      </c>
      <c r="F1204">
        <v>6</v>
      </c>
      <c r="G1204" s="1" t="s">
        <v>993</v>
      </c>
      <c r="H1204" s="16" t="s">
        <v>3836</v>
      </c>
      <c r="I1204" s="18"/>
      <c r="J1204" t="str">
        <f>IF(LEN(VLOOKUP(表1[[#This Row],[id]],数据引用!A:C,3,FALSE))&gt;0,VLOOKUP(表1[[#This Row],[id]],数据引用!A:C,3,FALSE),"")</f>
        <v>鹰身女妖</v>
      </c>
      <c r="K1204" t="s">
        <v>1212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204" s="5"/>
    </row>
    <row r="1205" spans="1:16" ht="14.25" customHeight="1">
      <c r="A1205">
        <v>4041</v>
      </c>
      <c r="B1205">
        <v>0</v>
      </c>
      <c r="C1205">
        <v>0</v>
      </c>
      <c r="E1205" t="s">
        <v>2570</v>
      </c>
      <c r="F1205">
        <v>6</v>
      </c>
      <c r="G1205" s="1" t="s">
        <v>979</v>
      </c>
      <c r="H1205" s="16" t="s">
        <v>3837</v>
      </c>
      <c r="I1205" s="18"/>
      <c r="J1205" t="str">
        <f>IF(LEN(VLOOKUP(表1[[#This Row],[id]],数据引用!A:C,3,FALSE))&gt;0,VLOOKUP(表1[[#This Row],[id]],数据引用!A:C,3,FALSE),"")</f>
        <v>地狱犬</v>
      </c>
      <c r="K1205" t="s">
        <v>1212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205" s="5"/>
    </row>
    <row r="1206" spans="1:16" ht="14.25" customHeight="1">
      <c r="A1206">
        <v>4042</v>
      </c>
      <c r="B1206">
        <v>0</v>
      </c>
      <c r="C1206">
        <v>0</v>
      </c>
      <c r="E1206" t="s">
        <v>2570</v>
      </c>
      <c r="F1206">
        <v>6</v>
      </c>
      <c r="G1206" s="1" t="s">
        <v>973</v>
      </c>
      <c r="H1206" s="16" t="s">
        <v>3838</v>
      </c>
      <c r="I1206" s="18"/>
      <c r="J1206" t="str">
        <f>IF(LEN(VLOOKUP(表1[[#This Row],[id]],数据引用!A:C,3,FALSE))&gt;0,VLOOKUP(表1[[#This Row],[id]],数据引用!A:C,3,FALSE),"")</f>
        <v>冰元素</v>
      </c>
      <c r="K1206" t="s">
        <v>1212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206" s="5"/>
    </row>
    <row r="1207" spans="1:16" ht="14.25" customHeight="1">
      <c r="A1207">
        <v>4043</v>
      </c>
      <c r="B1207">
        <v>0</v>
      </c>
      <c r="C1207">
        <v>0</v>
      </c>
      <c r="E1207" t="s">
        <v>2570</v>
      </c>
      <c r="F1207">
        <v>6</v>
      </c>
      <c r="G1207" s="1" t="s">
        <v>1053</v>
      </c>
      <c r="H1207" s="16" t="s">
        <v>3839</v>
      </c>
      <c r="I1207" s="18"/>
      <c r="J1207" t="str">
        <f>IF(LEN(VLOOKUP(表1[[#This Row],[id]],数据引用!A:C,3,FALSE))&gt;0,VLOOKUP(表1[[#This Row],[id]],数据引用!A:C,3,FALSE),"")</f>
        <v>国王</v>
      </c>
      <c r="K1207" t="s">
        <v>1212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207" s="5"/>
    </row>
    <row r="1208" spans="1:16" ht="14.25" customHeight="1">
      <c r="A1208">
        <v>4044</v>
      </c>
      <c r="B1208">
        <v>0</v>
      </c>
      <c r="C1208">
        <v>0</v>
      </c>
      <c r="E1208" t="s">
        <v>2570</v>
      </c>
      <c r="F1208">
        <v>6</v>
      </c>
      <c r="G1208" s="1" t="s">
        <v>1054</v>
      </c>
      <c r="H1208" s="16" t="s">
        <v>3840</v>
      </c>
      <c r="I1208" s="18"/>
      <c r="J1208" t="str">
        <f>IF(LEN(VLOOKUP(表1[[#This Row],[id]],数据引用!A:C,3,FALSE))&gt;0,VLOOKUP(表1[[#This Row],[id]],数据引用!A:C,3,FALSE),"")</f>
        <v>国王(红方)</v>
      </c>
      <c r="K1208" t="s">
        <v>1212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208" s="5"/>
    </row>
    <row r="1209" spans="1:16" ht="14.25" customHeight="1">
      <c r="A1209">
        <v>4045</v>
      </c>
      <c r="B1209">
        <v>0</v>
      </c>
      <c r="C1209">
        <v>0</v>
      </c>
      <c r="E1209" t="s">
        <v>2570</v>
      </c>
      <c r="F1209">
        <v>6</v>
      </c>
      <c r="G1209" s="1" t="s">
        <v>689</v>
      </c>
      <c r="H1209" s="16" t="s">
        <v>3841</v>
      </c>
      <c r="I1209" s="18"/>
      <c r="J1209" t="str">
        <f>IF(LEN(VLOOKUP(表1[[#This Row],[id]],数据引用!A:C,3,FALSE))&gt;0,VLOOKUP(表1[[#This Row],[id]],数据引用!A:C,3,FALSE),"")</f>
        <v>金刚鼓王</v>
      </c>
      <c r="K1209" t="s">
        <v>1212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209" s="5"/>
    </row>
    <row r="1210" spans="1:16" ht="14.25" customHeight="1">
      <c r="A1210">
        <v>4046</v>
      </c>
      <c r="B1210">
        <v>0</v>
      </c>
      <c r="C1210">
        <v>0</v>
      </c>
      <c r="E1210" t="s">
        <v>2570</v>
      </c>
      <c r="F1210">
        <v>6</v>
      </c>
      <c r="G1210" s="1" t="s">
        <v>1055</v>
      </c>
      <c r="H1210" s="16" t="s">
        <v>3842</v>
      </c>
      <c r="I1210" s="18"/>
      <c r="J1210" t="str">
        <f>IF(LEN(VLOOKUP(表1[[#This Row],[id]],数据引用!A:C,3,FALSE))&gt;0,VLOOKUP(表1[[#This Row],[id]],数据引用!A:C,3,FALSE),"")</f>
        <v>马</v>
      </c>
      <c r="K1210" t="s">
        <v>1212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210" s="5"/>
    </row>
    <row r="1211" spans="1:16" ht="14.25" customHeight="1">
      <c r="A1211">
        <v>4047</v>
      </c>
      <c r="B1211">
        <v>0</v>
      </c>
      <c r="C1211">
        <v>0</v>
      </c>
      <c r="E1211" t="s">
        <v>2570</v>
      </c>
      <c r="F1211">
        <v>6</v>
      </c>
      <c r="G1211" s="1" t="s">
        <v>1056</v>
      </c>
      <c r="H1211" s="16" t="s">
        <v>3843</v>
      </c>
      <c r="I1211" s="18"/>
      <c r="J1211" t="str">
        <f>IF(LEN(VLOOKUP(表1[[#This Row],[id]],数据引用!A:C,3,FALSE))&gt;0,VLOOKUP(表1[[#This Row],[id]],数据引用!A:C,3,FALSE),"")</f>
        <v>马(红方)</v>
      </c>
      <c r="K1211" t="s">
        <v>1212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211" s="5"/>
    </row>
    <row r="1212" spans="1:16" ht="14.25" customHeight="1">
      <c r="A1212">
        <v>4048</v>
      </c>
      <c r="B1212">
        <v>0</v>
      </c>
      <c r="C1212">
        <v>0</v>
      </c>
      <c r="E1212" t="s">
        <v>2570</v>
      </c>
      <c r="F1212">
        <v>6</v>
      </c>
      <c r="G1212" s="1" t="s">
        <v>1057</v>
      </c>
      <c r="H1212" s="16" t="s">
        <v>3844</v>
      </c>
      <c r="I1212" s="18"/>
      <c r="J1212" t="str">
        <f>IF(LEN(VLOOKUP(表1[[#This Row],[id]],数据引用!A:C,3,FALSE))&gt;0,VLOOKUP(表1[[#This Row],[id]],数据引用!A:C,3,FALSE),"")</f>
        <v>妖精</v>
      </c>
      <c r="K1212" t="s">
        <v>1212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212" s="5"/>
    </row>
    <row r="1213" spans="1:16" ht="14.25" customHeight="1">
      <c r="A1213">
        <v>4049</v>
      </c>
      <c r="B1213">
        <v>0</v>
      </c>
      <c r="C1213">
        <v>0</v>
      </c>
      <c r="E1213" t="s">
        <v>2570</v>
      </c>
      <c r="F1213">
        <v>6</v>
      </c>
      <c r="G1213" s="1" t="s">
        <v>984</v>
      </c>
      <c r="H1213" s="16" t="s">
        <v>3845</v>
      </c>
      <c r="I1213" s="18"/>
      <c r="J1213" t="str">
        <f>IF(LEN(VLOOKUP(表1[[#This Row],[id]],数据引用!A:C,3,FALSE))&gt;0,VLOOKUP(表1[[#This Row],[id]],数据引用!A:C,3,FALSE),"")</f>
        <v>巫妖</v>
      </c>
      <c r="K1213" t="s">
        <v>1212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213" s="5"/>
    </row>
    <row r="1214" spans="1:16" ht="14.25" customHeight="1">
      <c r="A1214">
        <v>4050</v>
      </c>
      <c r="B1214">
        <v>0</v>
      </c>
      <c r="C1214">
        <v>0</v>
      </c>
      <c r="E1214" t="s">
        <v>2570</v>
      </c>
      <c r="F1214">
        <v>6</v>
      </c>
      <c r="G1214" s="1" t="s">
        <v>985</v>
      </c>
      <c r="H1214" s="16" t="s">
        <v>3846</v>
      </c>
      <c r="I1214" s="18"/>
      <c r="J1214" t="str">
        <f>IF(LEN(VLOOKUP(表1[[#This Row],[id]],数据引用!A:C,3,FALSE))&gt;0,VLOOKUP(表1[[#This Row],[id]],数据引用!A:C,3,FALSE),"")</f>
        <v>红巫妖</v>
      </c>
      <c r="K1214" t="s">
        <v>1212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214" s="5"/>
    </row>
    <row r="1215" spans="1:16" ht="14.25" customHeight="1">
      <c r="A1215">
        <v>4051</v>
      </c>
      <c r="B1215">
        <v>0</v>
      </c>
      <c r="C1215">
        <v>0</v>
      </c>
      <c r="E1215" t="s">
        <v>2570</v>
      </c>
      <c r="F1215">
        <v>6</v>
      </c>
      <c r="G1215" s="1" t="s">
        <v>986</v>
      </c>
      <c r="H1215" s="16" t="s">
        <v>3847</v>
      </c>
      <c r="I1215" s="18"/>
      <c r="J1215" t="str">
        <f>IF(LEN(VLOOKUP(表1[[#This Row],[id]],数据引用!A:C,3,FALSE))&gt;0,VLOOKUP(表1[[#This Row],[id]],数据引用!A:C,3,FALSE),"")</f>
        <v>黑巫妖</v>
      </c>
      <c r="K1215" t="s">
        <v>1212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215" s="5"/>
    </row>
    <row r="1216" spans="1:16" ht="14.25" customHeight="1">
      <c r="A1216">
        <v>4052</v>
      </c>
      <c r="B1216">
        <v>0</v>
      </c>
      <c r="C1216">
        <v>0</v>
      </c>
      <c r="E1216" t="s">
        <v>2570</v>
      </c>
      <c r="F1216">
        <v>6</v>
      </c>
      <c r="G1216" s="1" t="s">
        <v>694</v>
      </c>
      <c r="H1216" s="16" t="s">
        <v>3848</v>
      </c>
      <c r="I1216" s="18"/>
      <c r="J1216" t="str">
        <f>IF(LEN(VLOOKUP(表1[[#This Row],[id]],数据引用!A:C,3,FALSE))&gt;0,VLOOKUP(表1[[#This Row],[id]],数据引用!A:C,3,FALSE),"")</f>
        <v>黄金鲁特琴</v>
      </c>
      <c r="K1216" t="s">
        <v>1212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216" s="5"/>
    </row>
    <row r="1217" spans="1:16" ht="14.25" customHeight="1">
      <c r="A1217">
        <v>4053</v>
      </c>
      <c r="B1217">
        <v>0</v>
      </c>
      <c r="C1217">
        <v>0</v>
      </c>
      <c r="E1217" t="s">
        <v>2570</v>
      </c>
      <c r="F1217">
        <v>6</v>
      </c>
      <c r="G1217" s="1" t="s">
        <v>1058</v>
      </c>
      <c r="H1217" s="16" t="s">
        <v>3849</v>
      </c>
      <c r="I1217" s="18"/>
      <c r="J1217" t="str">
        <f>IF(LEN(VLOOKUP(表1[[#This Row],[id]],数据引用!A:C,3,FALSE))&gt;0,VLOOKUP(表1[[#This Row],[id]],数据引用!A:C,3,FALSE),"")</f>
        <v>浅色牛头怪</v>
      </c>
      <c r="K1217" t="s">
        <v>1212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217" s="5"/>
    </row>
    <row r="1218" spans="1:16" ht="14.25" customHeight="1">
      <c r="A1218">
        <v>4054</v>
      </c>
      <c r="B1218">
        <v>0</v>
      </c>
      <c r="C1218">
        <v>0</v>
      </c>
      <c r="E1218" t="s">
        <v>2570</v>
      </c>
      <c r="F1218">
        <v>6</v>
      </c>
      <c r="G1218" s="1" t="s">
        <v>1059</v>
      </c>
      <c r="H1218" s="16" t="s">
        <v>3850</v>
      </c>
      <c r="I1218" s="18"/>
      <c r="J1218" t="str">
        <f>IF(LEN(VLOOKUP(表1[[#This Row],[id]],数据引用!A:C,3,FALSE))&gt;0,VLOOKUP(表1[[#This Row],[id]],数据引用!A:C,3,FALSE),"")</f>
        <v>深色牛头怪</v>
      </c>
      <c r="K1218" t="s">
        <v>1212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218" s="5"/>
    </row>
    <row r="1219" spans="1:16" ht="14.25" customHeight="1">
      <c r="A1219">
        <v>4055</v>
      </c>
      <c r="B1219">
        <v>0</v>
      </c>
      <c r="C1219">
        <v>0</v>
      </c>
      <c r="E1219" t="s">
        <v>2570</v>
      </c>
      <c r="F1219">
        <v>6</v>
      </c>
      <c r="G1219" s="1" t="s">
        <v>966</v>
      </c>
      <c r="H1219" s="16" t="s">
        <v>3851</v>
      </c>
      <c r="I1219" s="18"/>
      <c r="J1219" t="str">
        <f>IF(LEN(VLOOKUP(表1[[#This Row],[id]],数据引用!A:C,3,FALSE))&gt;0,VLOOKUP(表1[[#This Row],[id]],数据引用!A:C,3,FALSE),"")</f>
        <v>鼹鼠</v>
      </c>
      <c r="K1219" t="s">
        <v>1212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219" s="5"/>
    </row>
    <row r="1220" spans="1:16" ht="14.25" customHeight="1">
      <c r="A1220">
        <v>4056</v>
      </c>
      <c r="B1220">
        <v>0</v>
      </c>
      <c r="C1220">
        <v>0</v>
      </c>
      <c r="E1220" t="s">
        <v>2570</v>
      </c>
      <c r="F1220">
        <v>6</v>
      </c>
      <c r="G1220" s="1" t="s">
        <v>1060</v>
      </c>
      <c r="H1220" s="16" t="s">
        <v>3852</v>
      </c>
      <c r="I1220" s="18"/>
      <c r="J1220" t="str">
        <f>IF(LEN(VLOOKUP(表1[[#This Row],[id]],数据引用!A:C,3,FALSE))&gt;0,VLOOKUP(表1[[#This Row],[id]],数据引用!A:C,3,FALSE),"")</f>
        <v>紫色猴子</v>
      </c>
      <c r="K1220" t="s">
        <v>1212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220" s="5"/>
    </row>
    <row r="1221" spans="1:16" ht="14.25" customHeight="1">
      <c r="A1221">
        <v>4057</v>
      </c>
      <c r="B1221">
        <v>0</v>
      </c>
      <c r="C1221">
        <v>0</v>
      </c>
      <c r="E1221" t="s">
        <v>2570</v>
      </c>
      <c r="F1221">
        <v>6</v>
      </c>
      <c r="G1221" s="1" t="s">
        <v>948</v>
      </c>
      <c r="H1221" s="16" t="s">
        <v>3853</v>
      </c>
      <c r="I1221" s="18"/>
      <c r="J1221" t="str">
        <f>IF(LEN(VLOOKUP(表1[[#This Row],[id]],数据引用!A:C,3,FALSE))&gt;0,VLOOKUP(表1[[#This Row],[id]],数据引用!A:C,3,FALSE),"")</f>
        <v>白猴子</v>
      </c>
      <c r="K1221" t="s">
        <v>1212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221" s="5"/>
    </row>
    <row r="1222" spans="1:16" ht="14.25" customHeight="1">
      <c r="A1222">
        <v>4058</v>
      </c>
      <c r="B1222">
        <v>0</v>
      </c>
      <c r="C1222">
        <v>0</v>
      </c>
      <c r="E1222" t="s">
        <v>2570</v>
      </c>
      <c r="F1222">
        <v>6</v>
      </c>
      <c r="G1222" s="1" t="s">
        <v>1061</v>
      </c>
      <c r="H1222" s="16" t="s">
        <v>3854</v>
      </c>
      <c r="I1222" s="18"/>
      <c r="J1222" t="str">
        <f>IF(LEN(VLOOKUP(表1[[#This Row],[id]],数据引用!A:C,3,FALSE))&gt;0,VLOOKUP(表1[[#This Row],[id]],数据引用!A:C,3,FALSE),"")</f>
        <v>绿色猴子</v>
      </c>
      <c r="K1222" t="s">
        <v>1212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222" s="5"/>
    </row>
    <row r="1223" spans="1:16" ht="14.25" customHeight="1">
      <c r="A1223">
        <v>4059</v>
      </c>
      <c r="B1223">
        <v>0</v>
      </c>
      <c r="C1223">
        <v>0</v>
      </c>
      <c r="E1223" t="s">
        <v>2570</v>
      </c>
      <c r="F1223">
        <v>6</v>
      </c>
      <c r="G1223" s="1" t="s">
        <v>1062</v>
      </c>
      <c r="H1223" s="16" t="s">
        <v>3855</v>
      </c>
      <c r="I1223" s="18"/>
      <c r="J1223" t="str">
        <f>IF(LEN(VLOOKUP(表1[[#This Row],[id]],数据引用!A:C,3,FALSE))&gt;0,VLOOKUP(表1[[#This Row],[id]],数据引用!A:C,3,FALSE),"")</f>
        <v>魔法猴子</v>
      </c>
      <c r="K1223" t="s">
        <v>1212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223" s="5"/>
    </row>
    <row r="1224" spans="1:16" ht="14.25" customHeight="1">
      <c r="A1224">
        <v>4060</v>
      </c>
      <c r="B1224">
        <v>0</v>
      </c>
      <c r="C1224">
        <v>0</v>
      </c>
      <c r="E1224" t="s">
        <v>2570</v>
      </c>
      <c r="F1224">
        <v>6</v>
      </c>
      <c r="G1224" s="1" t="s">
        <v>1012</v>
      </c>
      <c r="H1224" s="16" t="s">
        <v>3856</v>
      </c>
      <c r="I1224" s="18"/>
      <c r="J1224" t="str">
        <f>IF(LEN(VLOOKUP(表1[[#This Row],[id]],数据引用!A:C,3,FALSE))&gt;0,VLOOKUP(表1[[#This Row],[id]],数据引用!A:C,3,FALSE),"")</f>
        <v>木乃伊母体</v>
      </c>
      <c r="K1224" t="s">
        <v>1212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224" s="5"/>
    </row>
    <row r="1225" spans="1:16" ht="14.25" customHeight="1">
      <c r="A1225">
        <v>4061</v>
      </c>
      <c r="B1225">
        <v>0</v>
      </c>
      <c r="C1225">
        <v>0</v>
      </c>
      <c r="E1225" t="s">
        <v>2570</v>
      </c>
      <c r="F1225">
        <v>6</v>
      </c>
      <c r="G1225" s="1" t="s">
        <v>1063</v>
      </c>
      <c r="H1225" s="16" t="s">
        <v>3857</v>
      </c>
      <c r="I1225" s="18"/>
      <c r="J1225" t="str">
        <f>IF(LEN(VLOOKUP(表1[[#This Row],[id]],数据引用!A:C,3,FALSE))&gt;0,VLOOKUP(表1[[#This Row],[id]],数据引用!A:C,3,FALSE),"")</f>
        <v>木乃伊</v>
      </c>
      <c r="K1225" t="s">
        <v>1212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225" s="5"/>
    </row>
    <row r="1226" spans="1:16" ht="14.25" customHeight="1">
      <c r="A1226">
        <v>4062</v>
      </c>
      <c r="B1226">
        <v>0</v>
      </c>
      <c r="C1226">
        <v>0</v>
      </c>
      <c r="E1226" t="s">
        <v>2570</v>
      </c>
      <c r="F1226">
        <v>6</v>
      </c>
      <c r="G1226" s="1" t="s">
        <v>1064</v>
      </c>
      <c r="H1226" s="16" t="s">
        <v>3858</v>
      </c>
      <c r="I1226" s="18"/>
      <c r="J1226" t="str">
        <f>IF(LEN(VLOOKUP(表1[[#This Row],[id]],数据引用!A:C,3,FALSE))&gt;0,VLOOKUP(表1[[#This Row],[id]],数据引用!A:C,3,FALSE),"")</f>
        <v>蓝色蘑菇怪</v>
      </c>
      <c r="K1226" t="s">
        <v>1212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226" s="5"/>
    </row>
    <row r="1227" spans="1:16" ht="14.25" customHeight="1">
      <c r="A1227">
        <v>4063</v>
      </c>
      <c r="B1227">
        <v>0</v>
      </c>
      <c r="C1227">
        <v>0</v>
      </c>
      <c r="E1227" t="s">
        <v>2570</v>
      </c>
      <c r="F1227">
        <v>6</v>
      </c>
      <c r="G1227" s="1" t="s">
        <v>1065</v>
      </c>
      <c r="H1227" s="16" t="s">
        <v>3859</v>
      </c>
      <c r="I1227" s="18"/>
      <c r="J1227" t="str">
        <f>IF(LEN(VLOOKUP(表1[[#This Row],[id]],数据引用!A:C,3,FALSE))&gt;0,VLOOKUP(表1[[#This Row],[id]],数据引用!A:C,3,FALSE),"")</f>
        <v>紫色蘑菇怪</v>
      </c>
      <c r="K1227" t="s">
        <v>1212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227" s="5"/>
    </row>
    <row r="1228" spans="1:16" ht="14.25" customHeight="1">
      <c r="A1228">
        <v>4064</v>
      </c>
      <c r="B1228">
        <v>0</v>
      </c>
      <c r="C1228">
        <v>0</v>
      </c>
      <c r="E1228" t="s">
        <v>2570</v>
      </c>
      <c r="F1228">
        <v>6</v>
      </c>
      <c r="G1228" s="1" t="s">
        <v>1066</v>
      </c>
      <c r="H1228" s="16" t="s">
        <v>3860</v>
      </c>
      <c r="I1228" s="18"/>
      <c r="J1228" t="str">
        <f>IF(LEN(VLOOKUP(表1[[#This Row],[id]],数据引用!A:C,3,FALSE))&gt;0,VLOOKUP(表1[[#This Row],[id]],数据引用!A:C,3,FALSE),"")</f>
        <v>爆炸蘑菇怪</v>
      </c>
      <c r="K1228" t="s">
        <v>1212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228" s="5"/>
    </row>
    <row r="1229" spans="1:16" ht="14.25" customHeight="1">
      <c r="A1229">
        <v>4065</v>
      </c>
      <c r="B1229">
        <v>0</v>
      </c>
      <c r="C1229">
        <v>0</v>
      </c>
      <c r="E1229" t="s">
        <v>2570</v>
      </c>
      <c r="F1229">
        <v>6</v>
      </c>
      <c r="G1229" s="1" t="s">
        <v>688</v>
      </c>
      <c r="H1229" s="16" t="s">
        <v>3861</v>
      </c>
      <c r="I1229" s="18"/>
      <c r="J1229" t="str">
        <f>IF(LEN(VLOOKUP(表1[[#This Row],[id]],数据引用!A:C,3,FALSE))&gt;0,VLOOKUP(表1[[#This Row],[id]],数据引用!A:C,3,FALSE),"")</f>
        <v>亡灵舞者</v>
      </c>
      <c r="K1229" t="s">
        <v>1212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229" s="5"/>
    </row>
    <row r="1230" spans="1:16" ht="14.25" customHeight="1">
      <c r="A1230">
        <v>4066</v>
      </c>
      <c r="B1230">
        <v>0</v>
      </c>
      <c r="C1230">
        <v>0</v>
      </c>
      <c r="E1230" t="s">
        <v>2570</v>
      </c>
      <c r="F1230">
        <v>6</v>
      </c>
      <c r="G1230" s="1" t="s">
        <v>1067</v>
      </c>
      <c r="H1230" s="16" t="s">
        <v>3862</v>
      </c>
      <c r="I1230" s="18"/>
      <c r="J1230" t="str">
        <f>IF(LEN(VLOOKUP(表1[[#This Row],[id]],数据引用!A:C,3,FALSE))&gt;0,VLOOKUP(表1[[#This Row],[id]],数据引用!A:C,3,FALSE),"")</f>
        <v>黑暗梦魇</v>
      </c>
      <c r="K1230" t="s">
        <v>1212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230" s="5"/>
    </row>
    <row r="1231" spans="1:16" ht="14.25" customHeight="1">
      <c r="A1231">
        <v>4067</v>
      </c>
      <c r="B1231">
        <v>0</v>
      </c>
      <c r="C1231">
        <v>0</v>
      </c>
      <c r="E1231" t="s">
        <v>2570</v>
      </c>
      <c r="F1231">
        <v>6</v>
      </c>
      <c r="G1231" s="1" t="s">
        <v>1011</v>
      </c>
      <c r="H1231" s="16" t="s">
        <v>3863</v>
      </c>
      <c r="I1231" s="18"/>
      <c r="J1231" t="str">
        <f>IF(LEN(VLOOKUP(表1[[#This Row],[id]],数据引用!A:C,3,FALSE))&gt;0,VLOOKUP(表1[[#This Row],[id]],数据引用!A:C,3,FALSE),"")</f>
        <v>血之梦魇</v>
      </c>
      <c r="K1231" t="s">
        <v>1212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231" s="5"/>
    </row>
    <row r="1232" spans="1:16" ht="14.25" customHeight="1">
      <c r="A1232">
        <v>4068</v>
      </c>
      <c r="B1232">
        <v>0</v>
      </c>
      <c r="C1232">
        <v>0</v>
      </c>
      <c r="E1232" t="s">
        <v>2570</v>
      </c>
      <c r="F1232">
        <v>6</v>
      </c>
      <c r="G1232" s="1" t="s">
        <v>1013</v>
      </c>
      <c r="H1232" s="16" t="s">
        <v>3864</v>
      </c>
      <c r="I1232" s="18"/>
      <c r="J1232" t="str">
        <f>IF(LEN(VLOOKUP(表1[[#This Row],[id]],数据引用!A:C,3,FALSE))&gt;0,VLOOKUP(表1[[#This Row],[id]],数据引用!A:C,3,FALSE),"")</f>
        <v>食人魔</v>
      </c>
      <c r="K1232" t="s">
        <v>1212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232" s="5"/>
    </row>
    <row r="1233" spans="1:16" ht="14.25" customHeight="1">
      <c r="A1233">
        <v>4069</v>
      </c>
      <c r="B1233">
        <v>0</v>
      </c>
      <c r="C1233">
        <v>0</v>
      </c>
      <c r="E1233" t="s">
        <v>2570</v>
      </c>
      <c r="F1233">
        <v>6</v>
      </c>
      <c r="G1233" s="1" t="s">
        <v>1068</v>
      </c>
      <c r="H1233" s="16" t="s">
        <v>3865</v>
      </c>
      <c r="I1233" s="18"/>
      <c r="J1233" t="str">
        <f>IF(LEN(VLOOKUP(表1[[#This Row],[id]],数据引用!A:C,3,FALSE))&gt;0,VLOOKUP(表1[[#This Row],[id]],数据引用!A:C,3,FALSE),"")</f>
        <v>卒</v>
      </c>
      <c r="K1233" t="s">
        <v>1212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233" s="5"/>
    </row>
    <row r="1234" spans="1:16" ht="14.25" customHeight="1">
      <c r="A1234">
        <v>4070</v>
      </c>
      <c r="B1234">
        <v>0</v>
      </c>
      <c r="C1234">
        <v>0</v>
      </c>
      <c r="E1234" t="s">
        <v>2570</v>
      </c>
      <c r="F1234">
        <v>6</v>
      </c>
      <c r="G1234" s="1" t="s">
        <v>1069</v>
      </c>
      <c r="H1234" s="16" t="s">
        <v>3866</v>
      </c>
      <c r="I1234" s="18"/>
      <c r="J1234" t="str">
        <f>IF(LEN(VLOOKUP(表1[[#This Row],[id]],数据引用!A:C,3,FALSE))&gt;0,VLOOKUP(表1[[#This Row],[id]],数据引用!A:C,3,FALSE),"")</f>
        <v>卒(红方)</v>
      </c>
      <c r="K1234" t="s">
        <v>1212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234" s="5"/>
    </row>
    <row r="1235" spans="1:16" ht="14.25" customHeight="1">
      <c r="A1235">
        <v>4071</v>
      </c>
      <c r="B1235">
        <v>0</v>
      </c>
      <c r="C1235">
        <v>0</v>
      </c>
      <c r="E1235" t="s">
        <v>2570</v>
      </c>
      <c r="F1235">
        <v>6</v>
      </c>
      <c r="G1235" s="1" t="s">
        <v>1001</v>
      </c>
      <c r="H1235" s="16" t="s">
        <v>3867</v>
      </c>
      <c r="I1235" s="18"/>
      <c r="J1235" t="str">
        <f>IF(LEN(VLOOKUP(表1[[#This Row],[id]],数据引用!A:C,3,FALSE))&gt;0,VLOOKUP(表1[[#This Row],[id]],数据引用!A:C,3,FALSE),"")</f>
        <v>小精灵</v>
      </c>
      <c r="K1235" t="s">
        <v>1212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235" s="5"/>
    </row>
    <row r="1236" spans="1:16" ht="14.25" customHeight="1">
      <c r="A1236">
        <v>4072</v>
      </c>
      <c r="B1236">
        <v>0</v>
      </c>
      <c r="C1236">
        <v>0</v>
      </c>
      <c r="E1236" t="s">
        <v>2570</v>
      </c>
      <c r="F1236">
        <v>6</v>
      </c>
      <c r="G1236" s="1" t="s">
        <v>1070</v>
      </c>
      <c r="H1236" s="16" t="s">
        <v>3868</v>
      </c>
      <c r="I1236" s="18"/>
      <c r="J1236" t="str">
        <f>IF(LEN(VLOOKUP(表1[[#This Row],[id]],数据引用!A:C,3,FALSE))&gt;0,VLOOKUP(表1[[#This Row],[id]],数据引用!A:C,3,FALSE),"")</f>
        <v>王后</v>
      </c>
      <c r="K1236" t="s">
        <v>1212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236" s="5"/>
    </row>
    <row r="1237" spans="1:16" ht="14.25" customHeight="1">
      <c r="A1237">
        <v>4073</v>
      </c>
      <c r="B1237">
        <v>0</v>
      </c>
      <c r="C1237">
        <v>0</v>
      </c>
      <c r="E1237" t="s">
        <v>2570</v>
      </c>
      <c r="F1237">
        <v>6</v>
      </c>
      <c r="G1237" s="1" t="s">
        <v>1071</v>
      </c>
      <c r="H1237" s="16" t="s">
        <v>3869</v>
      </c>
      <c r="I1237" s="18"/>
      <c r="J1237" t="str">
        <f>IF(LEN(VLOOKUP(表1[[#This Row],[id]],数据引用!A:C,3,FALSE))&gt;0,VLOOKUP(表1[[#This Row],[id]],数据引用!A:C,3,FALSE),"")</f>
        <v>王后(红方)</v>
      </c>
      <c r="K1237" t="s">
        <v>1212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237" s="5"/>
    </row>
    <row r="1238" spans="1:16" ht="14.25" customHeight="1">
      <c r="A1238">
        <v>4074</v>
      </c>
      <c r="B1238">
        <v>0</v>
      </c>
      <c r="C1238">
        <v>0</v>
      </c>
      <c r="E1238" t="s">
        <v>2570</v>
      </c>
      <c r="F1238">
        <v>6</v>
      </c>
      <c r="G1238" s="1" t="s">
        <v>1072</v>
      </c>
      <c r="H1238" s="16" t="s">
        <v>3870</v>
      </c>
      <c r="I1238" s="18"/>
      <c r="J1238" t="str">
        <f>IF(LEN(VLOOKUP(表1[[#This Row],[id]],数据引用!A:C,3,FALSE))&gt;0,VLOOKUP(表1[[#This Row],[id]],数据引用!A:C,3,FALSE),"")</f>
        <v>车</v>
      </c>
      <c r="K1238" t="s">
        <v>1212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238" s="5"/>
    </row>
    <row r="1239" spans="1:16" ht="14.25" customHeight="1">
      <c r="A1239">
        <v>4075</v>
      </c>
      <c r="B1239">
        <v>0</v>
      </c>
      <c r="C1239">
        <v>0</v>
      </c>
      <c r="E1239" t="s">
        <v>2570</v>
      </c>
      <c r="F1239">
        <v>6</v>
      </c>
      <c r="G1239" s="1" t="s">
        <v>1073</v>
      </c>
      <c r="H1239" s="16" t="s">
        <v>3871</v>
      </c>
      <c r="I1239" s="18"/>
      <c r="J1239" t="str">
        <f>IF(LEN(VLOOKUP(表1[[#This Row],[id]],数据引用!A:C,3,FALSE))&gt;0,VLOOKUP(表1[[#This Row],[id]],数据引用!A:C,3,FALSE),"")</f>
        <v>车(红方)</v>
      </c>
      <c r="K1239" t="s">
        <v>1212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239" s="5"/>
    </row>
    <row r="1240" spans="1:16" ht="14.25" customHeight="1">
      <c r="A1240">
        <v>4076</v>
      </c>
      <c r="B1240">
        <v>0</v>
      </c>
      <c r="C1240">
        <v>0</v>
      </c>
      <c r="E1240" t="s">
        <v>2570</v>
      </c>
      <c r="F1240">
        <v>6</v>
      </c>
      <c r="G1240" s="1" t="s">
        <v>983</v>
      </c>
      <c r="H1240" s="16" t="s">
        <v>3872</v>
      </c>
      <c r="I1240" s="18"/>
      <c r="J1240" t="str">
        <f>IF(LEN(VLOOKUP(表1[[#This Row],[id]],数据引用!A:C,3,FALSE))&gt;0,VLOOKUP(表1[[#This Row],[id]],数据引用!A:C,3,FALSE),"")</f>
        <v>石棺</v>
      </c>
      <c r="K1240" t="s">
        <v>1212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240" s="5"/>
    </row>
    <row r="1241" spans="1:16" ht="14.25" customHeight="1">
      <c r="A1241">
        <v>4077</v>
      </c>
      <c r="B1241">
        <v>0</v>
      </c>
      <c r="C1241">
        <v>0</v>
      </c>
      <c r="E1241" t="s">
        <v>2570</v>
      </c>
      <c r="F1241">
        <v>6</v>
      </c>
      <c r="G1241" s="1" t="s">
        <v>1074</v>
      </c>
      <c r="H1241" s="16" t="s">
        <v>3873</v>
      </c>
      <c r="I1241" s="18"/>
      <c r="J1241" t="str">
        <f>IF(LEN(VLOOKUP(表1[[#This Row],[id]],数据引用!A:C,3,FALSE))&gt;0,VLOOKUP(表1[[#This Row],[id]],数据引用!A:C,3,FALSE),"")</f>
        <v>黄色石棺</v>
      </c>
      <c r="K1241" t="s">
        <v>1212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241" s="5"/>
    </row>
    <row r="1242" spans="1:16" ht="14.25" customHeight="1">
      <c r="A1242">
        <v>4078</v>
      </c>
      <c r="B1242">
        <v>0</v>
      </c>
      <c r="C1242">
        <v>0</v>
      </c>
      <c r="E1242" t="s">
        <v>2570</v>
      </c>
      <c r="F1242">
        <v>6</v>
      </c>
      <c r="G1242" s="1" t="s">
        <v>1075</v>
      </c>
      <c r="H1242" s="16" t="s">
        <v>3874</v>
      </c>
      <c r="I1242" s="18"/>
      <c r="J1242" t="str">
        <f>IF(LEN(VLOOKUP(表1[[#This Row],[id]],数据引用!A:C,3,FALSE))&gt;0,VLOOKUP(表1[[#This Row],[id]],数据引用!A:C,3,FALSE),"")</f>
        <v>黑色石棺</v>
      </c>
      <c r="K1242" t="s">
        <v>1212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242" s="5"/>
    </row>
    <row r="1243" spans="1:16" ht="14.25" customHeight="1">
      <c r="A1243">
        <v>4079</v>
      </c>
      <c r="B1243">
        <v>0</v>
      </c>
      <c r="C1243">
        <v>0</v>
      </c>
      <c r="E1243" t="s">
        <v>2570</v>
      </c>
      <c r="F1243">
        <v>6</v>
      </c>
      <c r="G1243" s="1" t="s">
        <v>1076</v>
      </c>
      <c r="H1243" s="16" t="s">
        <v>3875</v>
      </c>
      <c r="I1243" s="18"/>
      <c r="J1243" t="str">
        <f>IF(LEN(VLOOKUP(表1[[#This Row],[id]],数据引用!A:C,3,FALSE))&gt;0,VLOOKUP(表1[[#This Row],[id]],数据引用!A:C,3,FALSE),"")</f>
        <v>商店老板</v>
      </c>
      <c r="K1243" t="s">
        <v>1212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243" s="5"/>
    </row>
    <row r="1244" spans="1:16" ht="14.25" customHeight="1">
      <c r="A1244">
        <v>4080</v>
      </c>
      <c r="B1244">
        <v>0</v>
      </c>
      <c r="C1244">
        <v>0</v>
      </c>
      <c r="E1244" t="s">
        <v>2570</v>
      </c>
      <c r="F1244">
        <v>6</v>
      </c>
      <c r="G1244" s="1" t="s">
        <v>1077</v>
      </c>
      <c r="H1244" s="16" t="s">
        <v>3876</v>
      </c>
      <c r="I1244" s="18"/>
      <c r="J1244" t="str">
        <f>IF(LEN(VLOOKUP(表1[[#This Row],[id]],数据引用!A:C,3,FALSE))&gt;0,VLOOKUP(表1[[#This Row],[id]],数据引用!A:C,3,FALSE),"")</f>
        <v>畸形商店老板</v>
      </c>
      <c r="K1244" t="s">
        <v>1212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244" s="5"/>
    </row>
    <row r="1245" spans="1:16" ht="14.25" customHeight="1">
      <c r="A1245">
        <v>4081</v>
      </c>
      <c r="B1245">
        <v>0</v>
      </c>
      <c r="C1245">
        <v>0</v>
      </c>
      <c r="E1245" t="s">
        <v>2570</v>
      </c>
      <c r="F1245">
        <v>6</v>
      </c>
      <c r="G1245" s="1" t="s">
        <v>1078</v>
      </c>
      <c r="H1245" s="16" t="s">
        <v>3877</v>
      </c>
      <c r="I1245" s="18"/>
      <c r="J1245" t="str">
        <f>IF(LEN(VLOOKUP(表1[[#This Row],[id]],数据引用!A:C,3,FALSE))&gt;0,VLOOKUP(表1[[#This Row],[id]],数据引用!A:C,3,FALSE),"")</f>
        <v>商店老板幽灵</v>
      </c>
      <c r="K1245" t="s">
        <v>1212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245" s="5"/>
    </row>
    <row r="1246" spans="1:16" ht="14.25" customHeight="1">
      <c r="A1246">
        <v>4082</v>
      </c>
      <c r="B1246">
        <v>0</v>
      </c>
      <c r="C1246">
        <v>0</v>
      </c>
      <c r="E1246" t="s">
        <v>2570</v>
      </c>
      <c r="F1246">
        <v>6</v>
      </c>
      <c r="G1246" s="1" t="s">
        <v>1079</v>
      </c>
      <c r="H1246" s="16" t="s">
        <v>3878</v>
      </c>
      <c r="I1246" s="18"/>
      <c r="J1246" t="str">
        <f>IF(LEN(VLOOKUP(表1[[#This Row],[id]],数据引用!A:C,3,FALSE))&gt;0,VLOOKUP(表1[[#This Row],[id]],数据引用!A:C,3,FALSE),"")</f>
        <v>推推怪</v>
      </c>
      <c r="K1246" t="s">
        <v>1212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46" s="5"/>
    </row>
    <row r="1247" spans="1:16" ht="14.25" customHeight="1">
      <c r="A1247">
        <v>4083</v>
      </c>
      <c r="B1247">
        <v>0</v>
      </c>
      <c r="C1247">
        <v>0</v>
      </c>
      <c r="E1247" t="s">
        <v>2570</v>
      </c>
      <c r="F1247">
        <v>6</v>
      </c>
      <c r="G1247" s="1" t="s">
        <v>1080</v>
      </c>
      <c r="H1247" s="16" t="s">
        <v>3879</v>
      </c>
      <c r="I1247" s="18"/>
      <c r="J1247" t="str">
        <f>IF(LEN(VLOOKUP(表1[[#This Row],[id]],数据引用!A:C,3,FALSE))&gt;0,VLOOKUP(表1[[#This Row],[id]],数据引用!A:C,3,FALSE),"")</f>
        <v>白骷髅</v>
      </c>
      <c r="K1247" t="s">
        <v>1212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247" s="5"/>
    </row>
    <row r="1248" spans="1:16" ht="14.25" customHeight="1">
      <c r="A1248">
        <v>4084</v>
      </c>
      <c r="B1248">
        <v>0</v>
      </c>
      <c r="C1248">
        <v>0</v>
      </c>
      <c r="E1248" t="s">
        <v>2570</v>
      </c>
      <c r="F1248">
        <v>6</v>
      </c>
      <c r="G1248" s="1" t="s">
        <v>942</v>
      </c>
      <c r="H1248" s="16" t="s">
        <v>3880</v>
      </c>
      <c r="I1248" s="18"/>
      <c r="J1248" t="str">
        <f>IF(LEN(VLOOKUP(表1[[#This Row],[id]],数据引用!A:C,3,FALSE))&gt;0,VLOOKUP(表1[[#This Row],[id]],数据引用!A:C,3,FALSE),"")</f>
        <v>黄骷髅</v>
      </c>
      <c r="K1248" t="s">
        <v>1212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248" s="5"/>
    </row>
    <row r="1249" spans="1:16" ht="14.25" customHeight="1">
      <c r="A1249">
        <v>4085</v>
      </c>
      <c r="B1249">
        <v>0</v>
      </c>
      <c r="C1249">
        <v>0</v>
      </c>
      <c r="E1249" t="s">
        <v>2570</v>
      </c>
      <c r="F1249">
        <v>6</v>
      </c>
      <c r="G1249" s="1" t="s">
        <v>943</v>
      </c>
      <c r="H1249" s="16" t="s">
        <v>3881</v>
      </c>
      <c r="I1249" s="18"/>
      <c r="J1249" t="str">
        <f>IF(LEN(VLOOKUP(表1[[#This Row],[id]],数据引用!A:C,3,FALSE))&gt;0,VLOOKUP(表1[[#This Row],[id]],数据引用!A:C,3,FALSE),"")</f>
        <v>黑骷髅</v>
      </c>
      <c r="K1249" t="s">
        <v>1212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249" s="5"/>
    </row>
    <row r="1250" spans="1:16" ht="14.25" customHeight="1">
      <c r="A1250">
        <v>4086</v>
      </c>
      <c r="B1250">
        <v>0</v>
      </c>
      <c r="C1250">
        <v>0</v>
      </c>
      <c r="E1250" t="s">
        <v>2570</v>
      </c>
      <c r="F1250">
        <v>6</v>
      </c>
      <c r="G1250" s="1" t="s">
        <v>1081</v>
      </c>
      <c r="H1250" s="16" t="s">
        <v>3882</v>
      </c>
      <c r="I1250" s="18"/>
      <c r="J1250" t="str">
        <f>IF(LEN(VLOOKUP(表1[[#This Row],[id]],数据引用!A:C,3,FALSE))&gt;0,VLOOKUP(表1[[#This Row],[id]],数据引用!A:C,3,FALSE),"")</f>
        <v>白色骷髅骑士</v>
      </c>
      <c r="K1250" t="s">
        <v>1212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250" s="5"/>
    </row>
    <row r="1251" spans="1:16" ht="14.25" customHeight="1">
      <c r="A1251">
        <v>4087</v>
      </c>
      <c r="B1251">
        <v>0</v>
      </c>
      <c r="C1251">
        <v>0</v>
      </c>
      <c r="E1251" t="s">
        <v>2570</v>
      </c>
      <c r="F1251">
        <v>6</v>
      </c>
      <c r="G1251" s="1" t="s">
        <v>1082</v>
      </c>
      <c r="H1251" s="16" t="s">
        <v>3883</v>
      </c>
      <c r="I1251" s="18"/>
      <c r="J1251" t="str">
        <f>IF(LEN(VLOOKUP(表1[[#This Row],[id]],数据引用!A:C,3,FALSE))&gt;0,VLOOKUP(表1[[#This Row],[id]],数据引用!A:C,3,FALSE),"")</f>
        <v>黄色骷髅骑士</v>
      </c>
      <c r="K1251" t="s">
        <v>1212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251" s="5"/>
    </row>
    <row r="1252" spans="1:16" ht="14.25" customHeight="1">
      <c r="A1252">
        <v>4088</v>
      </c>
      <c r="B1252">
        <v>0</v>
      </c>
      <c r="C1252">
        <v>0</v>
      </c>
      <c r="E1252" t="s">
        <v>2570</v>
      </c>
      <c r="F1252">
        <v>6</v>
      </c>
      <c r="G1252" s="1" t="s">
        <v>1083</v>
      </c>
      <c r="H1252" s="16" t="s">
        <v>3884</v>
      </c>
      <c r="I1252" s="18"/>
      <c r="J1252" t="str">
        <f>IF(LEN(VLOOKUP(表1[[#This Row],[id]],数据引用!A:C,3,FALSE))&gt;0,VLOOKUP(表1[[#This Row],[id]],数据引用!A:C,3,FALSE),"")</f>
        <v>黑色骷髅骑士</v>
      </c>
      <c r="K1252" t="s">
        <v>1212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252" s="5"/>
    </row>
    <row r="1253" spans="1:16" ht="14.25" customHeight="1">
      <c r="A1253">
        <v>4089</v>
      </c>
      <c r="B1253">
        <v>0</v>
      </c>
      <c r="C1253">
        <v>0</v>
      </c>
      <c r="E1253" t="s">
        <v>2570</v>
      </c>
      <c r="F1253">
        <v>6</v>
      </c>
      <c r="G1253" s="1" t="s">
        <v>1084</v>
      </c>
      <c r="H1253" s="16" t="s">
        <v>3885</v>
      </c>
      <c r="I1253" s="18"/>
      <c r="J1253" t="str">
        <f>IF(LEN(VLOOKUP(表1[[#This Row],[id]],数据引用!A:C,3,FALSE))&gt;0,VLOOKUP(表1[[#This Row],[id]],数据引用!A:C,3,FALSE),"")</f>
        <v>白色骷髅法师</v>
      </c>
      <c r="K1253" t="s">
        <v>1212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253" s="5"/>
    </row>
    <row r="1254" spans="1:16" ht="14.25" customHeight="1">
      <c r="A1254">
        <v>4090</v>
      </c>
      <c r="B1254">
        <v>0</v>
      </c>
      <c r="C1254">
        <v>0</v>
      </c>
      <c r="E1254" t="s">
        <v>2570</v>
      </c>
      <c r="F1254">
        <v>6</v>
      </c>
      <c r="G1254" s="1" t="s">
        <v>1085</v>
      </c>
      <c r="H1254" s="16" t="s">
        <v>3886</v>
      </c>
      <c r="I1254" s="18"/>
      <c r="J1254" t="str">
        <f>IF(LEN(VLOOKUP(表1[[#This Row],[id]],数据引用!A:C,3,FALSE))&gt;0,VLOOKUP(表1[[#This Row],[id]],数据引用!A:C,3,FALSE),"")</f>
        <v>黄色骷髅法师</v>
      </c>
      <c r="K1254" t="s">
        <v>1212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254" s="5"/>
    </row>
    <row r="1255" spans="1:16" ht="14.25" customHeight="1">
      <c r="A1255">
        <v>4091</v>
      </c>
      <c r="B1255">
        <v>0</v>
      </c>
      <c r="C1255">
        <v>0</v>
      </c>
      <c r="E1255" t="s">
        <v>2570</v>
      </c>
      <c r="F1255">
        <v>6</v>
      </c>
      <c r="G1255" s="1" t="s">
        <v>1086</v>
      </c>
      <c r="H1255" s="16" t="s">
        <v>3887</v>
      </c>
      <c r="I1255" s="18"/>
      <c r="J1255" t="str">
        <f>IF(LEN(VLOOKUP(表1[[#This Row],[id]],数据引用!A:C,3,FALSE))&gt;0,VLOOKUP(表1[[#This Row],[id]],数据引用!A:C,3,FALSE),"")</f>
        <v>黑色骷髅法师</v>
      </c>
      <c r="K1255" t="s">
        <v>1212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255" s="5"/>
    </row>
    <row r="1256" spans="1:16" ht="14.25" customHeight="1">
      <c r="A1256">
        <v>4092</v>
      </c>
      <c r="B1256">
        <v>0</v>
      </c>
      <c r="C1256">
        <v>0</v>
      </c>
      <c r="E1256" t="s">
        <v>2570</v>
      </c>
      <c r="F1256">
        <v>6</v>
      </c>
      <c r="G1256" s="1" t="s">
        <v>1087</v>
      </c>
      <c r="H1256" s="16" t="s">
        <v>3888</v>
      </c>
      <c r="I1256" s="18"/>
      <c r="J1256" t="str">
        <f>IF(LEN(VLOOKUP(表1[[#This Row],[id]],数据引用!A:C,3,FALSE))&gt;0,VLOOKUP(表1[[#This Row],[id]],数据引用!A:C,3,FALSE),"")</f>
        <v>哥布林警卫</v>
      </c>
      <c r="K1256" t="s">
        <v>1212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256" s="5"/>
    </row>
    <row r="1257" spans="1:16" ht="14.25" customHeight="1">
      <c r="A1257">
        <v>4093</v>
      </c>
      <c r="B1257">
        <v>0</v>
      </c>
      <c r="C1257">
        <v>0</v>
      </c>
      <c r="E1257" t="s">
        <v>2570</v>
      </c>
      <c r="F1257">
        <v>6</v>
      </c>
      <c r="G1257" s="1" t="s">
        <v>938</v>
      </c>
      <c r="H1257" s="16" t="s">
        <v>3889</v>
      </c>
      <c r="I1257" s="18"/>
      <c r="J1257" t="str">
        <f>IF(LEN(VLOOKUP(表1[[#This Row],[id]],数据引用!A:C,3,FALSE))&gt;0,VLOOKUP(表1[[#This Row],[id]],数据引用!A:C,3,FALSE),"")</f>
        <v>绿史莱姆</v>
      </c>
      <c r="K1257" t="s">
        <v>1212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257" s="5"/>
    </row>
    <row r="1258" spans="1:16" ht="14.25" customHeight="1">
      <c r="A1258">
        <v>4094</v>
      </c>
      <c r="B1258">
        <v>0</v>
      </c>
      <c r="C1258">
        <v>0</v>
      </c>
      <c r="E1258" t="s">
        <v>2570</v>
      </c>
      <c r="F1258">
        <v>6</v>
      </c>
      <c r="G1258" s="1" t="s">
        <v>939</v>
      </c>
      <c r="H1258" s="16" t="s">
        <v>3890</v>
      </c>
      <c r="I1258" s="18"/>
      <c r="J1258" t="str">
        <f>IF(LEN(VLOOKUP(表1[[#This Row],[id]],数据引用!A:C,3,FALSE))&gt;0,VLOOKUP(表1[[#This Row],[id]],数据引用!A:C,3,FALSE),"")</f>
        <v>蓝史莱姆</v>
      </c>
      <c r="K1258" t="s">
        <v>1212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258" s="5"/>
    </row>
    <row r="1259" spans="1:16" ht="14.25" customHeight="1">
      <c r="A1259">
        <v>4095</v>
      </c>
      <c r="B1259">
        <v>0</v>
      </c>
      <c r="C1259">
        <v>0</v>
      </c>
      <c r="E1259" t="s">
        <v>2570</v>
      </c>
      <c r="F1259">
        <v>6</v>
      </c>
      <c r="G1259" s="1" t="s">
        <v>940</v>
      </c>
      <c r="H1259" s="16" t="s">
        <v>3891</v>
      </c>
      <c r="I1259" s="18"/>
      <c r="J1259" t="str">
        <f>IF(LEN(VLOOKUP(表1[[#This Row],[id]],数据引用!A:C,3,FALSE))&gt;0,VLOOKUP(表1[[#This Row],[id]],数据引用!A:C,3,FALSE),"")</f>
        <v>橙史莱姆</v>
      </c>
      <c r="K1259" t="s">
        <v>1212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259" s="5"/>
    </row>
    <row r="1260" spans="1:16" ht="14.25" customHeight="1">
      <c r="A1260">
        <v>4096</v>
      </c>
      <c r="B1260">
        <v>0</v>
      </c>
      <c r="C1260">
        <v>0</v>
      </c>
      <c r="E1260" t="s">
        <v>2570</v>
      </c>
      <c r="F1260">
        <v>6</v>
      </c>
      <c r="G1260" s="1" t="s">
        <v>970</v>
      </c>
      <c r="H1260" s="16" t="s">
        <v>3892</v>
      </c>
      <c r="I1260" s="18"/>
      <c r="J1260" t="str">
        <f>IF(LEN(VLOOKUP(表1[[#This Row],[id]],数据引用!A:C,3,FALSE))&gt;0,VLOOKUP(表1[[#This Row],[id]],数据引用!A:C,3,FALSE),"")</f>
        <v>冰霜史莱姆</v>
      </c>
      <c r="K1260" t="s">
        <v>1212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260" s="5"/>
    </row>
    <row r="1261" spans="1:16" ht="14.25" customHeight="1">
      <c r="A1261">
        <v>4097</v>
      </c>
      <c r="B1261">
        <v>0</v>
      </c>
      <c r="C1261">
        <v>0</v>
      </c>
      <c r="E1261" t="s">
        <v>2570</v>
      </c>
      <c r="F1261">
        <v>6</v>
      </c>
      <c r="G1261" s="1" t="s">
        <v>969</v>
      </c>
      <c r="H1261" s="16" t="s">
        <v>3893</v>
      </c>
      <c r="I1261" s="18"/>
      <c r="J1261" t="str">
        <f>IF(LEN(VLOOKUP(表1[[#This Row],[id]],数据引用!A:C,3,FALSE))&gt;0,VLOOKUP(表1[[#This Row],[id]],数据引用!A:C,3,FALSE),"")</f>
        <v>火焰史莱姆</v>
      </c>
      <c r="K1261" t="s">
        <v>1212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261" s="5"/>
    </row>
    <row r="1262" spans="1:16" ht="14.25" customHeight="1">
      <c r="A1262">
        <v>4098</v>
      </c>
      <c r="B1262">
        <v>0</v>
      </c>
      <c r="C1262">
        <v>0</v>
      </c>
      <c r="E1262" t="s">
        <v>2570</v>
      </c>
      <c r="F1262">
        <v>6</v>
      </c>
      <c r="G1262" s="1" t="s">
        <v>995</v>
      </c>
      <c r="H1262" s="16" t="s">
        <v>3894</v>
      </c>
      <c r="I1262" s="18"/>
      <c r="J1262" t="str">
        <f>IF(LEN(VLOOKUP(表1[[#This Row],[id]],数据引用!A:C,3,FALSE))&gt;0,VLOOKUP(表1[[#This Row],[id]],数据引用!A:C,3,FALSE),"")</f>
        <v>蜘蛛</v>
      </c>
      <c r="K1262" t="s">
        <v>1212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262" s="5"/>
    </row>
    <row r="1263" spans="1:16" ht="14.25" customHeight="1">
      <c r="A1263">
        <v>4099</v>
      </c>
      <c r="B1263">
        <v>0</v>
      </c>
      <c r="C1263">
        <v>0</v>
      </c>
      <c r="E1263" t="s">
        <v>2570</v>
      </c>
      <c r="F1263">
        <v>6</v>
      </c>
      <c r="G1263" s="1" t="s">
        <v>1088</v>
      </c>
      <c r="H1263" s="16" t="s">
        <v>3895</v>
      </c>
      <c r="I1263" s="18"/>
      <c r="J1263" t="str">
        <f>IF(LEN(VLOOKUP(表1[[#This Row],[id]],数据引用!A:C,3,FALSE))&gt;0,VLOOKUP(表1[[#This Row],[id]],数据引用!A:C,3,FALSE),"")</f>
        <v>焦油怪</v>
      </c>
      <c r="K1263" t="s">
        <v>1212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263" s="5"/>
    </row>
    <row r="1264" spans="1:16" ht="14.25" customHeight="1">
      <c r="A1264">
        <v>4100</v>
      </c>
      <c r="B1264">
        <v>0</v>
      </c>
      <c r="C1264">
        <v>0</v>
      </c>
      <c r="E1264" t="s">
        <v>2570</v>
      </c>
      <c r="F1264">
        <v>6</v>
      </c>
      <c r="G1264" s="1" t="s">
        <v>1089</v>
      </c>
      <c r="H1264" s="16" t="s">
        <v>3896</v>
      </c>
      <c r="I1264" s="18"/>
      <c r="J1264" t="str">
        <f>IF(LEN(VLOOKUP(表1[[#This Row],[id]],数据引用!A:C,3,FALSE))&gt;0,VLOOKUP(表1[[#This Row],[id]],数据引用!A:C,3,FALSE),"")</f>
        <v>触手怪</v>
      </c>
      <c r="K1264" t="s">
        <v>1212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264" s="5"/>
    </row>
    <row r="1265" spans="1:16" ht="14.25" customHeight="1">
      <c r="A1265">
        <v>4101</v>
      </c>
      <c r="B1265">
        <v>0</v>
      </c>
      <c r="C1265">
        <v>0</v>
      </c>
      <c r="E1265" t="s">
        <v>2570</v>
      </c>
      <c r="F1265">
        <v>6</v>
      </c>
      <c r="G1265" s="1" t="s">
        <v>952</v>
      </c>
      <c r="H1265" s="16" t="s">
        <v>3897</v>
      </c>
      <c r="I1265" s="18"/>
      <c r="J1265" t="str">
        <f>IF(LEN(VLOOKUP(表1[[#This Row],[id]],数据引用!A:C,3,FALSE))&gt;0,VLOOKUP(表1[[#This Row],[id]],数据引用!A:C,3,FALSE),"")</f>
        <v>宝箱怪</v>
      </c>
      <c r="K1265" t="s">
        <v>1212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265" s="5"/>
    </row>
    <row r="1266" spans="1:16" ht="14.25" customHeight="1">
      <c r="A1266">
        <v>4102</v>
      </c>
      <c r="B1266">
        <v>0</v>
      </c>
      <c r="C1266">
        <v>0</v>
      </c>
      <c r="E1266" t="s">
        <v>2570</v>
      </c>
      <c r="F1266">
        <v>6</v>
      </c>
      <c r="G1266" s="1" t="s">
        <v>1090</v>
      </c>
      <c r="H1266" s="16" t="s">
        <v>3898</v>
      </c>
      <c r="I1266" s="18"/>
      <c r="J1266" t="str">
        <f>IF(LEN(VLOOKUP(表1[[#This Row],[id]],数据引用!A:C,3,FALSE))&gt;0,VLOOKUP(表1[[#This Row],[id]],数据引用!A:C,3,FALSE),"")</f>
        <v>锁住的宝箱怪</v>
      </c>
      <c r="K1266" t="s">
        <v>1212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266" s="5"/>
    </row>
    <row r="1267" spans="1:16" ht="14.25" customHeight="1">
      <c r="A1267">
        <v>4103</v>
      </c>
      <c r="B1267">
        <v>0</v>
      </c>
      <c r="C1267">
        <v>0</v>
      </c>
      <c r="E1267" t="s">
        <v>2570</v>
      </c>
      <c r="F1267">
        <v>6</v>
      </c>
      <c r="G1267" s="1" t="s">
        <v>1091</v>
      </c>
      <c r="H1267" s="16" t="s">
        <v>3899</v>
      </c>
      <c r="I1267" s="18"/>
      <c r="J1267" t="str">
        <f>IF(LEN(VLOOKUP(表1[[#This Row],[id]],数据引用!A:C,3,FALSE))&gt;0,VLOOKUP(表1[[#This Row],[id]],数据引用!A:C,3,FALSE),"")</f>
        <v>白色宝箱怪</v>
      </c>
      <c r="K1267" t="s">
        <v>1212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267" s="5"/>
    </row>
    <row r="1268" spans="1:16" ht="14.25" customHeight="1">
      <c r="A1268">
        <v>4104</v>
      </c>
      <c r="B1268">
        <v>0</v>
      </c>
      <c r="C1268">
        <v>0</v>
      </c>
      <c r="E1268" t="s">
        <v>2570</v>
      </c>
      <c r="F1268">
        <v>6</v>
      </c>
      <c r="G1268" s="1" t="s">
        <v>1092</v>
      </c>
      <c r="H1268" s="16" t="s">
        <v>3900</v>
      </c>
      <c r="I1268" s="18"/>
      <c r="J1268" t="str">
        <f>IF(LEN(VLOOKUP(表1[[#This Row],[id]],数据引用!A:C,3,FALSE))&gt;0,VLOOKUP(表1[[#This Row],[id]],数据引用!A:C,3,FALSE),"")</f>
        <v>火焰锅炉怪</v>
      </c>
      <c r="K1268" t="s">
        <v>1212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268" s="5"/>
    </row>
    <row r="1269" spans="1:16" ht="14.25" customHeight="1">
      <c r="A1269">
        <v>4105</v>
      </c>
      <c r="B1269">
        <v>0</v>
      </c>
      <c r="C1269">
        <v>0</v>
      </c>
      <c r="E1269" t="s">
        <v>2570</v>
      </c>
      <c r="F1269">
        <v>6</v>
      </c>
      <c r="G1269" s="1" t="s">
        <v>1093</v>
      </c>
      <c r="H1269" s="16" t="s">
        <v>3901</v>
      </c>
      <c r="I1269" s="18"/>
      <c r="J1269" t="str">
        <f>IF(LEN(VLOOKUP(表1[[#This Row],[id]],数据引用!A:C,3,FALSE))&gt;0,VLOOKUP(表1[[#This Row],[id]],数据引用!A:C,3,FALSE),"")</f>
        <v>冰霜锅炉怪</v>
      </c>
      <c r="K1269" t="s">
        <v>1212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269" s="5"/>
    </row>
    <row r="1270" spans="1:16" ht="14.25" customHeight="1">
      <c r="A1270">
        <v>4106</v>
      </c>
      <c r="B1270">
        <v>0</v>
      </c>
      <c r="C1270">
        <v>0</v>
      </c>
      <c r="E1270" t="s">
        <v>2570</v>
      </c>
      <c r="F1270">
        <v>6</v>
      </c>
      <c r="G1270" s="1" t="s">
        <v>989</v>
      </c>
      <c r="H1270" s="16" t="s">
        <v>3902</v>
      </c>
      <c r="I1270" s="18"/>
      <c r="J1270" t="str">
        <f>IF(LEN(VLOOKUP(表1[[#This Row],[id]],数据引用!A:C,3,FALSE))&gt;0,VLOOKUP(表1[[#This Row],[id]],数据引用!A:C,3,FALSE),"")</f>
        <v>术士</v>
      </c>
      <c r="K1270" t="s">
        <v>1212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270" s="5"/>
    </row>
    <row r="1271" spans="1:16" ht="14.25" customHeight="1">
      <c r="A1271">
        <v>4107</v>
      </c>
      <c r="B1271">
        <v>0</v>
      </c>
      <c r="C1271">
        <v>0</v>
      </c>
      <c r="E1271" t="s">
        <v>2570</v>
      </c>
      <c r="F1271">
        <v>6</v>
      </c>
      <c r="G1271" s="1" t="s">
        <v>990</v>
      </c>
      <c r="H1271" s="16" t="s">
        <v>3903</v>
      </c>
      <c r="I1271" s="18"/>
      <c r="J1271" t="str">
        <f>IF(LEN(VLOOKUP(表1[[#This Row],[id]],数据引用!A:C,3,FALSE))&gt;0,VLOOKUP(表1[[#This Row],[id]],数据引用!A:C,3,FALSE),"")</f>
        <v>霓虹术士</v>
      </c>
      <c r="K1271" t="s">
        <v>1212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271" s="5"/>
    </row>
    <row r="1272" spans="1:16" ht="14.25" customHeight="1">
      <c r="A1272">
        <v>4108</v>
      </c>
      <c r="B1272">
        <v>0</v>
      </c>
      <c r="C1272">
        <v>0</v>
      </c>
      <c r="E1272" t="s">
        <v>2570</v>
      </c>
      <c r="F1272">
        <v>6</v>
      </c>
      <c r="G1272" s="1" t="s">
        <v>967</v>
      </c>
      <c r="H1272" s="16" t="s">
        <v>3904</v>
      </c>
      <c r="I1272" s="18"/>
      <c r="J1272" t="str">
        <f>IF(LEN(VLOOKUP(表1[[#This Row],[id]],数据引用!A:C,3,FALSE))&gt;0,VLOOKUP(表1[[#This Row],[id]],数据引用!A:C,3,FALSE),"")</f>
        <v>幽灵</v>
      </c>
      <c r="K1272" t="s">
        <v>1212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272" s="5"/>
    </row>
    <row r="1273" spans="1:16" ht="14.25" customHeight="1">
      <c r="A1273">
        <v>4109</v>
      </c>
      <c r="B1273">
        <v>0</v>
      </c>
      <c r="C1273">
        <v>0</v>
      </c>
      <c r="E1273" t="s">
        <v>2570</v>
      </c>
      <c r="F1273">
        <v>6</v>
      </c>
      <c r="G1273" s="1" t="s">
        <v>951</v>
      </c>
      <c r="H1273" s="16" t="s">
        <v>3905</v>
      </c>
      <c r="I1273" s="18"/>
      <c r="J1273" t="str">
        <f>IF(LEN(VLOOKUP(表1[[#This Row],[id]],数据引用!A:C,3,FALSE))&gt;0,VLOOKUP(表1[[#This Row],[id]],数据引用!A:C,3,FALSE),"")</f>
        <v>亡灵</v>
      </c>
      <c r="K1273" t="s">
        <v>1212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273" s="5"/>
    </row>
    <row r="1274" spans="1:16" ht="14.25" customHeight="1">
      <c r="A1274">
        <v>4110</v>
      </c>
      <c r="B1274">
        <v>0</v>
      </c>
      <c r="C1274">
        <v>0</v>
      </c>
      <c r="E1274" t="s">
        <v>2570</v>
      </c>
      <c r="F1274">
        <v>6</v>
      </c>
      <c r="G1274" s="1" t="s">
        <v>980</v>
      </c>
      <c r="H1274" s="16" t="s">
        <v>3906</v>
      </c>
      <c r="I1274" s="18"/>
      <c r="J1274" t="str">
        <f>IF(LEN(VLOOKUP(表1[[#This Row],[id]],数据引用!A:C,3,FALSE))&gt;0,VLOOKUP(表1[[#This Row],[id]],数据引用!A:C,3,FALSE),"")</f>
        <v>冰风雪人</v>
      </c>
      <c r="K1274" t="s">
        <v>1212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274" s="5"/>
    </row>
    <row r="1275" spans="1:16" ht="14.25" customHeight="1">
      <c r="A1275">
        <v>4111</v>
      </c>
      <c r="B1275">
        <v>0</v>
      </c>
      <c r="C1275">
        <v>0</v>
      </c>
      <c r="E1275" t="s">
        <v>2570</v>
      </c>
      <c r="F1275">
        <v>6</v>
      </c>
      <c r="G1275" s="1" t="s">
        <v>950</v>
      </c>
      <c r="H1275" s="16" t="s">
        <v>3907</v>
      </c>
      <c r="I1275" s="18"/>
      <c r="J1275" t="str">
        <f>IF(LEN(VLOOKUP(表1[[#This Row],[id]],数据引用!A:C,3,FALSE))&gt;0,VLOOKUP(表1[[#This Row],[id]],数据引用!A:C,3,FALSE),"")</f>
        <v>僵尸</v>
      </c>
      <c r="K1275" t="s">
        <v>1212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275" s="5"/>
    </row>
    <row r="1276" spans="1:16" ht="14.25" customHeight="1">
      <c r="A1276">
        <v>4112</v>
      </c>
      <c r="B1276">
        <v>0</v>
      </c>
      <c r="C1276">
        <v>0</v>
      </c>
      <c r="E1276" t="s">
        <v>2570</v>
      </c>
      <c r="F1276">
        <v>6</v>
      </c>
      <c r="G1276" s="1" t="s">
        <v>1094</v>
      </c>
      <c r="H1276" s="15" t="s">
        <v>3908</v>
      </c>
      <c r="I1276" s="18"/>
      <c r="J1276" t="str">
        <f>IF(LEN(VLOOKUP(表1[[#This Row],[id]],数据引用!A:C,3,FALSE))&gt;0,VLOOKUP(表1[[#This Row],[id]],数据引用!A:C,3,FALSE),"")</f>
        <v/>
      </c>
      <c r="K1276" t="s">
        <v>1212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6" s="5"/>
    </row>
    <row r="1277" spans="1:16" ht="14.25" customHeight="1">
      <c r="A1277">
        <v>4113</v>
      </c>
      <c r="B1277">
        <v>0</v>
      </c>
      <c r="C1277">
        <v>0</v>
      </c>
      <c r="E1277" t="s">
        <v>2570</v>
      </c>
      <c r="F1277">
        <v>6</v>
      </c>
      <c r="G1277" s="1" t="s">
        <v>1095</v>
      </c>
      <c r="H1277" s="16" t="s">
        <v>3909</v>
      </c>
      <c r="I1277" s="18"/>
      <c r="J1277" t="str">
        <f>IF(LEN(VLOOKUP(表1[[#This Row],[id]],数据引用!A:C,3,FALSE))&gt;0,VLOOKUP(表1[[#This Row],[id]],数据引用!A:C,3,FALSE),"")</f>
        <v>刺针陷阱</v>
      </c>
      <c r="K1277" t="s">
        <v>1212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277" s="5"/>
    </row>
    <row r="1278" spans="1:16" ht="14.25" customHeight="1">
      <c r="A1278">
        <v>4114</v>
      </c>
      <c r="B1278">
        <v>0</v>
      </c>
      <c r="C1278">
        <v>0</v>
      </c>
      <c r="E1278" t="s">
        <v>2570</v>
      </c>
      <c r="F1278">
        <v>6</v>
      </c>
      <c r="G1278" s="1" t="s">
        <v>1096</v>
      </c>
      <c r="H1278" s="16" t="s">
        <v>3910</v>
      </c>
      <c r="I1278" s="18"/>
      <c r="J1278" t="str">
        <f>IF(LEN(VLOOKUP(表1[[#This Row],[id]],数据引用!A:C,3,FALSE))&gt;0,VLOOKUP(表1[[#This Row],[id]],数据引用!A:C,3,FALSE),"")</f>
        <v>鲜血魔法</v>
      </c>
      <c r="K1278" t="s">
        <v>1212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278" s="5"/>
    </row>
    <row r="1279" spans="1:16" ht="14.25" customHeight="1">
      <c r="A1279">
        <v>4115</v>
      </c>
      <c r="B1279">
        <v>0</v>
      </c>
      <c r="C1279">
        <v>0</v>
      </c>
      <c r="E1279" t="s">
        <v>2570</v>
      </c>
      <c r="F1279">
        <v>6</v>
      </c>
      <c r="G1279" s="1" t="s">
        <v>385</v>
      </c>
      <c r="H1279" s="16" t="s">
        <v>3911</v>
      </c>
      <c r="I1279" s="18"/>
      <c r="J1279" t="str">
        <f>IF(LEN(VLOOKUP(表1[[#This Row],[id]],数据引用!A:C,3,FALSE))&gt;0,VLOOKUP(表1[[#This Row],[id]],数据引用!A:C,3,FALSE),"")</f>
        <v>血铲</v>
      </c>
      <c r="K1279" t="s">
        <v>1212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279" s="5"/>
    </row>
    <row r="1280" spans="1:16" ht="14.25" customHeight="1">
      <c r="A1280">
        <v>4116</v>
      </c>
      <c r="B1280">
        <v>0</v>
      </c>
      <c r="C1280">
        <v>0</v>
      </c>
      <c r="E1280" t="s">
        <v>2570</v>
      </c>
      <c r="F1280">
        <v>6</v>
      </c>
      <c r="G1280" s="1" t="s">
        <v>314</v>
      </c>
      <c r="H1280" s="16" t="s">
        <v>3912</v>
      </c>
      <c r="I1280" s="18"/>
      <c r="J1280" t="str">
        <f>IF(LEN(VLOOKUP(表1[[#This Row],[id]],数据引用!A:C,3,FALSE))&gt;0,VLOOKUP(表1[[#This Row],[id]],数据引用!A:C,3,FALSE),"")</f>
        <v>鲜血之鼓</v>
      </c>
      <c r="K1280" t="s">
        <v>1212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280" s="5"/>
    </row>
    <row r="1281" spans="1:16" ht="14.25" customHeight="1">
      <c r="A1281">
        <v>4117</v>
      </c>
      <c r="B1281">
        <v>0</v>
      </c>
      <c r="C1281">
        <v>0</v>
      </c>
      <c r="E1281" t="s">
        <v>2570</v>
      </c>
      <c r="F1281">
        <v>6</v>
      </c>
      <c r="G1281" s="1" t="s">
        <v>1097</v>
      </c>
      <c r="H1281" s="16" t="s">
        <v>3913</v>
      </c>
      <c r="I1281" s="18"/>
      <c r="J1281" t="str">
        <f>IF(LEN(VLOOKUP(表1[[#This Row],[id]],数据引用!A:C,3,FALSE))&gt;0,VLOOKUP(表1[[#This Row],[id]],数据引用!A:C,3,FALSE),"")</f>
        <v>血债</v>
      </c>
      <c r="K1281" t="s">
        <v>1212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281" s="5"/>
    </row>
    <row r="1282" spans="1:16" ht="14.25" customHeight="1">
      <c r="A1282">
        <v>4118</v>
      </c>
      <c r="B1282">
        <v>0</v>
      </c>
      <c r="C1282">
        <v>0</v>
      </c>
      <c r="E1282" t="s">
        <v>2570</v>
      </c>
      <c r="F1282">
        <v>6</v>
      </c>
      <c r="G1282" s="1" t="s">
        <v>303</v>
      </c>
      <c r="H1282" s="16" t="s">
        <v>3914</v>
      </c>
      <c r="I1282" s="18"/>
      <c r="J1282" t="str">
        <f>IF(LEN(VLOOKUP(表1[[#This Row],[id]],数据引用!A:C,3,FALSE))&gt;0,VLOOKUP(表1[[#This Row],[id]],数据引用!A:C,3,FALSE),"")</f>
        <v>痛苦之靴</v>
      </c>
      <c r="K1282" t="s">
        <v>1212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282" s="5"/>
    </row>
    <row r="1283" spans="1:16" ht="14.25" customHeight="1">
      <c r="A1283">
        <v>4119</v>
      </c>
      <c r="B1283">
        <v>0</v>
      </c>
      <c r="C1283">
        <v>0</v>
      </c>
      <c r="E1283" t="s">
        <v>2570</v>
      </c>
      <c r="F1283">
        <v>6</v>
      </c>
      <c r="G1283" s="1" t="s">
        <v>1098</v>
      </c>
      <c r="H1283" s="16" t="s">
        <v>3915</v>
      </c>
      <c r="I1283" s="18"/>
      <c r="J1283" t="str">
        <f>IF(LEN(VLOOKUP(表1[[#This Row],[id]],数据引用!A:C,3,FALSE))&gt;0,VLOOKUP(表1[[#This Row],[id]],数据引用!A:C,3,FALSE),"")</f>
        <v>荆棘之冠</v>
      </c>
      <c r="K1283" t="s">
        <v>1212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283" s="5"/>
    </row>
    <row r="1284" spans="1:16" ht="14.25" customHeight="1">
      <c r="A1284">
        <v>4120</v>
      </c>
      <c r="B1284">
        <v>0</v>
      </c>
      <c r="C1284">
        <v>0</v>
      </c>
      <c r="E1284" t="s">
        <v>2570</v>
      </c>
      <c r="F1284">
        <v>6</v>
      </c>
      <c r="G1284" s="1" t="s">
        <v>1099</v>
      </c>
      <c r="H1284" s="16" t="s">
        <v>3916</v>
      </c>
      <c r="I1284" s="18"/>
      <c r="J1284" t="str">
        <f>IF(LEN(VLOOKUP(表1[[#This Row],[id]],数据引用!A:C,3,FALSE))&gt;0,VLOOKUP(表1[[#This Row],[id]],数据引用!A:C,3,FALSE),"")</f>
        <v>懦弱</v>
      </c>
      <c r="K1284" t="s">
        <v>1212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font-size:12;"&gt;懦弱&lt;/text&gt;&lt;text transform="matrix(1 0 0 1 0 10.3205)" style="fill:#FFFFFF; font-family:'FZXS12--GB1-0'; font-size:12;"&gt;懦弱&lt;/text&gt;&lt;/svg&gt;</v>
      </c>
      <c r="P1284" s="5"/>
    </row>
    <row r="1285" spans="1:16" ht="14.25" customHeight="1">
      <c r="A1285">
        <v>4121</v>
      </c>
      <c r="B1285">
        <v>0</v>
      </c>
      <c r="C1285">
        <v>0</v>
      </c>
      <c r="E1285" t="s">
        <v>2570</v>
      </c>
      <c r="F1285">
        <v>6</v>
      </c>
      <c r="G1285" s="1" t="s">
        <v>1100</v>
      </c>
      <c r="H1285" s="16" t="s">
        <v>3917</v>
      </c>
      <c r="I1285" s="18"/>
      <c r="J1285" t="str">
        <f>IF(LEN(VLOOKUP(表1[[#This Row],[id]],数据引用!A:C,3,FALSE))&gt;0,VLOOKUP(表1[[#This Row],[id]],数据引用!A:C,3,FALSE),"")</f>
        <v>贪婪</v>
      </c>
      <c r="K1285" t="s">
        <v>1212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285" s="5"/>
    </row>
    <row r="1286" spans="1:16" ht="14.25" customHeight="1">
      <c r="A1286">
        <v>4122</v>
      </c>
      <c r="B1286">
        <v>0</v>
      </c>
      <c r="C1286">
        <v>0</v>
      </c>
      <c r="E1286" t="s">
        <v>2570</v>
      </c>
      <c r="F1286">
        <v>6</v>
      </c>
      <c r="G1286" s="1" t="s">
        <v>1101</v>
      </c>
      <c r="H1286" s="16" t="s">
        <v>3918</v>
      </c>
      <c r="I1286" s="18"/>
      <c r="J1286" t="str">
        <f>IF(LEN(VLOOKUP(表1[[#This Row],[id]],数据引用!A:C,3,FALSE))&gt;0,VLOOKUP(表1[[#This Row],[id]],数据引用!A:C,3,FALSE),"")</f>
        <v>热煤</v>
      </c>
      <c r="K1286" t="s">
        <v>1212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286" s="5"/>
    </row>
    <row r="1287" spans="1:16" ht="14.25" customHeight="1">
      <c r="A1287">
        <v>4123</v>
      </c>
      <c r="B1287">
        <v>0</v>
      </c>
      <c r="C1287">
        <v>0</v>
      </c>
      <c r="E1287" t="s">
        <v>2570</v>
      </c>
      <c r="F1287">
        <v>6</v>
      </c>
      <c r="G1287" s="1" t="s">
        <v>1102</v>
      </c>
      <c r="H1287" s="16" t="s">
        <v>3919</v>
      </c>
      <c r="I1287" s="18"/>
      <c r="J1287" t="str">
        <f>IF(LEN(VLOOKUP(表1[[#This Row],[id]],数据引用!A:C,3,FALSE))&gt;0,VLOOKUP(表1[[#This Row],[id]],数据引用!A:C,3,FALSE),"")</f>
        <v>熔岩</v>
      </c>
      <c r="K1287" t="s">
        <v>1212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287" s="5"/>
    </row>
    <row r="1288" spans="1:16" ht="14.25" customHeight="1">
      <c r="A1288">
        <v>4124</v>
      </c>
      <c r="B1288">
        <v>0</v>
      </c>
      <c r="C1288">
        <v>0</v>
      </c>
      <c r="E1288" t="s">
        <v>2570</v>
      </c>
      <c r="F1288">
        <v>6</v>
      </c>
      <c r="G1288" s="1" t="s">
        <v>1103</v>
      </c>
      <c r="H1288" s="16" t="s">
        <v>3920</v>
      </c>
      <c r="I1288" s="18"/>
      <c r="J1288" t="str">
        <f>IF(LEN(VLOOKUP(表1[[#This Row],[id]],数据引用!A:C,3,FALSE))&gt;0,VLOOKUP(表1[[#This Row],[id]],数据引用!A:C,3,FALSE),"")</f>
        <v>Dorian的诅咒</v>
      </c>
      <c r="K1288" t="s">
        <v>1212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288" s="5"/>
    </row>
    <row r="1289" spans="1:16" ht="14.25" customHeight="1">
      <c r="A1289">
        <v>4125</v>
      </c>
      <c r="B1289">
        <v>0</v>
      </c>
      <c r="C1289">
        <v>0</v>
      </c>
      <c r="E1289" t="s">
        <v>2570</v>
      </c>
      <c r="F1289">
        <v>6</v>
      </c>
      <c r="G1289" s="1" t="s">
        <v>1104</v>
      </c>
      <c r="H1289" s="16" t="s">
        <v>3921</v>
      </c>
      <c r="I1289" s="18"/>
      <c r="J1289" t="str">
        <f>IF(LEN(VLOOKUP(表1[[#This Row],[id]],数据引用!A:C,3,FALSE))&gt;0,VLOOKUP(表1[[#This Row],[id]],数据引用!A:C,3,FALSE),"")</f>
        <v>推推怪</v>
      </c>
      <c r="K1289" t="s">
        <v>1212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89" s="5"/>
    </row>
    <row r="1290" spans="1:16" ht="14.25" customHeight="1">
      <c r="A1290">
        <v>4126</v>
      </c>
      <c r="B1290">
        <v>0</v>
      </c>
      <c r="C1290">
        <v>0</v>
      </c>
      <c r="E1290" t="s">
        <v>2570</v>
      </c>
      <c r="F1290">
        <v>6</v>
      </c>
      <c r="G1290" s="1" t="s">
        <v>1105</v>
      </c>
      <c r="H1290" s="16" t="s">
        <v>3922</v>
      </c>
      <c r="I1290" s="18"/>
      <c r="J1290" t="str">
        <f>IF(LEN(VLOOKUP(表1[[#This Row],[id]],数据引用!A:C,3,FALSE))&gt;0,VLOOKUP(表1[[#This Row],[id]],数据引用!A:C,3,FALSE),"")</f>
        <v>水晶砖块</v>
      </c>
      <c r="K1290" t="s">
        <v>1212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290" s="5"/>
    </row>
    <row r="1291" spans="1:16" ht="14.25" customHeight="1">
      <c r="A1291">
        <v>4127</v>
      </c>
      <c r="B1291">
        <v>0</v>
      </c>
      <c r="C1291">
        <v>0</v>
      </c>
      <c r="E1291" t="s">
        <v>2570</v>
      </c>
      <c r="F1291">
        <v>6</v>
      </c>
      <c r="G1291" s="1" t="s">
        <v>212</v>
      </c>
      <c r="H1291" s="16" t="s">
        <v>3923</v>
      </c>
      <c r="I1291" s="18"/>
      <c r="J1291" t="str">
        <f>IF(LEN(VLOOKUP(表1[[#This Row],[id]],数据引用!A:C,3,FALSE))&gt;0,VLOOKUP(表1[[#This Row],[id]],数据引用!A:C,3,FALSE),"")</f>
        <v>步调圣陵</v>
      </c>
      <c r="K1291" t="s">
        <v>1212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291" s="5"/>
    </row>
    <row r="1292" spans="1:16" ht="14.25" customHeight="1">
      <c r="A1292">
        <v>4128</v>
      </c>
      <c r="B1292">
        <v>0</v>
      </c>
      <c r="C1292">
        <v>0</v>
      </c>
      <c r="E1292" t="s">
        <v>2570</v>
      </c>
      <c r="F1292">
        <v>6</v>
      </c>
      <c r="G1292" s="1" t="s">
        <v>210</v>
      </c>
      <c r="H1292" s="16" t="s">
        <v>3924</v>
      </c>
      <c r="I1292" s="18"/>
      <c r="J1292" t="str">
        <f>IF(LEN(VLOOKUP(表1[[#This Row],[id]],数据引用!A:C,3,FALSE))&gt;0,VLOOKUP(表1[[#This Row],[id]],数据引用!A:C,3,FALSE),"")</f>
        <v>无悔圣陵</v>
      </c>
      <c r="K1292" t="s">
        <v>1212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292" s="5"/>
    </row>
    <row r="1293" spans="1:16" ht="14.25" customHeight="1">
      <c r="A1293">
        <v>4129</v>
      </c>
      <c r="B1293">
        <v>0</v>
      </c>
      <c r="C1293">
        <v>0</v>
      </c>
      <c r="E1293" t="s">
        <v>2570</v>
      </c>
      <c r="F1293">
        <v>6</v>
      </c>
      <c r="G1293" s="1" t="s">
        <v>206</v>
      </c>
      <c r="H1293" s="16" t="s">
        <v>3925</v>
      </c>
      <c r="I1293" s="18"/>
      <c r="J1293" t="str">
        <f>IF(LEN(VLOOKUP(表1[[#This Row],[id]],数据引用!A:C,3,FALSE))&gt;0,VLOOKUP(表1[[#This Row],[id]],数据引用!A:C,3,FALSE),"")</f>
        <v>冒险圣陵</v>
      </c>
      <c r="K1293" t="s">
        <v>1212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293" s="5"/>
    </row>
    <row r="1294" spans="1:16" ht="14.25" customHeight="1">
      <c r="A1294">
        <v>4130</v>
      </c>
      <c r="B1294">
        <v>0</v>
      </c>
      <c r="C1294">
        <v>0</v>
      </c>
      <c r="E1294" t="s">
        <v>2570</v>
      </c>
      <c r="F1294">
        <v>6</v>
      </c>
      <c r="G1294" s="1" t="s">
        <v>1106</v>
      </c>
      <c r="H1294" s="16" t="s">
        <v>3926</v>
      </c>
      <c r="I1294" s="18"/>
      <c r="J1294" t="str">
        <f>IF(LEN(VLOOKUP(表1[[#This Row],[id]],数据引用!A:C,3,FALSE))&gt;0,VLOOKUP(表1[[#This Row],[id]],数据引用!A:C,3,FALSE),"")</f>
        <v>陷阱墙</v>
      </c>
      <c r="K1294" t="s">
        <v>1212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294" s="5"/>
    </row>
    <row r="1295" spans="1:16" ht="14.25" customHeight="1">
      <c r="A1295">
        <v>4131</v>
      </c>
      <c r="B1295">
        <v>0</v>
      </c>
      <c r="C1295">
        <v>0</v>
      </c>
      <c r="E1295" t="s">
        <v>2570</v>
      </c>
      <c r="F1295">
        <v>6</v>
      </c>
      <c r="G1295" s="1" t="s">
        <v>265</v>
      </c>
      <c r="H1295" s="16" t="s">
        <v>3927</v>
      </c>
      <c r="I1295" s="18"/>
      <c r="J1295" t="str">
        <f>IF(LEN(VLOOKUP(表1[[#This Row],[id]],数据引用!A:C,3,FALSE))&gt;0,VLOOKUP(表1[[#This Row],[id]],数据引用!A:C,3,FALSE),"")</f>
        <v>炸弹</v>
      </c>
      <c r="K1295" t="s">
        <v>1212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295" s="5"/>
    </row>
    <row r="1296" spans="1:16" ht="14.25" customHeight="1">
      <c r="A1296">
        <v>4132</v>
      </c>
      <c r="B1296">
        <v>0</v>
      </c>
      <c r="C1296">
        <v>0</v>
      </c>
      <c r="E1296" t="s">
        <v>2570</v>
      </c>
      <c r="F1296">
        <v>6</v>
      </c>
      <c r="G1296" s="1" t="s">
        <v>1107</v>
      </c>
      <c r="H1296" s="15" t="s">
        <v>3928</v>
      </c>
      <c r="I1296" s="18"/>
      <c r="J1296" t="str">
        <f>IF(LEN(VLOOKUP(表1[[#This Row],[id]],数据引用!A:C,3,FALSE))&gt;0,VLOOKUP(表1[[#This Row],[id]],数据引用!A:C,3,FALSE),"")</f>
        <v/>
      </c>
      <c r="K1296" t="s">
        <v>1212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6" s="5"/>
    </row>
    <row r="1297" spans="1:16" ht="14.25" customHeight="1">
      <c r="A1297">
        <v>4133</v>
      </c>
      <c r="B1297">
        <v>0</v>
      </c>
      <c r="C1297">
        <v>0</v>
      </c>
      <c r="E1297" t="s">
        <v>2570</v>
      </c>
      <c r="F1297">
        <v>6</v>
      </c>
      <c r="G1297" s="1" t="s">
        <v>1108</v>
      </c>
      <c r="H1297" s="16" t="s">
        <v>3929</v>
      </c>
      <c r="I1297" s="18"/>
      <c r="J1297" t="str">
        <f>IF(LEN(VLOOKUP(表1[[#This Row],[id]],数据引用!A:C,3,FALSE))&gt;0,VLOOKUP(表1[[#This Row],[id]],数据引用!A:C,3,FALSE),"")</f>
        <v>灰色推推怪</v>
      </c>
      <c r="K1297" t="s">
        <v>1212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297" s="5"/>
    </row>
    <row r="1298" spans="1:16" ht="14.25" customHeight="1">
      <c r="A1298">
        <v>4134</v>
      </c>
      <c r="B1298">
        <v>0</v>
      </c>
      <c r="C1298">
        <v>0</v>
      </c>
      <c r="E1298" t="s">
        <v>2570</v>
      </c>
      <c r="F1298">
        <v>6</v>
      </c>
      <c r="G1298" s="1" t="s">
        <v>691</v>
      </c>
      <c r="H1298" s="16" t="s">
        <v>3930</v>
      </c>
      <c r="I1298" s="18"/>
      <c r="J1298" t="str">
        <f>IF(LEN(VLOOKUP(表1[[#This Row],[id]],数据引用!A:C,3,FALSE))&gt;0,VLOOKUP(表1[[#This Row],[id]],数据引用!A:C,3,FALSE),"")</f>
        <v>深蓝象棋</v>
      </c>
      <c r="K1298" t="s">
        <v>1212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298" s="5"/>
    </row>
    <row r="1299" spans="1:16" ht="14.25" customHeight="1">
      <c r="A1299">
        <v>4135</v>
      </c>
      <c r="B1299">
        <v>0</v>
      </c>
      <c r="C1299">
        <v>0</v>
      </c>
      <c r="E1299" t="s">
        <v>2570</v>
      </c>
      <c r="F1299">
        <v>6</v>
      </c>
      <c r="G1299" s="1" t="s">
        <v>261</v>
      </c>
      <c r="H1299" s="16" t="s">
        <v>3931</v>
      </c>
      <c r="I1299" s="18"/>
      <c r="J1299" t="str">
        <f>IF(LEN(VLOOKUP(表1[[#This Row],[id]],数据引用!A:C,3,FALSE))&gt;0,VLOOKUP(表1[[#This Row],[id]],数据引用!A:C,3,FALSE),"")</f>
        <v>火球术</v>
      </c>
      <c r="K1299" t="s">
        <v>1212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299" s="5"/>
    </row>
    <row r="1300" spans="1:16" ht="14.25" customHeight="1">
      <c r="A1300">
        <v>6000</v>
      </c>
      <c r="B1300">
        <v>0</v>
      </c>
      <c r="C1300">
        <v>0</v>
      </c>
      <c r="E1300">
        <v>1</v>
      </c>
      <c r="F1300">
        <v>12</v>
      </c>
      <c r="G1300" s="1" t="s">
        <v>1033</v>
      </c>
      <c r="H1300" s="16" t="s">
        <v>3932</v>
      </c>
      <c r="I1300" s="18"/>
      <c r="J1300" t="str">
        <f>IF(LEN(VLOOKUP(表1[[#This Row],[id]],数据引用!A:C,3,FALSE))&gt;0,VLOOKUP(表1[[#This Row],[id]],数据引用!A:C,3,FALSE),"")</f>
        <v>白色犰狳</v>
      </c>
      <c r="K1300" t="s">
        <v>1213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300" s="5"/>
    </row>
    <row r="1301" spans="1:16" ht="14.25" customHeight="1">
      <c r="A1301">
        <v>6001</v>
      </c>
      <c r="B1301">
        <v>0</v>
      </c>
      <c r="C1301">
        <v>0</v>
      </c>
      <c r="E1301">
        <v>1</v>
      </c>
      <c r="F1301">
        <v>12</v>
      </c>
      <c r="G1301" s="1" t="s">
        <v>964</v>
      </c>
      <c r="H1301" s="16" t="s">
        <v>3933</v>
      </c>
      <c r="I1301" s="18"/>
      <c r="J1301" t="str">
        <f>IF(LEN(VLOOKUP(表1[[#This Row],[id]],数据引用!A:C,3,FALSE))&gt;0,VLOOKUP(表1[[#This Row],[id]],数据引用!A:C,3,FALSE),"")</f>
        <v>黄色犰狳</v>
      </c>
      <c r="K1301" t="s">
        <v>1213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301" s="5"/>
    </row>
    <row r="1302" spans="1:16" ht="14.25" customHeight="1">
      <c r="A1302">
        <v>6002</v>
      </c>
      <c r="B1302">
        <v>0</v>
      </c>
      <c r="C1302">
        <v>0</v>
      </c>
      <c r="E1302">
        <v>1</v>
      </c>
      <c r="F1302">
        <v>12</v>
      </c>
      <c r="G1302" s="1" t="s">
        <v>1034</v>
      </c>
      <c r="H1302" s="16" t="s">
        <v>3934</v>
      </c>
      <c r="I1302" s="18"/>
      <c r="J1302" t="str">
        <f>IF(LEN(VLOOKUP(表1[[#This Row],[id]],数据引用!A:C,3,FALSE))&gt;0,VLOOKUP(表1[[#This Row],[id]],数据引用!A:C,3,FALSE),"")</f>
        <v>橙色犰狳</v>
      </c>
      <c r="K1302" t="s">
        <v>1213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302" s="5"/>
    </row>
    <row r="1303" spans="1:16" ht="14.25" customHeight="1">
      <c r="A1303">
        <v>6003</v>
      </c>
      <c r="B1303">
        <v>0</v>
      </c>
      <c r="C1303">
        <v>0</v>
      </c>
      <c r="E1303">
        <v>1</v>
      </c>
      <c r="F1303">
        <v>12</v>
      </c>
      <c r="G1303" s="1" t="s">
        <v>1035</v>
      </c>
      <c r="H1303" s="16" t="s">
        <v>3935</v>
      </c>
      <c r="I1303" s="18"/>
      <c r="J1303" t="str">
        <f>IF(LEN(VLOOKUP(表1[[#This Row],[id]],数据引用!A:C,3,FALSE))&gt;0,VLOOKUP(表1[[#This Row],[id]],数据引用!A:C,3,FALSE),"")</f>
        <v>白色持盾骷髅</v>
      </c>
      <c r="K1303" t="s">
        <v>1213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303" s="5"/>
    </row>
    <row r="1304" spans="1:16" ht="14.25" customHeight="1">
      <c r="A1304">
        <v>6004</v>
      </c>
      <c r="B1304">
        <v>0</v>
      </c>
      <c r="C1304">
        <v>0</v>
      </c>
      <c r="E1304">
        <v>1</v>
      </c>
      <c r="F1304">
        <v>12</v>
      </c>
      <c r="G1304" s="1" t="s">
        <v>1036</v>
      </c>
      <c r="H1304" s="16" t="s">
        <v>3936</v>
      </c>
      <c r="I1304" s="18"/>
      <c r="J1304" t="str">
        <f>IF(LEN(VLOOKUP(表1[[#This Row],[id]],数据引用!A:C,3,FALSE))&gt;0,VLOOKUP(表1[[#This Row],[id]],数据引用!A:C,3,FALSE),"")</f>
        <v>黄色持盾骷髅</v>
      </c>
      <c r="K1304" t="s">
        <v>1213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304" s="5"/>
    </row>
    <row r="1305" spans="1:16" ht="14.25" customHeight="1">
      <c r="A1305">
        <v>6005</v>
      </c>
      <c r="B1305">
        <v>0</v>
      </c>
      <c r="C1305">
        <v>0</v>
      </c>
      <c r="E1305">
        <v>1</v>
      </c>
      <c r="F1305">
        <v>12</v>
      </c>
      <c r="G1305" s="1" t="s">
        <v>1037</v>
      </c>
      <c r="H1305" s="16" t="s">
        <v>3937</v>
      </c>
      <c r="I1305" s="18"/>
      <c r="J1305" t="str">
        <f>IF(LEN(VLOOKUP(表1[[#This Row],[id]],数据引用!A:C,3,FALSE))&gt;0,VLOOKUP(表1[[#This Row],[id]],数据引用!A:C,3,FALSE),"")</f>
        <v>黑色持盾骷髅</v>
      </c>
      <c r="K1305" t="s">
        <v>1213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305" s="5"/>
    </row>
    <row r="1306" spans="1:16" ht="14.25" customHeight="1">
      <c r="A1306">
        <v>6006</v>
      </c>
      <c r="B1306">
        <v>0</v>
      </c>
      <c r="C1306">
        <v>0</v>
      </c>
      <c r="E1306">
        <v>1</v>
      </c>
      <c r="F1306">
        <v>12</v>
      </c>
      <c r="G1306" s="1" t="s">
        <v>1038</v>
      </c>
      <c r="H1306" s="16" t="s">
        <v>3938</v>
      </c>
      <c r="I1306" s="18"/>
      <c r="J1306" t="str">
        <f>IF(LEN(VLOOKUP(表1[[#This Row],[id]],数据引用!A:C,3,FALSE))&gt;0,VLOOKUP(表1[[#This Row],[id]],数据引用!A:C,3,FALSE),"")</f>
        <v>蓝色女妖</v>
      </c>
      <c r="K1306" t="s">
        <v>1213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306" s="5"/>
    </row>
    <row r="1307" spans="1:16" ht="14.25" customHeight="1">
      <c r="A1307">
        <v>6007</v>
      </c>
      <c r="B1307">
        <v>0</v>
      </c>
      <c r="C1307">
        <v>0</v>
      </c>
      <c r="E1307">
        <v>1</v>
      </c>
      <c r="F1307">
        <v>12</v>
      </c>
      <c r="G1307" s="1" t="s">
        <v>1039</v>
      </c>
      <c r="H1307" s="16" t="s">
        <v>3939</v>
      </c>
      <c r="I1307" s="18"/>
      <c r="J1307" t="str">
        <f>IF(LEN(VLOOKUP(表1[[#This Row],[id]],数据引用!A:C,3,FALSE))&gt;0,VLOOKUP(表1[[#This Row],[id]],数据引用!A:C,3,FALSE),"")</f>
        <v>绿色女妖</v>
      </c>
      <c r="K1307" t="s">
        <v>1213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307" s="5"/>
    </row>
    <row r="1308" spans="1:16" ht="14.25" customHeight="1">
      <c r="A1308">
        <v>6008</v>
      </c>
      <c r="B1308">
        <v>0</v>
      </c>
      <c r="C1308">
        <v>0</v>
      </c>
      <c r="E1308">
        <v>1</v>
      </c>
      <c r="F1308">
        <v>12</v>
      </c>
      <c r="G1308" s="1" t="s">
        <v>1040</v>
      </c>
      <c r="H1308" s="16" t="s">
        <v>3940</v>
      </c>
      <c r="I1308" s="18"/>
      <c r="J1308" t="str">
        <f>IF(LEN(VLOOKUP(表1[[#This Row],[id]],数据引用!A:C,3,FALSE))&gt;0,VLOOKUP(表1[[#This Row],[id]],数据引用!A:C,3,FALSE),"")</f>
        <v>蓝蝙蝠</v>
      </c>
      <c r="K1308" t="s">
        <v>1213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308" s="5"/>
    </row>
    <row r="1309" spans="1:16" ht="14.25" customHeight="1">
      <c r="A1309">
        <v>6009</v>
      </c>
      <c r="B1309">
        <v>0</v>
      </c>
      <c r="C1309">
        <v>0</v>
      </c>
      <c r="E1309">
        <v>1</v>
      </c>
      <c r="F1309">
        <v>12</v>
      </c>
      <c r="G1309" s="1" t="s">
        <v>945</v>
      </c>
      <c r="H1309" s="16" t="s">
        <v>3941</v>
      </c>
      <c r="I1309" s="18"/>
      <c r="J1309" t="str">
        <f>IF(LEN(VLOOKUP(表1[[#This Row],[id]],数据引用!A:C,3,FALSE))&gt;0,VLOOKUP(表1[[#This Row],[id]],数据引用!A:C,3,FALSE),"")</f>
        <v>红蝙蝠</v>
      </c>
      <c r="K1309" t="s">
        <v>1213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309" s="5"/>
    </row>
    <row r="1310" spans="1:16" ht="14.25" customHeight="1">
      <c r="A1310">
        <v>6010</v>
      </c>
      <c r="B1310">
        <v>0</v>
      </c>
      <c r="C1310">
        <v>0</v>
      </c>
      <c r="E1310">
        <v>1</v>
      </c>
      <c r="F1310">
        <v>12</v>
      </c>
      <c r="G1310" s="1" t="s">
        <v>946</v>
      </c>
      <c r="H1310" s="16" t="s">
        <v>3942</v>
      </c>
      <c r="I1310" s="18"/>
      <c r="J1310" t="str">
        <f>IF(LEN(VLOOKUP(表1[[#This Row],[id]],数据引用!A:C,3,FALSE))&gt;0,VLOOKUP(表1[[#This Row],[id]],数据引用!A:C,3,FALSE),"")</f>
        <v>绿蝙蝠</v>
      </c>
      <c r="K1310" t="s">
        <v>1213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310" s="5"/>
    </row>
    <row r="1311" spans="1:16" ht="14.25" customHeight="1">
      <c r="A1311">
        <v>6011</v>
      </c>
      <c r="B1311">
        <v>0</v>
      </c>
      <c r="C1311">
        <v>0</v>
      </c>
      <c r="E1311">
        <v>1</v>
      </c>
      <c r="F1311">
        <v>12</v>
      </c>
      <c r="G1311" s="1" t="s">
        <v>998</v>
      </c>
      <c r="H1311" s="16" t="s">
        <v>3943</v>
      </c>
      <c r="I1311" s="18"/>
      <c r="J1311" t="str">
        <f>IF(LEN(VLOOKUP(表1[[#This Row],[id]],数据引用!A:C,3,FALSE))&gt;0,VLOOKUP(表1[[#This Row],[id]],数据引用!A:C,3,FALSE),"")</f>
        <v>黑色蝙蝠</v>
      </c>
      <c r="K1311" t="s">
        <v>1213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311" s="5"/>
    </row>
    <row r="1312" spans="1:16" ht="14.25" customHeight="1">
      <c r="A1312">
        <v>6012</v>
      </c>
      <c r="B1312">
        <v>0</v>
      </c>
      <c r="C1312">
        <v>0</v>
      </c>
      <c r="E1312">
        <v>1</v>
      </c>
      <c r="F1312">
        <v>12</v>
      </c>
      <c r="G1312" s="1" t="s">
        <v>1041</v>
      </c>
      <c r="H1312" s="16" t="s">
        <v>3944</v>
      </c>
      <c r="I1312" s="18"/>
      <c r="J1312" t="str">
        <f>IF(LEN(VLOOKUP(表1[[#This Row],[id]],数据引用!A:C,3,FALSE))&gt;0,VLOOKUP(表1[[#This Row],[id]],数据引用!A:C,3,FALSE),"")</f>
        <v>黄色恐怖蝙蝠</v>
      </c>
      <c r="K1312" t="s">
        <v>1213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312" s="5"/>
    </row>
    <row r="1313" spans="1:16" ht="14.25" customHeight="1">
      <c r="A1313">
        <v>6013</v>
      </c>
      <c r="B1313">
        <v>0</v>
      </c>
      <c r="C1313">
        <v>0</v>
      </c>
      <c r="E1313">
        <v>1</v>
      </c>
      <c r="F1313">
        <v>12</v>
      </c>
      <c r="G1313" s="1" t="s">
        <v>1042</v>
      </c>
      <c r="H1313" s="16" t="s">
        <v>3945</v>
      </c>
      <c r="I1313" s="18"/>
      <c r="J1313" t="str">
        <f>IF(LEN(VLOOKUP(表1[[#This Row],[id]],数据引用!A:C,3,FALSE))&gt;0,VLOOKUP(表1[[#This Row],[id]],数据引用!A:C,3,FALSE),"")</f>
        <v>棕色恐怖蝙蝠</v>
      </c>
      <c r="K1313" t="s">
        <v>1213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313" s="5"/>
    </row>
    <row r="1314" spans="1:16" ht="14.25" customHeight="1">
      <c r="A1314">
        <v>6014</v>
      </c>
      <c r="B1314">
        <v>0</v>
      </c>
      <c r="C1314">
        <v>0</v>
      </c>
      <c r="E1314">
        <v>1</v>
      </c>
      <c r="F1314">
        <v>12</v>
      </c>
      <c r="G1314" s="1" t="s">
        <v>976</v>
      </c>
      <c r="H1314" s="16" t="s">
        <v>3946</v>
      </c>
      <c r="I1314" s="18"/>
      <c r="J1314" t="str">
        <f>IF(LEN(VLOOKUP(表1[[#This Row],[id]],数据引用!A:C,3,FALSE))&gt;0,VLOOKUP(表1[[#This Row],[id]],数据引用!A:C,3,FALSE),"")</f>
        <v>火甲虫</v>
      </c>
      <c r="K1314" t="s">
        <v>1213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314" s="5"/>
    </row>
    <row r="1315" spans="1:16" ht="14.25" customHeight="1">
      <c r="A1315">
        <v>6015</v>
      </c>
      <c r="B1315">
        <v>0</v>
      </c>
      <c r="C1315">
        <v>0</v>
      </c>
      <c r="E1315">
        <v>1</v>
      </c>
      <c r="F1315">
        <v>12</v>
      </c>
      <c r="G1315" s="1" t="s">
        <v>977</v>
      </c>
      <c r="H1315" s="16" t="s">
        <v>3947</v>
      </c>
      <c r="I1315" s="18"/>
      <c r="J1315" t="str">
        <f>IF(LEN(VLOOKUP(表1[[#This Row],[id]],数据引用!A:C,3,FALSE))&gt;0,VLOOKUP(表1[[#This Row],[id]],数据引用!A:C,3,FALSE),"")</f>
        <v>冰甲虫</v>
      </c>
      <c r="K1315" t="s">
        <v>1213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315" s="5"/>
    </row>
    <row r="1316" spans="1:16" ht="14.25" customHeight="1">
      <c r="A1316">
        <v>6016</v>
      </c>
      <c r="B1316">
        <v>0</v>
      </c>
      <c r="C1316">
        <v>0</v>
      </c>
      <c r="E1316">
        <v>1</v>
      </c>
      <c r="F1316">
        <v>12</v>
      </c>
      <c r="G1316" s="1" t="s">
        <v>1043</v>
      </c>
      <c r="H1316" s="16" t="s">
        <v>3948</v>
      </c>
      <c r="I1316" s="18"/>
      <c r="J1316" t="str">
        <f>IF(LEN(VLOOKUP(表1[[#This Row],[id]],数据引用!A:C,3,FALSE))&gt;0,VLOOKUP(表1[[#This Row],[id]],数据引用!A:C,3,FALSE),"")</f>
        <v>象</v>
      </c>
      <c r="K1316" t="s">
        <v>1213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316" s="5"/>
    </row>
    <row r="1317" spans="1:16" ht="14.25" customHeight="1">
      <c r="A1317">
        <v>6017</v>
      </c>
      <c r="B1317">
        <v>0</v>
      </c>
      <c r="C1317">
        <v>0</v>
      </c>
      <c r="E1317">
        <v>1</v>
      </c>
      <c r="F1317">
        <v>12</v>
      </c>
      <c r="G1317" s="1" t="s">
        <v>1044</v>
      </c>
      <c r="H1317" s="16" t="s">
        <v>3949</v>
      </c>
      <c r="I1317" s="18"/>
      <c r="J1317" t="str">
        <f>IF(LEN(VLOOKUP(表1[[#This Row],[id]],数据引用!A:C,3,FALSE))&gt;0,VLOOKUP(表1[[#This Row],[id]],数据引用!A:C,3,FALSE),"")</f>
        <v>象(红方)</v>
      </c>
      <c r="K1317" t="s">
        <v>1213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317" s="5"/>
    </row>
    <row r="1318" spans="1:16" ht="14.25" customHeight="1">
      <c r="A1318">
        <v>6018</v>
      </c>
      <c r="B1318">
        <v>0</v>
      </c>
      <c r="C1318">
        <v>0</v>
      </c>
      <c r="E1318">
        <v>1</v>
      </c>
      <c r="F1318">
        <v>12</v>
      </c>
      <c r="G1318" s="1" t="s">
        <v>1045</v>
      </c>
      <c r="H1318" s="16" t="s">
        <v>3950</v>
      </c>
      <c r="I1318" s="18"/>
      <c r="J1318" t="str">
        <f>IF(LEN(VLOOKUP(表1[[#This Row],[id]],数据引用!A:C,3,FALSE))&gt;0,VLOOKUP(表1[[#This Row],[id]],数据引用!A:C,3,FALSE),"")</f>
        <v>见习剑士</v>
      </c>
      <c r="K1318" t="s">
        <v>1213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8" s="5"/>
    </row>
    <row r="1319" spans="1:16" ht="14.25" customHeight="1">
      <c r="A1319">
        <v>6019</v>
      </c>
      <c r="B1319">
        <v>0</v>
      </c>
      <c r="C1319">
        <v>0</v>
      </c>
      <c r="E1319">
        <v>1</v>
      </c>
      <c r="F1319">
        <v>12</v>
      </c>
      <c r="G1319" s="1" t="s">
        <v>992</v>
      </c>
      <c r="H1319" s="16" t="s">
        <v>3951</v>
      </c>
      <c r="I1319" s="18"/>
      <c r="J1319" t="str">
        <f>IF(LEN(VLOOKUP(表1[[#This Row],[id]],数据引用!A:C,3,FALSE))&gt;0,VLOOKUP(表1[[#This Row],[id]],数据引用!A:C,3,FALSE),"")</f>
        <v>见习剑士</v>
      </c>
      <c r="K1319" t="s">
        <v>1213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9" s="5"/>
    </row>
    <row r="1320" spans="1:16" ht="14.25" customHeight="1">
      <c r="A1320">
        <v>6020</v>
      </c>
      <c r="B1320">
        <v>0</v>
      </c>
      <c r="C1320">
        <v>0</v>
      </c>
      <c r="E1320">
        <v>1</v>
      </c>
      <c r="F1320">
        <v>12</v>
      </c>
      <c r="G1320" s="1" t="s">
        <v>1046</v>
      </c>
      <c r="H1320" s="16" t="s">
        <v>3952</v>
      </c>
      <c r="I1320" s="18"/>
      <c r="J1320" t="str">
        <f>IF(LEN(VLOOKUP(表1[[#This Row],[id]],数据引用!A:C,3,FALSE))&gt;0,VLOOKUP(表1[[#This Row],[id]],数据引用!A:C,3,FALSE),"")</f>
        <v>克隆体</v>
      </c>
      <c r="K1320" t="s">
        <v>1213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320" s="5"/>
    </row>
    <row r="1321" spans="1:16" ht="14.25" customHeight="1">
      <c r="A1321">
        <v>6021</v>
      </c>
      <c r="B1321">
        <v>0</v>
      </c>
      <c r="C1321">
        <v>0</v>
      </c>
      <c r="E1321">
        <v>1</v>
      </c>
      <c r="F1321">
        <v>12</v>
      </c>
      <c r="G1321" s="1" t="s">
        <v>692</v>
      </c>
      <c r="H1321" s="16" t="s">
        <v>3953</v>
      </c>
      <c r="I1321" s="18"/>
      <c r="J1321" t="str">
        <f>IF(LEN(VLOOKUP(表1[[#This Row],[id]],数据引用!A:C,3,FALSE))&gt;0,VLOOKUP(表1[[#This Row],[id]],数据引用!A:C,3,FALSE),"")</f>
        <v>珊瑚乐团</v>
      </c>
      <c r="K1321" t="s">
        <v>1213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321" s="5"/>
    </row>
    <row r="1322" spans="1:16" ht="14.25" customHeight="1">
      <c r="A1322">
        <v>6022</v>
      </c>
      <c r="B1322">
        <v>0</v>
      </c>
      <c r="C1322">
        <v>0</v>
      </c>
      <c r="E1322">
        <v>1</v>
      </c>
      <c r="F1322">
        <v>12</v>
      </c>
      <c r="G1322" s="1" t="s">
        <v>1047</v>
      </c>
      <c r="H1322" s="16" t="s">
        <v>3954</v>
      </c>
      <c r="I1322" s="18"/>
      <c r="J1322" t="str">
        <f>IF(LEN(VLOOKUP(表1[[#This Row],[id]],数据引用!A:C,3,FALSE))&gt;0,VLOOKUP(表1[[#This Row],[id]],数据引用!A:C,3,FALSE),"")</f>
        <v>桶</v>
      </c>
      <c r="K1322" t="s">
        <v>1213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322" s="5"/>
    </row>
    <row r="1323" spans="1:16" ht="14.25" customHeight="1">
      <c r="A1323">
        <v>6023</v>
      </c>
      <c r="B1323">
        <v>0</v>
      </c>
      <c r="C1323">
        <v>0</v>
      </c>
      <c r="E1323">
        <v>1</v>
      </c>
      <c r="F1323">
        <v>12</v>
      </c>
      <c r="G1323" s="1" t="s">
        <v>693</v>
      </c>
      <c r="H1323" s="16" t="s">
        <v>3955</v>
      </c>
      <c r="I1323" s="18"/>
      <c r="J1323" t="str">
        <f>IF(LEN(VLOOKUP(表1[[#This Row],[id]],数据引用!A:C,3,FALSE))&gt;0,VLOOKUP(表1[[#This Row],[id]],数据引用!A:C,3,FALSE),"")</f>
        <v>死亡丧钟</v>
      </c>
      <c r="K1323" t="s">
        <v>1213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323" s="5"/>
    </row>
    <row r="1324" spans="1:16" ht="14.25" customHeight="1">
      <c r="A1324">
        <v>6024</v>
      </c>
      <c r="B1324">
        <v>0</v>
      </c>
      <c r="C1324">
        <v>0</v>
      </c>
      <c r="E1324">
        <v>1</v>
      </c>
      <c r="F1324">
        <v>12</v>
      </c>
      <c r="G1324" s="1" t="s">
        <v>690</v>
      </c>
      <c r="H1324" s="16" t="s">
        <v>3956</v>
      </c>
      <c r="I1324" s="18"/>
      <c r="J1324" t="str">
        <f>IF(LEN(VLOOKUP(表1[[#This Row],[id]],数据引用!A:C,3,FALSE))&gt;0,VLOOKUP(表1[[#This Row],[id]],数据引用!A:C,3,FALSE),"")</f>
        <v>死亡重金属</v>
      </c>
      <c r="K1324" t="s">
        <v>1213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324" s="5"/>
    </row>
    <row r="1325" spans="1:16" ht="14.25" customHeight="1">
      <c r="A1325">
        <v>6025</v>
      </c>
      <c r="B1325">
        <v>0</v>
      </c>
      <c r="C1325">
        <v>0</v>
      </c>
      <c r="E1325">
        <v>1</v>
      </c>
      <c r="F1325">
        <v>12</v>
      </c>
      <c r="G1325" s="1" t="s">
        <v>1004</v>
      </c>
      <c r="H1325" s="16" t="s">
        <v>3957</v>
      </c>
      <c r="I1325" s="18"/>
      <c r="J1325" t="str">
        <f>IF(LEN(VLOOKUP(表1[[#This Row],[id]],数据引用!A:C,3,FALSE))&gt;0,VLOOKUP(表1[[#This Row],[id]],数据引用!A:C,3,FALSE),"")</f>
        <v>绿龙</v>
      </c>
      <c r="K1325" t="s">
        <v>1213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325" s="5"/>
    </row>
    <row r="1326" spans="1:16" ht="14.25" customHeight="1">
      <c r="A1326">
        <v>6026</v>
      </c>
      <c r="B1326">
        <v>0</v>
      </c>
      <c r="C1326">
        <v>0</v>
      </c>
      <c r="E1326">
        <v>1</v>
      </c>
      <c r="F1326">
        <v>12</v>
      </c>
      <c r="G1326" s="1" t="s">
        <v>1005</v>
      </c>
      <c r="H1326" s="16" t="s">
        <v>3958</v>
      </c>
      <c r="I1326" s="18"/>
      <c r="J1326" t="str">
        <f>IF(LEN(VLOOKUP(表1[[#This Row],[id]],数据引用!A:C,3,FALSE))&gt;0,VLOOKUP(表1[[#This Row],[id]],数据引用!A:C,3,FALSE),"")</f>
        <v>红龙</v>
      </c>
      <c r="K1326" t="s">
        <v>1213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326" s="5"/>
    </row>
    <row r="1327" spans="1:16" ht="14.25" customHeight="1">
      <c r="A1327">
        <v>6027</v>
      </c>
      <c r="B1327">
        <v>0</v>
      </c>
      <c r="C1327">
        <v>0</v>
      </c>
      <c r="E1327">
        <v>1</v>
      </c>
      <c r="F1327">
        <v>12</v>
      </c>
      <c r="G1327" s="1" t="s">
        <v>1006</v>
      </c>
      <c r="H1327" s="16" t="s">
        <v>3959</v>
      </c>
      <c r="I1327" s="18"/>
      <c r="J1327" t="str">
        <f>IF(LEN(VLOOKUP(表1[[#This Row],[id]],数据引用!A:C,3,FALSE))&gt;0,VLOOKUP(表1[[#This Row],[id]],数据引用!A:C,3,FALSE),"")</f>
        <v>蓝龙</v>
      </c>
      <c r="K1327" t="s">
        <v>1213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327" s="5"/>
    </row>
    <row r="1328" spans="1:16" ht="14.25" customHeight="1">
      <c r="A1328">
        <v>6028</v>
      </c>
      <c r="B1328">
        <v>0</v>
      </c>
      <c r="C1328">
        <v>0</v>
      </c>
      <c r="E1328">
        <v>1</v>
      </c>
      <c r="F1328">
        <v>12</v>
      </c>
      <c r="G1328" s="1" t="s">
        <v>968</v>
      </c>
      <c r="H1328" s="16" t="s">
        <v>3960</v>
      </c>
      <c r="I1328" s="18"/>
      <c r="J1328" t="str">
        <f>IF(LEN(VLOOKUP(表1[[#This Row],[id]],数据引用!A:C,3,FALSE))&gt;0,VLOOKUP(表1[[#This Row],[id]],数据引用!A:C,3,FALSE),"")</f>
        <v>假墙体</v>
      </c>
      <c r="K1328" t="s">
        <v>1213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328" s="5"/>
    </row>
    <row r="1329" spans="1:16" ht="14.25" customHeight="1">
      <c r="A1329">
        <v>6029</v>
      </c>
      <c r="B1329">
        <v>0</v>
      </c>
      <c r="C1329">
        <v>0</v>
      </c>
      <c r="E1329">
        <v>1</v>
      </c>
      <c r="F1329">
        <v>12</v>
      </c>
      <c r="G1329" s="1" t="s">
        <v>972</v>
      </c>
      <c r="H1329" s="16" t="s">
        <v>3961</v>
      </c>
      <c r="I1329" s="18"/>
      <c r="J1329" t="str">
        <f>IF(LEN(VLOOKUP(表1[[#This Row],[id]],数据引用!A:C,3,FALSE))&gt;0,VLOOKUP(表1[[#This Row],[id]],数据引用!A:C,3,FALSE),"")</f>
        <v>火元素</v>
      </c>
      <c r="K1329" t="s">
        <v>1213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329" s="5"/>
    </row>
    <row r="1330" spans="1:16" ht="14.25" customHeight="1">
      <c r="A1330">
        <v>6030</v>
      </c>
      <c r="B1330">
        <v>0</v>
      </c>
      <c r="C1330">
        <v>0</v>
      </c>
      <c r="E1330">
        <v>1</v>
      </c>
      <c r="F1330">
        <v>12</v>
      </c>
      <c r="G1330" s="1" t="s">
        <v>1048</v>
      </c>
      <c r="H1330" s="16" t="s">
        <v>3962</v>
      </c>
      <c r="I1330" s="18"/>
      <c r="J1330" t="str">
        <f>IF(LEN(VLOOKUP(表1[[#This Row],[id]],数据引用!A:C,3,FALSE))&gt;0,VLOOKUP(表1[[#This Row],[id]],数据引用!A:C,3,FALSE),"")</f>
        <v>石像鬼</v>
      </c>
      <c r="K1330" t="s">
        <v>1213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330" s="5"/>
    </row>
    <row r="1331" spans="1:16" ht="14.25" customHeight="1">
      <c r="A1331">
        <v>6031</v>
      </c>
      <c r="B1331">
        <v>0</v>
      </c>
      <c r="C1331">
        <v>0</v>
      </c>
      <c r="E1331">
        <v>1</v>
      </c>
      <c r="F1331">
        <v>12</v>
      </c>
      <c r="G1331" s="1" t="s">
        <v>981</v>
      </c>
      <c r="H1331" s="16" t="s">
        <v>3963</v>
      </c>
      <c r="I1331" s="18"/>
      <c r="J1331" t="str">
        <f>IF(LEN(VLOOKUP(表1[[#This Row],[id]],数据引用!A:C,3,FALSE))&gt;0,VLOOKUP(表1[[#This Row],[id]],数据引用!A:C,3,FALSE),"")</f>
        <v>恶魂</v>
      </c>
      <c r="K1331" t="s">
        <v>1213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331" s="5"/>
    </row>
    <row r="1332" spans="1:16" ht="14.25" customHeight="1">
      <c r="A1332">
        <v>6032</v>
      </c>
      <c r="B1332">
        <v>0</v>
      </c>
      <c r="C1332">
        <v>0</v>
      </c>
      <c r="E1332">
        <v>1</v>
      </c>
      <c r="F1332">
        <v>12</v>
      </c>
      <c r="G1332" s="1" t="s">
        <v>949</v>
      </c>
      <c r="H1332" s="16" t="s">
        <v>3964</v>
      </c>
      <c r="I1332" s="18"/>
      <c r="J1332" t="str">
        <f>IF(LEN(VLOOKUP(表1[[#This Row],[id]],数据引用!A:C,3,FALSE))&gt;0,VLOOKUP(表1[[#This Row],[id]],数据引用!A:C,3,FALSE),"")</f>
        <v>鬼魂</v>
      </c>
      <c r="K1332" t="s">
        <v>1213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332" s="5"/>
    </row>
    <row r="1333" spans="1:16" ht="14.25" customHeight="1">
      <c r="A1333">
        <v>6033</v>
      </c>
      <c r="B1333">
        <v>0</v>
      </c>
      <c r="C1333">
        <v>0</v>
      </c>
      <c r="E1333">
        <v>1</v>
      </c>
      <c r="F1333">
        <v>12</v>
      </c>
      <c r="G1333" s="1" t="s">
        <v>1000</v>
      </c>
      <c r="H1333" s="16" t="s">
        <v>3965</v>
      </c>
      <c r="I1333" s="18"/>
      <c r="J1333" t="str">
        <f>IF(LEN(VLOOKUP(表1[[#This Row],[id]],数据引用!A:C,3,FALSE))&gt;0,VLOOKUP(表1[[#This Row],[id]],数据引用!A:C,3,FALSE),"")</f>
        <v>饿魂</v>
      </c>
      <c r="K1333" t="s">
        <v>1213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333" s="5"/>
    </row>
    <row r="1334" spans="1:16" ht="14.25" customHeight="1">
      <c r="A1334">
        <v>6034</v>
      </c>
      <c r="B1334">
        <v>0</v>
      </c>
      <c r="C1334">
        <v>0</v>
      </c>
      <c r="E1334">
        <v>1</v>
      </c>
      <c r="F1334">
        <v>12</v>
      </c>
      <c r="G1334" s="1" t="s">
        <v>1049</v>
      </c>
      <c r="H1334" s="16" t="s">
        <v>3966</v>
      </c>
      <c r="I1334" s="18"/>
      <c r="J1334" t="str">
        <f>IF(LEN(VLOOKUP(表1[[#This Row],[id]],数据引用!A:C,3,FALSE))&gt;0,VLOOKUP(表1[[#This Row],[id]],数据引用!A:C,3,FALSE),"")</f>
        <v>紫色哥布林</v>
      </c>
      <c r="K1334" t="s">
        <v>1213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334" s="5"/>
    </row>
    <row r="1335" spans="1:16" ht="14.25" customHeight="1">
      <c r="A1335">
        <v>6035</v>
      </c>
      <c r="B1335">
        <v>0</v>
      </c>
      <c r="C1335">
        <v>0</v>
      </c>
      <c r="E1335">
        <v>1</v>
      </c>
      <c r="F1335">
        <v>12</v>
      </c>
      <c r="G1335" s="1" t="s">
        <v>1050</v>
      </c>
      <c r="H1335" s="16" t="s">
        <v>3967</v>
      </c>
      <c r="I1335" s="18"/>
      <c r="J1335" t="str">
        <f>IF(LEN(VLOOKUP(表1[[#This Row],[id]],数据引用!A:C,3,FALSE))&gt;0,VLOOKUP(表1[[#This Row],[id]],数据引用!A:C,3,FALSE),"")</f>
        <v>灰色哥布林</v>
      </c>
      <c r="K1335" t="s">
        <v>1213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335" s="5"/>
    </row>
    <row r="1336" spans="1:16" ht="14.25" customHeight="1">
      <c r="A1336">
        <v>6036</v>
      </c>
      <c r="B1336">
        <v>0</v>
      </c>
      <c r="C1336">
        <v>0</v>
      </c>
      <c r="E1336">
        <v>1</v>
      </c>
      <c r="F1336">
        <v>12</v>
      </c>
      <c r="G1336" s="1" t="s">
        <v>1051</v>
      </c>
      <c r="H1336" s="16" t="s">
        <v>3968</v>
      </c>
      <c r="I1336" s="18"/>
      <c r="J1336" t="str">
        <f>IF(LEN(VLOOKUP(表1[[#This Row],[id]],数据引用!A:C,3,FALSE))&gt;0,VLOOKUP(表1[[#This Row],[id]],数据引用!A:C,3,FALSE),"")</f>
        <v>投弹手</v>
      </c>
      <c r="K1336" t="s">
        <v>1213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font-size:12;"&gt;投弹手&lt;/text&gt;&lt;text transform="matrix(1 0 0 1 0 10.3205)" style="fill:#FFFFFF; font-family:'FZXS12--GB1-0'; font-size:12;"&gt;投弹手&lt;/text&gt;&lt;/svg&gt;</v>
      </c>
      <c r="P1336" s="5"/>
    </row>
    <row r="1337" spans="1:16" ht="14.25" customHeight="1">
      <c r="A1337">
        <v>6037</v>
      </c>
      <c r="B1337">
        <v>0</v>
      </c>
      <c r="C1337">
        <v>0</v>
      </c>
      <c r="E1337">
        <v>1</v>
      </c>
      <c r="F1337">
        <v>12</v>
      </c>
      <c r="G1337" s="1" t="s">
        <v>1052</v>
      </c>
      <c r="H1337" s="16" t="s">
        <v>3969</v>
      </c>
      <c r="I1337" s="18"/>
      <c r="J1337" t="str">
        <f>IF(LEN(VLOOKUP(表1[[#This Row],[id]],数据引用!A:C,3,FALSE))&gt;0,VLOOKUP(表1[[#This Row],[id]],数据引用!A:C,3,FALSE),"")</f>
        <v>浅色石巨人</v>
      </c>
      <c r="K1337" t="s">
        <v>1213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337" s="5"/>
    </row>
    <row r="1338" spans="1:16" ht="14.25" customHeight="1">
      <c r="A1338">
        <v>6038</v>
      </c>
      <c r="B1338">
        <v>0</v>
      </c>
      <c r="C1338">
        <v>0</v>
      </c>
      <c r="E1338">
        <v>1</v>
      </c>
      <c r="F1338">
        <v>12</v>
      </c>
      <c r="G1338" s="1" t="s">
        <v>962</v>
      </c>
      <c r="H1338" s="16" t="s">
        <v>3970</v>
      </c>
      <c r="I1338" s="18"/>
      <c r="J1338" t="str">
        <f>IF(LEN(VLOOKUP(表1[[#This Row],[id]],数据引用!A:C,3,FALSE))&gt;0,VLOOKUP(表1[[#This Row],[id]],数据引用!A:C,3,FALSE),"")</f>
        <v>深色石巨人</v>
      </c>
      <c r="K1338" t="s">
        <v>1213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338" s="5"/>
    </row>
    <row r="1339" spans="1:16" ht="14.25" customHeight="1">
      <c r="A1339">
        <v>6039</v>
      </c>
      <c r="B1339">
        <v>0</v>
      </c>
      <c r="C1339">
        <v>0</v>
      </c>
      <c r="E1339">
        <v>1</v>
      </c>
      <c r="F1339">
        <v>12</v>
      </c>
      <c r="G1339" s="1" t="s">
        <v>997</v>
      </c>
      <c r="H1339" s="16" t="s">
        <v>3971</v>
      </c>
      <c r="I1339" s="18"/>
      <c r="J1339" t="str">
        <f>IF(LEN(VLOOKUP(表1[[#This Row],[id]],数据引用!A:C,3,FALSE))&gt;0,VLOOKUP(表1[[#This Row],[id]],数据引用!A:C,3,FALSE),"")</f>
        <v>软泥巨人</v>
      </c>
      <c r="K1339" t="s">
        <v>1213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339" s="5"/>
    </row>
    <row r="1340" spans="1:16" ht="14.25" customHeight="1">
      <c r="A1340">
        <v>6040</v>
      </c>
      <c r="B1340">
        <v>0</v>
      </c>
      <c r="C1340">
        <v>0</v>
      </c>
      <c r="E1340">
        <v>1</v>
      </c>
      <c r="F1340">
        <v>12</v>
      </c>
      <c r="G1340" s="1" t="s">
        <v>993</v>
      </c>
      <c r="H1340" s="16" t="s">
        <v>3972</v>
      </c>
      <c r="I1340" s="18"/>
      <c r="J1340" t="str">
        <f>IF(LEN(VLOOKUP(表1[[#This Row],[id]],数据引用!A:C,3,FALSE))&gt;0,VLOOKUP(表1[[#This Row],[id]],数据引用!A:C,3,FALSE),"")</f>
        <v>鹰身女妖</v>
      </c>
      <c r="K1340" t="s">
        <v>1213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340" s="5"/>
    </row>
    <row r="1341" spans="1:16" ht="14.25" customHeight="1">
      <c r="A1341">
        <v>6041</v>
      </c>
      <c r="B1341">
        <v>0</v>
      </c>
      <c r="C1341">
        <v>0</v>
      </c>
      <c r="E1341">
        <v>1</v>
      </c>
      <c r="F1341">
        <v>12</v>
      </c>
      <c r="G1341" s="1" t="s">
        <v>979</v>
      </c>
      <c r="H1341" s="16" t="s">
        <v>3973</v>
      </c>
      <c r="I1341" s="18"/>
      <c r="J1341" t="str">
        <f>IF(LEN(VLOOKUP(表1[[#This Row],[id]],数据引用!A:C,3,FALSE))&gt;0,VLOOKUP(表1[[#This Row],[id]],数据引用!A:C,3,FALSE),"")</f>
        <v>地狱犬</v>
      </c>
      <c r="K1341" t="s">
        <v>1213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341" s="5"/>
    </row>
    <row r="1342" spans="1:16" ht="14.25" customHeight="1">
      <c r="A1342">
        <v>6042</v>
      </c>
      <c r="B1342">
        <v>0</v>
      </c>
      <c r="C1342">
        <v>0</v>
      </c>
      <c r="E1342">
        <v>1</v>
      </c>
      <c r="F1342">
        <v>12</v>
      </c>
      <c r="G1342" s="1" t="s">
        <v>973</v>
      </c>
      <c r="H1342" s="16" t="s">
        <v>3974</v>
      </c>
      <c r="I1342" s="18"/>
      <c r="J1342" t="str">
        <f>IF(LEN(VLOOKUP(表1[[#This Row],[id]],数据引用!A:C,3,FALSE))&gt;0,VLOOKUP(表1[[#This Row],[id]],数据引用!A:C,3,FALSE),"")</f>
        <v>冰元素</v>
      </c>
      <c r="K1342" t="s">
        <v>1213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342" s="5"/>
    </row>
    <row r="1343" spans="1:16" ht="14.25" customHeight="1">
      <c r="A1343">
        <v>6043</v>
      </c>
      <c r="B1343">
        <v>0</v>
      </c>
      <c r="C1343">
        <v>0</v>
      </c>
      <c r="E1343">
        <v>1</v>
      </c>
      <c r="F1343">
        <v>12</v>
      </c>
      <c r="G1343" s="1" t="s">
        <v>1053</v>
      </c>
      <c r="H1343" s="16" t="s">
        <v>3975</v>
      </c>
      <c r="I1343" s="18"/>
      <c r="J1343" t="str">
        <f>IF(LEN(VLOOKUP(表1[[#This Row],[id]],数据引用!A:C,3,FALSE))&gt;0,VLOOKUP(表1[[#This Row],[id]],数据引用!A:C,3,FALSE),"")</f>
        <v>国王</v>
      </c>
      <c r="K1343" t="s">
        <v>1213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343" s="5"/>
    </row>
    <row r="1344" spans="1:16" ht="14.25" customHeight="1">
      <c r="A1344">
        <v>6044</v>
      </c>
      <c r="B1344">
        <v>0</v>
      </c>
      <c r="C1344">
        <v>0</v>
      </c>
      <c r="E1344">
        <v>1</v>
      </c>
      <c r="F1344">
        <v>12</v>
      </c>
      <c r="G1344" s="1" t="s">
        <v>1054</v>
      </c>
      <c r="H1344" s="16" t="s">
        <v>3976</v>
      </c>
      <c r="I1344" s="18"/>
      <c r="J1344" t="str">
        <f>IF(LEN(VLOOKUP(表1[[#This Row],[id]],数据引用!A:C,3,FALSE))&gt;0,VLOOKUP(表1[[#This Row],[id]],数据引用!A:C,3,FALSE),"")</f>
        <v>国王(红方)</v>
      </c>
      <c r="K1344" t="s">
        <v>1213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344" s="5"/>
    </row>
    <row r="1345" spans="1:16" ht="14.25" customHeight="1">
      <c r="A1345">
        <v>6045</v>
      </c>
      <c r="B1345">
        <v>0</v>
      </c>
      <c r="C1345">
        <v>0</v>
      </c>
      <c r="E1345">
        <v>1</v>
      </c>
      <c r="F1345">
        <v>12</v>
      </c>
      <c r="G1345" s="1" t="s">
        <v>689</v>
      </c>
      <c r="H1345" s="16" t="s">
        <v>3977</v>
      </c>
      <c r="I1345" s="18"/>
      <c r="J1345" t="str">
        <f>IF(LEN(VLOOKUP(表1[[#This Row],[id]],数据引用!A:C,3,FALSE))&gt;0,VLOOKUP(表1[[#This Row],[id]],数据引用!A:C,3,FALSE),"")</f>
        <v>金刚鼓王</v>
      </c>
      <c r="K1345" t="s">
        <v>1213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345" s="5"/>
    </row>
    <row r="1346" spans="1:16" ht="14.25" customHeight="1">
      <c r="A1346">
        <v>6046</v>
      </c>
      <c r="B1346">
        <v>0</v>
      </c>
      <c r="C1346">
        <v>0</v>
      </c>
      <c r="E1346">
        <v>1</v>
      </c>
      <c r="F1346">
        <v>12</v>
      </c>
      <c r="G1346" s="1" t="s">
        <v>1055</v>
      </c>
      <c r="H1346" s="16" t="s">
        <v>3978</v>
      </c>
      <c r="I1346" s="18"/>
      <c r="J1346" t="str">
        <f>IF(LEN(VLOOKUP(表1[[#This Row],[id]],数据引用!A:C,3,FALSE))&gt;0,VLOOKUP(表1[[#This Row],[id]],数据引用!A:C,3,FALSE),"")</f>
        <v>马</v>
      </c>
      <c r="K1346" t="s">
        <v>1213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346" s="5"/>
    </row>
    <row r="1347" spans="1:16" ht="14.25" customHeight="1">
      <c r="A1347">
        <v>6047</v>
      </c>
      <c r="B1347">
        <v>0</v>
      </c>
      <c r="C1347">
        <v>0</v>
      </c>
      <c r="E1347">
        <v>1</v>
      </c>
      <c r="F1347">
        <v>12</v>
      </c>
      <c r="G1347" s="1" t="s">
        <v>1056</v>
      </c>
      <c r="H1347" s="16" t="s">
        <v>3979</v>
      </c>
      <c r="I1347" s="18"/>
      <c r="J1347" t="str">
        <f>IF(LEN(VLOOKUP(表1[[#This Row],[id]],数据引用!A:C,3,FALSE))&gt;0,VLOOKUP(表1[[#This Row],[id]],数据引用!A:C,3,FALSE),"")</f>
        <v>马(红方)</v>
      </c>
      <c r="K1347" t="s">
        <v>1213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347" s="5"/>
    </row>
    <row r="1348" spans="1:16" ht="14.25" customHeight="1">
      <c r="A1348">
        <v>6048</v>
      </c>
      <c r="B1348">
        <v>0</v>
      </c>
      <c r="C1348">
        <v>0</v>
      </c>
      <c r="E1348">
        <v>1</v>
      </c>
      <c r="F1348">
        <v>12</v>
      </c>
      <c r="G1348" s="1" t="s">
        <v>1057</v>
      </c>
      <c r="H1348" s="16" t="s">
        <v>3980</v>
      </c>
      <c r="I1348" s="18"/>
      <c r="J1348" t="str">
        <f>IF(LEN(VLOOKUP(表1[[#This Row],[id]],数据引用!A:C,3,FALSE))&gt;0,VLOOKUP(表1[[#This Row],[id]],数据引用!A:C,3,FALSE),"")</f>
        <v>妖精</v>
      </c>
      <c r="K1348" t="s">
        <v>1213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348" s="5"/>
    </row>
    <row r="1349" spans="1:16" ht="14.25" customHeight="1">
      <c r="A1349">
        <v>6049</v>
      </c>
      <c r="B1349">
        <v>0</v>
      </c>
      <c r="C1349">
        <v>0</v>
      </c>
      <c r="E1349">
        <v>1</v>
      </c>
      <c r="F1349">
        <v>12</v>
      </c>
      <c r="G1349" s="1" t="s">
        <v>984</v>
      </c>
      <c r="H1349" s="16" t="s">
        <v>3981</v>
      </c>
      <c r="I1349" s="18"/>
      <c r="J1349" t="str">
        <f>IF(LEN(VLOOKUP(表1[[#This Row],[id]],数据引用!A:C,3,FALSE))&gt;0,VLOOKUP(表1[[#This Row],[id]],数据引用!A:C,3,FALSE),"")</f>
        <v>巫妖</v>
      </c>
      <c r="K1349" t="s">
        <v>1213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349" s="5"/>
    </row>
    <row r="1350" spans="1:16" ht="14.25" customHeight="1">
      <c r="A1350">
        <v>6050</v>
      </c>
      <c r="B1350">
        <v>0</v>
      </c>
      <c r="C1350">
        <v>0</v>
      </c>
      <c r="E1350">
        <v>1</v>
      </c>
      <c r="F1350">
        <v>12</v>
      </c>
      <c r="G1350" s="1" t="s">
        <v>985</v>
      </c>
      <c r="H1350" s="16" t="s">
        <v>3982</v>
      </c>
      <c r="I1350" s="18"/>
      <c r="J1350" t="str">
        <f>IF(LEN(VLOOKUP(表1[[#This Row],[id]],数据引用!A:C,3,FALSE))&gt;0,VLOOKUP(表1[[#This Row],[id]],数据引用!A:C,3,FALSE),"")</f>
        <v>红巫妖</v>
      </c>
      <c r="K1350" t="s">
        <v>1213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350" s="5"/>
    </row>
    <row r="1351" spans="1:16" ht="14.25" customHeight="1">
      <c r="A1351">
        <v>6051</v>
      </c>
      <c r="B1351">
        <v>0</v>
      </c>
      <c r="C1351">
        <v>0</v>
      </c>
      <c r="E1351">
        <v>1</v>
      </c>
      <c r="F1351">
        <v>12</v>
      </c>
      <c r="G1351" s="1" t="s">
        <v>986</v>
      </c>
      <c r="H1351" s="16" t="s">
        <v>3983</v>
      </c>
      <c r="I1351" s="18"/>
      <c r="J1351" t="str">
        <f>IF(LEN(VLOOKUP(表1[[#This Row],[id]],数据引用!A:C,3,FALSE))&gt;0,VLOOKUP(表1[[#This Row],[id]],数据引用!A:C,3,FALSE),"")</f>
        <v>黑巫妖</v>
      </c>
      <c r="K1351" t="s">
        <v>1213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351" s="5"/>
    </row>
    <row r="1352" spans="1:16" ht="14.25" customHeight="1">
      <c r="A1352">
        <v>6052</v>
      </c>
      <c r="B1352">
        <v>0</v>
      </c>
      <c r="C1352">
        <v>0</v>
      </c>
      <c r="E1352">
        <v>1</v>
      </c>
      <c r="F1352">
        <v>12</v>
      </c>
      <c r="G1352" s="1" t="s">
        <v>694</v>
      </c>
      <c r="H1352" s="16" t="s">
        <v>3984</v>
      </c>
      <c r="I1352" s="18"/>
      <c r="J1352" t="str">
        <f>IF(LEN(VLOOKUP(表1[[#This Row],[id]],数据引用!A:C,3,FALSE))&gt;0,VLOOKUP(表1[[#This Row],[id]],数据引用!A:C,3,FALSE),"")</f>
        <v>黄金鲁特琴</v>
      </c>
      <c r="K1352" t="s">
        <v>1213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352" s="5"/>
    </row>
    <row r="1353" spans="1:16" ht="14.25" customHeight="1">
      <c r="A1353">
        <v>6053</v>
      </c>
      <c r="B1353">
        <v>0</v>
      </c>
      <c r="C1353">
        <v>0</v>
      </c>
      <c r="E1353">
        <v>1</v>
      </c>
      <c r="F1353">
        <v>12</v>
      </c>
      <c r="G1353" s="1" t="s">
        <v>1058</v>
      </c>
      <c r="H1353" s="16" t="s">
        <v>3985</v>
      </c>
      <c r="I1353" s="18"/>
      <c r="J1353" t="str">
        <f>IF(LEN(VLOOKUP(表1[[#This Row],[id]],数据引用!A:C,3,FALSE))&gt;0,VLOOKUP(表1[[#This Row],[id]],数据引用!A:C,3,FALSE),"")</f>
        <v>浅色牛头怪</v>
      </c>
      <c r="K1353" t="s">
        <v>1213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353" s="5"/>
    </row>
    <row r="1354" spans="1:16" ht="14.25" customHeight="1">
      <c r="A1354">
        <v>6054</v>
      </c>
      <c r="B1354">
        <v>0</v>
      </c>
      <c r="C1354">
        <v>0</v>
      </c>
      <c r="E1354">
        <v>1</v>
      </c>
      <c r="F1354">
        <v>12</v>
      </c>
      <c r="G1354" s="1" t="s">
        <v>1059</v>
      </c>
      <c r="H1354" s="16" t="s">
        <v>3986</v>
      </c>
      <c r="I1354" s="18"/>
      <c r="J1354" t="str">
        <f>IF(LEN(VLOOKUP(表1[[#This Row],[id]],数据引用!A:C,3,FALSE))&gt;0,VLOOKUP(表1[[#This Row],[id]],数据引用!A:C,3,FALSE),"")</f>
        <v>深色牛头怪</v>
      </c>
      <c r="K1354" t="s">
        <v>1213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354" s="5"/>
    </row>
    <row r="1355" spans="1:16" ht="14.25" customHeight="1">
      <c r="A1355">
        <v>6055</v>
      </c>
      <c r="B1355">
        <v>0</v>
      </c>
      <c r="C1355">
        <v>0</v>
      </c>
      <c r="E1355">
        <v>1</v>
      </c>
      <c r="F1355">
        <v>12</v>
      </c>
      <c r="G1355" s="1" t="s">
        <v>966</v>
      </c>
      <c r="H1355" s="16" t="s">
        <v>3987</v>
      </c>
      <c r="I1355" s="18"/>
      <c r="J1355" t="str">
        <f>IF(LEN(VLOOKUP(表1[[#This Row],[id]],数据引用!A:C,3,FALSE))&gt;0,VLOOKUP(表1[[#This Row],[id]],数据引用!A:C,3,FALSE),"")</f>
        <v>鼹鼠</v>
      </c>
      <c r="K1355" t="s">
        <v>1213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355" s="5"/>
    </row>
    <row r="1356" spans="1:16" ht="14.25" customHeight="1">
      <c r="A1356">
        <v>6056</v>
      </c>
      <c r="B1356">
        <v>0</v>
      </c>
      <c r="C1356">
        <v>0</v>
      </c>
      <c r="E1356">
        <v>1</v>
      </c>
      <c r="F1356">
        <v>12</v>
      </c>
      <c r="G1356" s="1" t="s">
        <v>1060</v>
      </c>
      <c r="H1356" s="16" t="s">
        <v>3988</v>
      </c>
      <c r="I1356" s="18"/>
      <c r="J1356" t="str">
        <f>IF(LEN(VLOOKUP(表1[[#This Row],[id]],数据引用!A:C,3,FALSE))&gt;0,VLOOKUP(表1[[#This Row],[id]],数据引用!A:C,3,FALSE),"")</f>
        <v>紫色猴子</v>
      </c>
      <c r="K1356" t="s">
        <v>1213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356" s="5"/>
    </row>
    <row r="1357" spans="1:16" ht="14.25" customHeight="1">
      <c r="A1357">
        <v>6057</v>
      </c>
      <c r="B1357">
        <v>0</v>
      </c>
      <c r="C1357">
        <v>0</v>
      </c>
      <c r="E1357">
        <v>1</v>
      </c>
      <c r="F1357">
        <v>12</v>
      </c>
      <c r="G1357" s="1" t="s">
        <v>948</v>
      </c>
      <c r="H1357" s="16" t="s">
        <v>3989</v>
      </c>
      <c r="I1357" s="18"/>
      <c r="J1357" t="str">
        <f>IF(LEN(VLOOKUP(表1[[#This Row],[id]],数据引用!A:C,3,FALSE))&gt;0,VLOOKUP(表1[[#This Row],[id]],数据引用!A:C,3,FALSE),"")</f>
        <v>白猴子</v>
      </c>
      <c r="K1357" t="s">
        <v>1213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357" s="5"/>
    </row>
    <row r="1358" spans="1:16" ht="14.25" customHeight="1">
      <c r="A1358">
        <v>6058</v>
      </c>
      <c r="B1358">
        <v>0</v>
      </c>
      <c r="C1358">
        <v>0</v>
      </c>
      <c r="E1358">
        <v>1</v>
      </c>
      <c r="F1358">
        <v>12</v>
      </c>
      <c r="G1358" s="1" t="s">
        <v>1061</v>
      </c>
      <c r="H1358" s="16" t="s">
        <v>3990</v>
      </c>
      <c r="I1358" s="18"/>
      <c r="J1358" t="str">
        <f>IF(LEN(VLOOKUP(表1[[#This Row],[id]],数据引用!A:C,3,FALSE))&gt;0,VLOOKUP(表1[[#This Row],[id]],数据引用!A:C,3,FALSE),"")</f>
        <v>绿色猴子</v>
      </c>
      <c r="K1358" t="s">
        <v>1213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358" s="5"/>
    </row>
    <row r="1359" spans="1:16" ht="14.25" customHeight="1">
      <c r="A1359">
        <v>6059</v>
      </c>
      <c r="B1359">
        <v>0</v>
      </c>
      <c r="C1359">
        <v>0</v>
      </c>
      <c r="E1359">
        <v>1</v>
      </c>
      <c r="F1359">
        <v>12</v>
      </c>
      <c r="G1359" s="1" t="s">
        <v>1062</v>
      </c>
      <c r="H1359" s="16" t="s">
        <v>3991</v>
      </c>
      <c r="I1359" s="18"/>
      <c r="J1359" t="str">
        <f>IF(LEN(VLOOKUP(表1[[#This Row],[id]],数据引用!A:C,3,FALSE))&gt;0,VLOOKUP(表1[[#This Row],[id]],数据引用!A:C,3,FALSE),"")</f>
        <v>魔法猴子</v>
      </c>
      <c r="K1359" t="s">
        <v>1213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359" s="5"/>
    </row>
    <row r="1360" spans="1:16" ht="14.25" customHeight="1">
      <c r="A1360">
        <v>6060</v>
      </c>
      <c r="B1360">
        <v>0</v>
      </c>
      <c r="C1360">
        <v>0</v>
      </c>
      <c r="E1360">
        <v>1</v>
      </c>
      <c r="F1360">
        <v>12</v>
      </c>
      <c r="G1360" s="1" t="s">
        <v>1012</v>
      </c>
      <c r="H1360" s="16" t="s">
        <v>3992</v>
      </c>
      <c r="I1360" s="18"/>
      <c r="J1360" t="str">
        <f>IF(LEN(VLOOKUP(表1[[#This Row],[id]],数据引用!A:C,3,FALSE))&gt;0,VLOOKUP(表1[[#This Row],[id]],数据引用!A:C,3,FALSE),"")</f>
        <v>木乃伊母体</v>
      </c>
      <c r="K1360" t="s">
        <v>1213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360" s="5"/>
    </row>
    <row r="1361" spans="1:16" ht="14.25" customHeight="1">
      <c r="A1361">
        <v>6061</v>
      </c>
      <c r="B1361">
        <v>0</v>
      </c>
      <c r="C1361">
        <v>0</v>
      </c>
      <c r="E1361">
        <v>1</v>
      </c>
      <c r="F1361">
        <v>12</v>
      </c>
      <c r="G1361" s="1" t="s">
        <v>1063</v>
      </c>
      <c r="H1361" s="16" t="s">
        <v>3993</v>
      </c>
      <c r="I1361" s="18"/>
      <c r="J1361" t="str">
        <f>IF(LEN(VLOOKUP(表1[[#This Row],[id]],数据引用!A:C,3,FALSE))&gt;0,VLOOKUP(表1[[#This Row],[id]],数据引用!A:C,3,FALSE),"")</f>
        <v>木乃伊</v>
      </c>
      <c r="K1361" t="s">
        <v>1213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361" s="5"/>
    </row>
    <row r="1362" spans="1:16" ht="14.25" customHeight="1">
      <c r="A1362">
        <v>6062</v>
      </c>
      <c r="B1362">
        <v>0</v>
      </c>
      <c r="C1362">
        <v>0</v>
      </c>
      <c r="E1362">
        <v>1</v>
      </c>
      <c r="F1362">
        <v>12</v>
      </c>
      <c r="G1362" s="1" t="s">
        <v>1064</v>
      </c>
      <c r="H1362" s="16" t="s">
        <v>3994</v>
      </c>
      <c r="I1362" s="18"/>
      <c r="J1362" t="str">
        <f>IF(LEN(VLOOKUP(表1[[#This Row],[id]],数据引用!A:C,3,FALSE))&gt;0,VLOOKUP(表1[[#This Row],[id]],数据引用!A:C,3,FALSE),"")</f>
        <v>蓝色蘑菇怪</v>
      </c>
      <c r="K1362" t="s">
        <v>1213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362" s="5"/>
    </row>
    <row r="1363" spans="1:16" ht="14.25" customHeight="1">
      <c r="A1363">
        <v>6063</v>
      </c>
      <c r="B1363">
        <v>0</v>
      </c>
      <c r="C1363">
        <v>0</v>
      </c>
      <c r="E1363">
        <v>1</v>
      </c>
      <c r="F1363">
        <v>12</v>
      </c>
      <c r="G1363" s="1" t="s">
        <v>1065</v>
      </c>
      <c r="H1363" s="16" t="s">
        <v>3995</v>
      </c>
      <c r="I1363" s="18"/>
      <c r="J1363" t="str">
        <f>IF(LEN(VLOOKUP(表1[[#This Row],[id]],数据引用!A:C,3,FALSE))&gt;0,VLOOKUP(表1[[#This Row],[id]],数据引用!A:C,3,FALSE),"")</f>
        <v>紫色蘑菇怪</v>
      </c>
      <c r="K1363" t="s">
        <v>1213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363" s="5"/>
    </row>
    <row r="1364" spans="1:16" ht="14.25" customHeight="1">
      <c r="A1364">
        <v>6064</v>
      </c>
      <c r="B1364">
        <v>0</v>
      </c>
      <c r="C1364">
        <v>0</v>
      </c>
      <c r="E1364">
        <v>1</v>
      </c>
      <c r="F1364">
        <v>12</v>
      </c>
      <c r="G1364" s="1" t="s">
        <v>1066</v>
      </c>
      <c r="H1364" s="16" t="s">
        <v>3996</v>
      </c>
      <c r="I1364" s="18"/>
      <c r="J1364" t="str">
        <f>IF(LEN(VLOOKUP(表1[[#This Row],[id]],数据引用!A:C,3,FALSE))&gt;0,VLOOKUP(表1[[#This Row],[id]],数据引用!A:C,3,FALSE),"")</f>
        <v>爆炸蘑菇怪</v>
      </c>
      <c r="K1364" t="s">
        <v>1213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364" s="5"/>
    </row>
    <row r="1365" spans="1:16" ht="14.25" customHeight="1">
      <c r="A1365">
        <v>6065</v>
      </c>
      <c r="B1365">
        <v>0</v>
      </c>
      <c r="C1365">
        <v>0</v>
      </c>
      <c r="E1365">
        <v>1</v>
      </c>
      <c r="F1365">
        <v>12</v>
      </c>
      <c r="G1365" s="1" t="s">
        <v>688</v>
      </c>
      <c r="H1365" s="16" t="s">
        <v>3997</v>
      </c>
      <c r="I1365" s="18"/>
      <c r="J1365" t="str">
        <f>IF(LEN(VLOOKUP(表1[[#This Row],[id]],数据引用!A:C,3,FALSE))&gt;0,VLOOKUP(表1[[#This Row],[id]],数据引用!A:C,3,FALSE),"")</f>
        <v>亡灵舞者</v>
      </c>
      <c r="K1365" t="s">
        <v>1213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365" s="5"/>
    </row>
    <row r="1366" spans="1:16" ht="14.25" customHeight="1">
      <c r="A1366">
        <v>6066</v>
      </c>
      <c r="B1366">
        <v>0</v>
      </c>
      <c r="C1366">
        <v>0</v>
      </c>
      <c r="E1366">
        <v>1</v>
      </c>
      <c r="F1366">
        <v>12</v>
      </c>
      <c r="G1366" s="1" t="s">
        <v>1067</v>
      </c>
      <c r="H1366" s="16" t="s">
        <v>3998</v>
      </c>
      <c r="I1366" s="18"/>
      <c r="J1366" t="str">
        <f>IF(LEN(VLOOKUP(表1[[#This Row],[id]],数据引用!A:C,3,FALSE))&gt;0,VLOOKUP(表1[[#This Row],[id]],数据引用!A:C,3,FALSE),"")</f>
        <v>黑暗梦魇</v>
      </c>
      <c r="K1366" t="s">
        <v>1213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366" s="5"/>
    </row>
    <row r="1367" spans="1:16" ht="14.25" customHeight="1">
      <c r="A1367">
        <v>6067</v>
      </c>
      <c r="B1367">
        <v>0</v>
      </c>
      <c r="C1367">
        <v>0</v>
      </c>
      <c r="E1367">
        <v>1</v>
      </c>
      <c r="F1367">
        <v>12</v>
      </c>
      <c r="G1367" s="1" t="s">
        <v>1011</v>
      </c>
      <c r="H1367" s="16" t="s">
        <v>3999</v>
      </c>
      <c r="I1367" s="18"/>
      <c r="J1367" t="str">
        <f>IF(LEN(VLOOKUP(表1[[#This Row],[id]],数据引用!A:C,3,FALSE))&gt;0,VLOOKUP(表1[[#This Row],[id]],数据引用!A:C,3,FALSE),"")</f>
        <v>血之梦魇</v>
      </c>
      <c r="K1367" t="s">
        <v>1213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367" s="5"/>
    </row>
    <row r="1368" spans="1:16" ht="14.25" customHeight="1">
      <c r="A1368">
        <v>6068</v>
      </c>
      <c r="B1368">
        <v>0</v>
      </c>
      <c r="C1368">
        <v>0</v>
      </c>
      <c r="E1368">
        <v>1</v>
      </c>
      <c r="F1368">
        <v>12</v>
      </c>
      <c r="G1368" s="1" t="s">
        <v>1013</v>
      </c>
      <c r="H1368" s="16" t="s">
        <v>4000</v>
      </c>
      <c r="I1368" s="18"/>
      <c r="J1368" t="str">
        <f>IF(LEN(VLOOKUP(表1[[#This Row],[id]],数据引用!A:C,3,FALSE))&gt;0,VLOOKUP(表1[[#This Row],[id]],数据引用!A:C,3,FALSE),"")</f>
        <v>食人魔</v>
      </c>
      <c r="K1368" t="s">
        <v>1213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368" s="5"/>
    </row>
    <row r="1369" spans="1:16" ht="14.25" customHeight="1">
      <c r="A1369">
        <v>6069</v>
      </c>
      <c r="B1369">
        <v>0</v>
      </c>
      <c r="C1369">
        <v>0</v>
      </c>
      <c r="E1369">
        <v>1</v>
      </c>
      <c r="F1369">
        <v>12</v>
      </c>
      <c r="G1369" s="1" t="s">
        <v>1068</v>
      </c>
      <c r="H1369" s="16" t="s">
        <v>4001</v>
      </c>
      <c r="I1369" s="18"/>
      <c r="J1369" t="str">
        <f>IF(LEN(VLOOKUP(表1[[#This Row],[id]],数据引用!A:C,3,FALSE))&gt;0,VLOOKUP(表1[[#This Row],[id]],数据引用!A:C,3,FALSE),"")</f>
        <v>卒</v>
      </c>
      <c r="K1369" t="s">
        <v>1213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369" s="5"/>
    </row>
    <row r="1370" spans="1:16" ht="14.25" customHeight="1">
      <c r="A1370">
        <v>6070</v>
      </c>
      <c r="B1370">
        <v>0</v>
      </c>
      <c r="C1370">
        <v>0</v>
      </c>
      <c r="E1370">
        <v>1</v>
      </c>
      <c r="F1370">
        <v>12</v>
      </c>
      <c r="G1370" s="1" t="s">
        <v>1069</v>
      </c>
      <c r="H1370" s="16" t="s">
        <v>4002</v>
      </c>
      <c r="I1370" s="18"/>
      <c r="J1370" t="str">
        <f>IF(LEN(VLOOKUP(表1[[#This Row],[id]],数据引用!A:C,3,FALSE))&gt;0,VLOOKUP(表1[[#This Row],[id]],数据引用!A:C,3,FALSE),"")</f>
        <v>卒(红方)</v>
      </c>
      <c r="K1370" t="s">
        <v>1213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370" s="5"/>
    </row>
    <row r="1371" spans="1:16" ht="14.25" customHeight="1">
      <c r="A1371">
        <v>6071</v>
      </c>
      <c r="B1371">
        <v>0</v>
      </c>
      <c r="C1371">
        <v>0</v>
      </c>
      <c r="E1371">
        <v>1</v>
      </c>
      <c r="F1371">
        <v>12</v>
      </c>
      <c r="G1371" s="1" t="s">
        <v>1001</v>
      </c>
      <c r="H1371" s="16" t="s">
        <v>4003</v>
      </c>
      <c r="I1371" s="18"/>
      <c r="J1371" t="str">
        <f>IF(LEN(VLOOKUP(表1[[#This Row],[id]],数据引用!A:C,3,FALSE))&gt;0,VLOOKUP(表1[[#This Row],[id]],数据引用!A:C,3,FALSE),"")</f>
        <v>小精灵</v>
      </c>
      <c r="K1371" t="s">
        <v>1213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371" s="5"/>
    </row>
    <row r="1372" spans="1:16" ht="14.25" customHeight="1">
      <c r="A1372">
        <v>6072</v>
      </c>
      <c r="B1372">
        <v>0</v>
      </c>
      <c r="C1372">
        <v>0</v>
      </c>
      <c r="E1372">
        <v>1</v>
      </c>
      <c r="F1372">
        <v>12</v>
      </c>
      <c r="G1372" s="1" t="s">
        <v>1070</v>
      </c>
      <c r="H1372" s="16" t="s">
        <v>4004</v>
      </c>
      <c r="I1372" s="18"/>
      <c r="J1372" t="str">
        <f>IF(LEN(VLOOKUP(表1[[#This Row],[id]],数据引用!A:C,3,FALSE))&gt;0,VLOOKUP(表1[[#This Row],[id]],数据引用!A:C,3,FALSE),"")</f>
        <v>王后</v>
      </c>
      <c r="K1372" t="s">
        <v>1213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372" s="5"/>
    </row>
    <row r="1373" spans="1:16" ht="14.25" customHeight="1">
      <c r="A1373">
        <v>6073</v>
      </c>
      <c r="B1373">
        <v>0</v>
      </c>
      <c r="C1373">
        <v>0</v>
      </c>
      <c r="E1373">
        <v>1</v>
      </c>
      <c r="F1373">
        <v>12</v>
      </c>
      <c r="G1373" s="1" t="s">
        <v>1071</v>
      </c>
      <c r="H1373" s="16" t="s">
        <v>4005</v>
      </c>
      <c r="I1373" s="18"/>
      <c r="J1373" t="str">
        <f>IF(LEN(VLOOKUP(表1[[#This Row],[id]],数据引用!A:C,3,FALSE))&gt;0,VLOOKUP(表1[[#This Row],[id]],数据引用!A:C,3,FALSE),"")</f>
        <v>王后(红方)</v>
      </c>
      <c r="K1373" t="s">
        <v>1213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373" s="5"/>
    </row>
    <row r="1374" spans="1:16" ht="14.25" customHeight="1">
      <c r="A1374">
        <v>6074</v>
      </c>
      <c r="B1374">
        <v>0</v>
      </c>
      <c r="C1374">
        <v>0</v>
      </c>
      <c r="E1374">
        <v>1</v>
      </c>
      <c r="F1374">
        <v>12</v>
      </c>
      <c r="G1374" s="1" t="s">
        <v>1072</v>
      </c>
      <c r="H1374" s="16" t="s">
        <v>4006</v>
      </c>
      <c r="I1374" s="18"/>
      <c r="J1374" t="str">
        <f>IF(LEN(VLOOKUP(表1[[#This Row],[id]],数据引用!A:C,3,FALSE))&gt;0,VLOOKUP(表1[[#This Row],[id]],数据引用!A:C,3,FALSE),"")</f>
        <v>车</v>
      </c>
      <c r="K1374" t="s">
        <v>1213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374" s="5"/>
    </row>
    <row r="1375" spans="1:16" ht="14.25" customHeight="1">
      <c r="A1375">
        <v>6075</v>
      </c>
      <c r="B1375">
        <v>0</v>
      </c>
      <c r="C1375">
        <v>0</v>
      </c>
      <c r="E1375">
        <v>1</v>
      </c>
      <c r="F1375">
        <v>12</v>
      </c>
      <c r="G1375" s="1" t="s">
        <v>1073</v>
      </c>
      <c r="H1375" s="16" t="s">
        <v>4007</v>
      </c>
      <c r="I1375" s="18"/>
      <c r="J1375" t="str">
        <f>IF(LEN(VLOOKUP(表1[[#This Row],[id]],数据引用!A:C,3,FALSE))&gt;0,VLOOKUP(表1[[#This Row],[id]],数据引用!A:C,3,FALSE),"")</f>
        <v>车(红方)</v>
      </c>
      <c r="K1375" t="s">
        <v>1213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375" s="5"/>
    </row>
    <row r="1376" spans="1:16" ht="14.25" customHeight="1">
      <c r="A1376">
        <v>6076</v>
      </c>
      <c r="B1376">
        <v>0</v>
      </c>
      <c r="C1376">
        <v>0</v>
      </c>
      <c r="E1376">
        <v>1</v>
      </c>
      <c r="F1376">
        <v>12</v>
      </c>
      <c r="G1376" s="1" t="s">
        <v>983</v>
      </c>
      <c r="H1376" s="16" t="s">
        <v>4008</v>
      </c>
      <c r="I1376" s="18"/>
      <c r="J1376" t="str">
        <f>IF(LEN(VLOOKUP(表1[[#This Row],[id]],数据引用!A:C,3,FALSE))&gt;0,VLOOKUP(表1[[#This Row],[id]],数据引用!A:C,3,FALSE),"")</f>
        <v>石棺</v>
      </c>
      <c r="K1376" t="s">
        <v>1213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376" s="5"/>
    </row>
    <row r="1377" spans="1:16" ht="14.25" customHeight="1">
      <c r="A1377">
        <v>6077</v>
      </c>
      <c r="B1377">
        <v>0</v>
      </c>
      <c r="C1377">
        <v>0</v>
      </c>
      <c r="E1377">
        <v>1</v>
      </c>
      <c r="F1377">
        <v>12</v>
      </c>
      <c r="G1377" s="1" t="s">
        <v>1074</v>
      </c>
      <c r="H1377" s="16" t="s">
        <v>4009</v>
      </c>
      <c r="I1377" s="18"/>
      <c r="J1377" t="str">
        <f>IF(LEN(VLOOKUP(表1[[#This Row],[id]],数据引用!A:C,3,FALSE))&gt;0,VLOOKUP(表1[[#This Row],[id]],数据引用!A:C,3,FALSE),"")</f>
        <v>黄色石棺</v>
      </c>
      <c r="K1377" t="s">
        <v>1213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377" s="5"/>
    </row>
    <row r="1378" spans="1:16" ht="14.25" customHeight="1">
      <c r="A1378">
        <v>6078</v>
      </c>
      <c r="B1378">
        <v>0</v>
      </c>
      <c r="C1378">
        <v>0</v>
      </c>
      <c r="E1378">
        <v>1</v>
      </c>
      <c r="F1378">
        <v>12</v>
      </c>
      <c r="G1378" s="1" t="s">
        <v>1075</v>
      </c>
      <c r="H1378" s="16" t="s">
        <v>4010</v>
      </c>
      <c r="I1378" s="18"/>
      <c r="J1378" t="str">
        <f>IF(LEN(VLOOKUP(表1[[#This Row],[id]],数据引用!A:C,3,FALSE))&gt;0,VLOOKUP(表1[[#This Row],[id]],数据引用!A:C,3,FALSE),"")</f>
        <v>黑色石棺</v>
      </c>
      <c r="K1378" t="s">
        <v>1213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378" s="5"/>
    </row>
    <row r="1379" spans="1:16" ht="14.25" customHeight="1">
      <c r="A1379">
        <v>6079</v>
      </c>
      <c r="B1379">
        <v>0</v>
      </c>
      <c r="C1379">
        <v>0</v>
      </c>
      <c r="E1379">
        <v>1</v>
      </c>
      <c r="F1379">
        <v>12</v>
      </c>
      <c r="G1379" s="1" t="s">
        <v>1076</v>
      </c>
      <c r="H1379" s="16" t="s">
        <v>4011</v>
      </c>
      <c r="I1379" s="18"/>
      <c r="J1379" t="str">
        <f>IF(LEN(VLOOKUP(表1[[#This Row],[id]],数据引用!A:C,3,FALSE))&gt;0,VLOOKUP(表1[[#This Row],[id]],数据引用!A:C,3,FALSE),"")</f>
        <v>商店老板</v>
      </c>
      <c r="K1379" t="s">
        <v>1213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379" s="5"/>
    </row>
    <row r="1380" spans="1:16" ht="14.25" customHeight="1">
      <c r="A1380">
        <v>6080</v>
      </c>
      <c r="B1380">
        <v>0</v>
      </c>
      <c r="C1380">
        <v>0</v>
      </c>
      <c r="E1380">
        <v>1</v>
      </c>
      <c r="F1380">
        <v>12</v>
      </c>
      <c r="G1380" s="1" t="s">
        <v>1077</v>
      </c>
      <c r="H1380" s="16" t="s">
        <v>4012</v>
      </c>
      <c r="I1380" s="18"/>
      <c r="J1380" t="str">
        <f>IF(LEN(VLOOKUP(表1[[#This Row],[id]],数据引用!A:C,3,FALSE))&gt;0,VLOOKUP(表1[[#This Row],[id]],数据引用!A:C,3,FALSE),"")</f>
        <v>畸形商店老板</v>
      </c>
      <c r="K1380" t="s">
        <v>1213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380" s="5"/>
    </row>
    <row r="1381" spans="1:16" ht="14.25" customHeight="1">
      <c r="A1381">
        <v>6081</v>
      </c>
      <c r="B1381">
        <v>0</v>
      </c>
      <c r="C1381">
        <v>0</v>
      </c>
      <c r="E1381">
        <v>1</v>
      </c>
      <c r="F1381">
        <v>12</v>
      </c>
      <c r="G1381" s="1" t="s">
        <v>1078</v>
      </c>
      <c r="H1381" s="16" t="s">
        <v>4013</v>
      </c>
      <c r="I1381" s="18"/>
      <c r="J1381" t="str">
        <f>IF(LEN(VLOOKUP(表1[[#This Row],[id]],数据引用!A:C,3,FALSE))&gt;0,VLOOKUP(表1[[#This Row],[id]],数据引用!A:C,3,FALSE),"")</f>
        <v>商店老板幽灵</v>
      </c>
      <c r="K1381" t="s">
        <v>1213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381" s="5"/>
    </row>
    <row r="1382" spans="1:16" ht="14.25" customHeight="1">
      <c r="A1382">
        <v>6082</v>
      </c>
      <c r="B1382">
        <v>0</v>
      </c>
      <c r="C1382">
        <v>0</v>
      </c>
      <c r="E1382">
        <v>1</v>
      </c>
      <c r="F1382">
        <v>12</v>
      </c>
      <c r="G1382" s="1" t="s">
        <v>1079</v>
      </c>
      <c r="H1382" s="16" t="s">
        <v>4014</v>
      </c>
      <c r="I1382" s="18"/>
      <c r="J1382" t="str">
        <f>IF(LEN(VLOOKUP(表1[[#This Row],[id]],数据引用!A:C,3,FALSE))&gt;0,VLOOKUP(表1[[#This Row],[id]],数据引用!A:C,3,FALSE),"")</f>
        <v>推推怪</v>
      </c>
      <c r="K1382" t="s">
        <v>1213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382" s="5"/>
    </row>
    <row r="1383" spans="1:16" ht="14.25" customHeight="1">
      <c r="A1383">
        <v>6083</v>
      </c>
      <c r="B1383">
        <v>0</v>
      </c>
      <c r="C1383">
        <v>0</v>
      </c>
      <c r="E1383">
        <v>1</v>
      </c>
      <c r="F1383">
        <v>12</v>
      </c>
      <c r="G1383" s="1" t="s">
        <v>1080</v>
      </c>
      <c r="H1383" s="16" t="s">
        <v>4015</v>
      </c>
      <c r="I1383" s="18"/>
      <c r="J1383" t="str">
        <f>IF(LEN(VLOOKUP(表1[[#This Row],[id]],数据引用!A:C,3,FALSE))&gt;0,VLOOKUP(表1[[#This Row],[id]],数据引用!A:C,3,FALSE),"")</f>
        <v>白骷髅</v>
      </c>
      <c r="K1383" t="s">
        <v>1213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383" s="5"/>
    </row>
    <row r="1384" spans="1:16" ht="14.25" customHeight="1">
      <c r="A1384">
        <v>6084</v>
      </c>
      <c r="B1384">
        <v>0</v>
      </c>
      <c r="C1384">
        <v>0</v>
      </c>
      <c r="E1384">
        <v>1</v>
      </c>
      <c r="F1384">
        <v>12</v>
      </c>
      <c r="G1384" s="1" t="s">
        <v>942</v>
      </c>
      <c r="H1384" s="16" t="s">
        <v>4016</v>
      </c>
      <c r="I1384" s="18"/>
      <c r="J1384" t="str">
        <f>IF(LEN(VLOOKUP(表1[[#This Row],[id]],数据引用!A:C,3,FALSE))&gt;0,VLOOKUP(表1[[#This Row],[id]],数据引用!A:C,3,FALSE),"")</f>
        <v>黄骷髅</v>
      </c>
      <c r="K1384" t="s">
        <v>1213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384" s="5"/>
    </row>
    <row r="1385" spans="1:16" ht="14.25" customHeight="1">
      <c r="A1385">
        <v>6085</v>
      </c>
      <c r="B1385">
        <v>0</v>
      </c>
      <c r="C1385">
        <v>0</v>
      </c>
      <c r="E1385">
        <v>1</v>
      </c>
      <c r="F1385">
        <v>12</v>
      </c>
      <c r="G1385" s="1" t="s">
        <v>943</v>
      </c>
      <c r="H1385" s="16" t="s">
        <v>4017</v>
      </c>
      <c r="I1385" s="18"/>
      <c r="J1385" t="str">
        <f>IF(LEN(VLOOKUP(表1[[#This Row],[id]],数据引用!A:C,3,FALSE))&gt;0,VLOOKUP(表1[[#This Row],[id]],数据引用!A:C,3,FALSE),"")</f>
        <v>黑骷髅</v>
      </c>
      <c r="K1385" t="s">
        <v>1213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385" s="5"/>
    </row>
    <row r="1386" spans="1:16" ht="14.25" customHeight="1">
      <c r="A1386">
        <v>6086</v>
      </c>
      <c r="B1386">
        <v>0</v>
      </c>
      <c r="C1386">
        <v>0</v>
      </c>
      <c r="E1386">
        <v>1</v>
      </c>
      <c r="F1386">
        <v>12</v>
      </c>
      <c r="G1386" s="1" t="s">
        <v>1081</v>
      </c>
      <c r="H1386" s="16" t="s">
        <v>4018</v>
      </c>
      <c r="I1386" s="18"/>
      <c r="J1386" t="str">
        <f>IF(LEN(VLOOKUP(表1[[#This Row],[id]],数据引用!A:C,3,FALSE))&gt;0,VLOOKUP(表1[[#This Row],[id]],数据引用!A:C,3,FALSE),"")</f>
        <v>白色骷髅骑士</v>
      </c>
      <c r="K1386" t="s">
        <v>1213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386" s="5"/>
    </row>
    <row r="1387" spans="1:16" ht="14.25" customHeight="1">
      <c r="A1387">
        <v>6087</v>
      </c>
      <c r="B1387">
        <v>0</v>
      </c>
      <c r="C1387">
        <v>0</v>
      </c>
      <c r="E1387">
        <v>1</v>
      </c>
      <c r="F1387">
        <v>12</v>
      </c>
      <c r="G1387" s="1" t="s">
        <v>1082</v>
      </c>
      <c r="H1387" s="16" t="s">
        <v>4019</v>
      </c>
      <c r="I1387" s="18"/>
      <c r="J1387" t="str">
        <f>IF(LEN(VLOOKUP(表1[[#This Row],[id]],数据引用!A:C,3,FALSE))&gt;0,VLOOKUP(表1[[#This Row],[id]],数据引用!A:C,3,FALSE),"")</f>
        <v>黄色骷髅骑士</v>
      </c>
      <c r="K1387" t="s">
        <v>1213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387" s="5"/>
    </row>
    <row r="1388" spans="1:16" ht="14.25" customHeight="1">
      <c r="A1388">
        <v>6088</v>
      </c>
      <c r="B1388">
        <v>0</v>
      </c>
      <c r="C1388">
        <v>0</v>
      </c>
      <c r="E1388">
        <v>1</v>
      </c>
      <c r="F1388">
        <v>12</v>
      </c>
      <c r="G1388" s="1" t="s">
        <v>1083</v>
      </c>
      <c r="H1388" s="16" t="s">
        <v>4020</v>
      </c>
      <c r="I1388" s="18"/>
      <c r="J1388" t="str">
        <f>IF(LEN(VLOOKUP(表1[[#This Row],[id]],数据引用!A:C,3,FALSE))&gt;0,VLOOKUP(表1[[#This Row],[id]],数据引用!A:C,3,FALSE),"")</f>
        <v>黑色骷髅骑士</v>
      </c>
      <c r="K1388" t="s">
        <v>1213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388" s="5"/>
    </row>
    <row r="1389" spans="1:16" ht="14.25" customHeight="1">
      <c r="A1389">
        <v>6089</v>
      </c>
      <c r="B1389">
        <v>0</v>
      </c>
      <c r="C1389">
        <v>0</v>
      </c>
      <c r="E1389">
        <v>1</v>
      </c>
      <c r="F1389">
        <v>12</v>
      </c>
      <c r="G1389" s="1" t="s">
        <v>1084</v>
      </c>
      <c r="H1389" s="16" t="s">
        <v>4021</v>
      </c>
      <c r="I1389" s="18"/>
      <c r="J1389" t="str">
        <f>IF(LEN(VLOOKUP(表1[[#This Row],[id]],数据引用!A:C,3,FALSE))&gt;0,VLOOKUP(表1[[#This Row],[id]],数据引用!A:C,3,FALSE),"")</f>
        <v>白色骷髅法师</v>
      </c>
      <c r="K1389" t="s">
        <v>1213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389" s="5"/>
    </row>
    <row r="1390" spans="1:16" ht="14.25" customHeight="1">
      <c r="A1390">
        <v>6090</v>
      </c>
      <c r="B1390">
        <v>0</v>
      </c>
      <c r="C1390">
        <v>0</v>
      </c>
      <c r="E1390">
        <v>1</v>
      </c>
      <c r="F1390">
        <v>12</v>
      </c>
      <c r="G1390" s="1" t="s">
        <v>1085</v>
      </c>
      <c r="H1390" s="16" t="s">
        <v>4022</v>
      </c>
      <c r="I1390" s="18"/>
      <c r="J1390" t="str">
        <f>IF(LEN(VLOOKUP(表1[[#This Row],[id]],数据引用!A:C,3,FALSE))&gt;0,VLOOKUP(表1[[#This Row],[id]],数据引用!A:C,3,FALSE),"")</f>
        <v>黄色骷髅法师</v>
      </c>
      <c r="K1390" t="s">
        <v>1213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390" s="5"/>
    </row>
    <row r="1391" spans="1:16" ht="14.25" customHeight="1">
      <c r="A1391">
        <v>6091</v>
      </c>
      <c r="B1391">
        <v>0</v>
      </c>
      <c r="C1391">
        <v>0</v>
      </c>
      <c r="E1391">
        <v>1</v>
      </c>
      <c r="F1391">
        <v>12</v>
      </c>
      <c r="G1391" s="1" t="s">
        <v>1086</v>
      </c>
      <c r="H1391" s="16" t="s">
        <v>4023</v>
      </c>
      <c r="I1391" s="18"/>
      <c r="J1391" t="str">
        <f>IF(LEN(VLOOKUP(表1[[#This Row],[id]],数据引用!A:C,3,FALSE))&gt;0,VLOOKUP(表1[[#This Row],[id]],数据引用!A:C,3,FALSE),"")</f>
        <v>黑色骷髅法师</v>
      </c>
      <c r="K1391" t="s">
        <v>1213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391" s="5"/>
    </row>
    <row r="1392" spans="1:16" ht="14.25" customHeight="1">
      <c r="A1392">
        <v>6092</v>
      </c>
      <c r="B1392">
        <v>0</v>
      </c>
      <c r="C1392">
        <v>0</v>
      </c>
      <c r="E1392">
        <v>1</v>
      </c>
      <c r="F1392">
        <v>12</v>
      </c>
      <c r="G1392" s="1" t="s">
        <v>1087</v>
      </c>
      <c r="H1392" s="16" t="s">
        <v>4024</v>
      </c>
      <c r="I1392" s="18"/>
      <c r="J1392" t="str">
        <f>IF(LEN(VLOOKUP(表1[[#This Row],[id]],数据引用!A:C,3,FALSE))&gt;0,VLOOKUP(表1[[#This Row],[id]],数据引用!A:C,3,FALSE),"")</f>
        <v>哥布林警卫</v>
      </c>
      <c r="K1392" t="s">
        <v>1213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392" s="5"/>
    </row>
    <row r="1393" spans="1:16" ht="14.25" customHeight="1">
      <c r="A1393">
        <v>6093</v>
      </c>
      <c r="B1393">
        <v>0</v>
      </c>
      <c r="C1393">
        <v>0</v>
      </c>
      <c r="E1393">
        <v>1</v>
      </c>
      <c r="F1393">
        <v>12</v>
      </c>
      <c r="G1393" s="1" t="s">
        <v>938</v>
      </c>
      <c r="H1393" s="16" t="s">
        <v>4025</v>
      </c>
      <c r="I1393" s="18"/>
      <c r="J1393" t="str">
        <f>IF(LEN(VLOOKUP(表1[[#This Row],[id]],数据引用!A:C,3,FALSE))&gt;0,VLOOKUP(表1[[#This Row],[id]],数据引用!A:C,3,FALSE),"")</f>
        <v>绿史莱姆</v>
      </c>
      <c r="K1393" t="s">
        <v>1213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393" s="5"/>
    </row>
    <row r="1394" spans="1:16" ht="14.25" customHeight="1">
      <c r="A1394">
        <v>6094</v>
      </c>
      <c r="B1394">
        <v>0</v>
      </c>
      <c r="C1394">
        <v>0</v>
      </c>
      <c r="E1394">
        <v>1</v>
      </c>
      <c r="F1394">
        <v>12</v>
      </c>
      <c r="G1394" s="1" t="s">
        <v>939</v>
      </c>
      <c r="H1394" s="16" t="s">
        <v>4026</v>
      </c>
      <c r="I1394" s="18"/>
      <c r="J1394" t="str">
        <f>IF(LEN(VLOOKUP(表1[[#This Row],[id]],数据引用!A:C,3,FALSE))&gt;0,VLOOKUP(表1[[#This Row],[id]],数据引用!A:C,3,FALSE),"")</f>
        <v>蓝史莱姆</v>
      </c>
      <c r="K1394" t="s">
        <v>1213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394" s="5"/>
    </row>
    <row r="1395" spans="1:16" ht="14.25" customHeight="1">
      <c r="A1395">
        <v>6095</v>
      </c>
      <c r="B1395">
        <v>0</v>
      </c>
      <c r="C1395">
        <v>0</v>
      </c>
      <c r="E1395">
        <v>1</v>
      </c>
      <c r="F1395">
        <v>12</v>
      </c>
      <c r="G1395" s="1" t="s">
        <v>940</v>
      </c>
      <c r="H1395" s="16" t="s">
        <v>4027</v>
      </c>
      <c r="I1395" s="18"/>
      <c r="J1395" t="str">
        <f>IF(LEN(VLOOKUP(表1[[#This Row],[id]],数据引用!A:C,3,FALSE))&gt;0,VLOOKUP(表1[[#This Row],[id]],数据引用!A:C,3,FALSE),"")</f>
        <v>橙史莱姆</v>
      </c>
      <c r="K1395" t="s">
        <v>1213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395" s="5"/>
    </row>
    <row r="1396" spans="1:16" ht="14.25" customHeight="1">
      <c r="A1396">
        <v>6096</v>
      </c>
      <c r="B1396">
        <v>0</v>
      </c>
      <c r="C1396">
        <v>0</v>
      </c>
      <c r="E1396">
        <v>1</v>
      </c>
      <c r="F1396">
        <v>12</v>
      </c>
      <c r="G1396" s="1" t="s">
        <v>970</v>
      </c>
      <c r="H1396" s="16" t="s">
        <v>4028</v>
      </c>
      <c r="I1396" s="18"/>
      <c r="J1396" t="str">
        <f>IF(LEN(VLOOKUP(表1[[#This Row],[id]],数据引用!A:C,3,FALSE))&gt;0,VLOOKUP(表1[[#This Row],[id]],数据引用!A:C,3,FALSE),"")</f>
        <v>冰霜史莱姆</v>
      </c>
      <c r="K1396" t="s">
        <v>1213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396" s="5"/>
    </row>
    <row r="1397" spans="1:16" ht="14.25" customHeight="1">
      <c r="A1397">
        <v>6097</v>
      </c>
      <c r="B1397">
        <v>0</v>
      </c>
      <c r="C1397">
        <v>0</v>
      </c>
      <c r="E1397">
        <v>1</v>
      </c>
      <c r="F1397">
        <v>12</v>
      </c>
      <c r="G1397" s="1" t="s">
        <v>969</v>
      </c>
      <c r="H1397" s="16" t="s">
        <v>4029</v>
      </c>
      <c r="I1397" s="18"/>
      <c r="J1397" t="str">
        <f>IF(LEN(VLOOKUP(表1[[#This Row],[id]],数据引用!A:C,3,FALSE))&gt;0,VLOOKUP(表1[[#This Row],[id]],数据引用!A:C,3,FALSE),"")</f>
        <v>火焰史莱姆</v>
      </c>
      <c r="K1397" t="s">
        <v>1213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397" s="5"/>
    </row>
    <row r="1398" spans="1:16" ht="14.25" customHeight="1">
      <c r="A1398">
        <v>6098</v>
      </c>
      <c r="B1398">
        <v>0</v>
      </c>
      <c r="C1398">
        <v>0</v>
      </c>
      <c r="E1398">
        <v>1</v>
      </c>
      <c r="F1398">
        <v>12</v>
      </c>
      <c r="G1398" s="1" t="s">
        <v>995</v>
      </c>
      <c r="H1398" s="16" t="s">
        <v>4030</v>
      </c>
      <c r="I1398" s="18"/>
      <c r="J1398" t="str">
        <f>IF(LEN(VLOOKUP(表1[[#This Row],[id]],数据引用!A:C,3,FALSE))&gt;0,VLOOKUP(表1[[#This Row],[id]],数据引用!A:C,3,FALSE),"")</f>
        <v>蜘蛛</v>
      </c>
      <c r="K1398" t="s">
        <v>1213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398" s="5"/>
    </row>
    <row r="1399" spans="1:16" ht="14.25" customHeight="1">
      <c r="A1399">
        <v>6099</v>
      </c>
      <c r="B1399">
        <v>0</v>
      </c>
      <c r="C1399">
        <v>0</v>
      </c>
      <c r="E1399">
        <v>1</v>
      </c>
      <c r="F1399">
        <v>12</v>
      </c>
      <c r="G1399" s="1" t="s">
        <v>1088</v>
      </c>
      <c r="H1399" s="16" t="s">
        <v>4031</v>
      </c>
      <c r="I1399" s="18"/>
      <c r="J1399" t="str">
        <f>IF(LEN(VLOOKUP(表1[[#This Row],[id]],数据引用!A:C,3,FALSE))&gt;0,VLOOKUP(表1[[#This Row],[id]],数据引用!A:C,3,FALSE),"")</f>
        <v>焦油怪</v>
      </c>
      <c r="K1399" t="s">
        <v>1213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399" s="5"/>
    </row>
    <row r="1400" spans="1:16" ht="14.25" customHeight="1">
      <c r="A1400">
        <v>6100</v>
      </c>
      <c r="B1400">
        <v>0</v>
      </c>
      <c r="C1400">
        <v>0</v>
      </c>
      <c r="E1400">
        <v>1</v>
      </c>
      <c r="F1400">
        <v>12</v>
      </c>
      <c r="G1400" s="1" t="s">
        <v>1089</v>
      </c>
      <c r="H1400" s="16" t="s">
        <v>4032</v>
      </c>
      <c r="I1400" s="18"/>
      <c r="J1400" t="str">
        <f>IF(LEN(VLOOKUP(表1[[#This Row],[id]],数据引用!A:C,3,FALSE))&gt;0,VLOOKUP(表1[[#This Row],[id]],数据引用!A:C,3,FALSE),"")</f>
        <v>触手怪</v>
      </c>
      <c r="K1400" t="s">
        <v>1213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400" s="5"/>
    </row>
    <row r="1401" spans="1:16" ht="14.25" customHeight="1">
      <c r="A1401">
        <v>6101</v>
      </c>
      <c r="B1401">
        <v>0</v>
      </c>
      <c r="C1401">
        <v>0</v>
      </c>
      <c r="E1401">
        <v>1</v>
      </c>
      <c r="F1401">
        <v>12</v>
      </c>
      <c r="G1401" s="1" t="s">
        <v>952</v>
      </c>
      <c r="H1401" s="16" t="s">
        <v>4033</v>
      </c>
      <c r="I1401" s="18"/>
      <c r="J1401" t="str">
        <f>IF(LEN(VLOOKUP(表1[[#This Row],[id]],数据引用!A:C,3,FALSE))&gt;0,VLOOKUP(表1[[#This Row],[id]],数据引用!A:C,3,FALSE),"")</f>
        <v>宝箱怪</v>
      </c>
      <c r="K1401" t="s">
        <v>1213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401" s="5"/>
    </row>
    <row r="1402" spans="1:16" ht="14.25" customHeight="1">
      <c r="A1402">
        <v>6102</v>
      </c>
      <c r="B1402">
        <v>0</v>
      </c>
      <c r="C1402">
        <v>0</v>
      </c>
      <c r="E1402">
        <v>1</v>
      </c>
      <c r="F1402">
        <v>12</v>
      </c>
      <c r="G1402" s="1" t="s">
        <v>1090</v>
      </c>
      <c r="H1402" s="16" t="s">
        <v>4034</v>
      </c>
      <c r="I1402" s="18"/>
      <c r="J1402" t="str">
        <f>IF(LEN(VLOOKUP(表1[[#This Row],[id]],数据引用!A:C,3,FALSE))&gt;0,VLOOKUP(表1[[#This Row],[id]],数据引用!A:C,3,FALSE),"")</f>
        <v>锁住的宝箱怪</v>
      </c>
      <c r="K1402" t="s">
        <v>1213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402" s="5"/>
    </row>
    <row r="1403" spans="1:16" ht="14.25" customHeight="1">
      <c r="A1403">
        <v>6103</v>
      </c>
      <c r="B1403">
        <v>0</v>
      </c>
      <c r="C1403">
        <v>0</v>
      </c>
      <c r="E1403">
        <v>1</v>
      </c>
      <c r="F1403">
        <v>12</v>
      </c>
      <c r="G1403" s="1" t="s">
        <v>1091</v>
      </c>
      <c r="H1403" s="16" t="s">
        <v>4035</v>
      </c>
      <c r="I1403" s="18"/>
      <c r="J1403" t="str">
        <f>IF(LEN(VLOOKUP(表1[[#This Row],[id]],数据引用!A:C,3,FALSE))&gt;0,VLOOKUP(表1[[#This Row],[id]],数据引用!A:C,3,FALSE),"")</f>
        <v>白色宝箱怪</v>
      </c>
      <c r="K1403" t="s">
        <v>1213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403" s="5"/>
    </row>
    <row r="1404" spans="1:16" ht="14.25" customHeight="1">
      <c r="A1404">
        <v>6104</v>
      </c>
      <c r="B1404">
        <v>0</v>
      </c>
      <c r="C1404">
        <v>0</v>
      </c>
      <c r="E1404">
        <v>1</v>
      </c>
      <c r="F1404">
        <v>12</v>
      </c>
      <c r="G1404" s="1" t="s">
        <v>1092</v>
      </c>
      <c r="H1404" s="16" t="s">
        <v>4036</v>
      </c>
      <c r="I1404" s="18"/>
      <c r="J1404" t="str">
        <f>IF(LEN(VLOOKUP(表1[[#This Row],[id]],数据引用!A:C,3,FALSE))&gt;0,VLOOKUP(表1[[#This Row],[id]],数据引用!A:C,3,FALSE),"")</f>
        <v>火焰锅炉怪</v>
      </c>
      <c r="K1404" t="s">
        <v>1213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404" s="5"/>
    </row>
    <row r="1405" spans="1:16" ht="14.25" customHeight="1">
      <c r="A1405">
        <v>6105</v>
      </c>
      <c r="B1405">
        <v>0</v>
      </c>
      <c r="C1405">
        <v>0</v>
      </c>
      <c r="E1405">
        <v>1</v>
      </c>
      <c r="F1405">
        <v>12</v>
      </c>
      <c r="G1405" s="1" t="s">
        <v>1093</v>
      </c>
      <c r="H1405" s="16" t="s">
        <v>4037</v>
      </c>
      <c r="I1405" s="18"/>
      <c r="J1405" t="str">
        <f>IF(LEN(VLOOKUP(表1[[#This Row],[id]],数据引用!A:C,3,FALSE))&gt;0,VLOOKUP(表1[[#This Row],[id]],数据引用!A:C,3,FALSE),"")</f>
        <v>冰霜锅炉怪</v>
      </c>
      <c r="K1405" t="s">
        <v>1213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405" s="5"/>
    </row>
    <row r="1406" spans="1:16" ht="14.25" customHeight="1">
      <c r="A1406">
        <v>6106</v>
      </c>
      <c r="B1406">
        <v>0</v>
      </c>
      <c r="C1406">
        <v>0</v>
      </c>
      <c r="E1406">
        <v>1</v>
      </c>
      <c r="F1406">
        <v>12</v>
      </c>
      <c r="G1406" s="1" t="s">
        <v>989</v>
      </c>
      <c r="H1406" s="16" t="s">
        <v>4038</v>
      </c>
      <c r="I1406" s="18"/>
      <c r="J1406" t="str">
        <f>IF(LEN(VLOOKUP(表1[[#This Row],[id]],数据引用!A:C,3,FALSE))&gt;0,VLOOKUP(表1[[#This Row],[id]],数据引用!A:C,3,FALSE),"")</f>
        <v>术士</v>
      </c>
      <c r="K1406" t="s">
        <v>1213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406" s="5"/>
    </row>
    <row r="1407" spans="1:16" ht="14.25" customHeight="1">
      <c r="A1407">
        <v>6107</v>
      </c>
      <c r="B1407">
        <v>0</v>
      </c>
      <c r="C1407">
        <v>0</v>
      </c>
      <c r="E1407">
        <v>1</v>
      </c>
      <c r="F1407">
        <v>12</v>
      </c>
      <c r="G1407" s="1" t="s">
        <v>990</v>
      </c>
      <c r="H1407" s="16" t="s">
        <v>4039</v>
      </c>
      <c r="I1407" s="18"/>
      <c r="J1407" t="str">
        <f>IF(LEN(VLOOKUP(表1[[#This Row],[id]],数据引用!A:C,3,FALSE))&gt;0,VLOOKUP(表1[[#This Row],[id]],数据引用!A:C,3,FALSE),"")</f>
        <v>霓虹术士</v>
      </c>
      <c r="K1407" t="s">
        <v>1213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407" s="5"/>
    </row>
    <row r="1408" spans="1:16" ht="14.25" customHeight="1">
      <c r="A1408">
        <v>6108</v>
      </c>
      <c r="B1408">
        <v>0</v>
      </c>
      <c r="C1408">
        <v>0</v>
      </c>
      <c r="E1408">
        <v>1</v>
      </c>
      <c r="F1408">
        <v>12</v>
      </c>
      <c r="G1408" s="1" t="s">
        <v>967</v>
      </c>
      <c r="H1408" s="16" t="s">
        <v>4040</v>
      </c>
      <c r="I1408" s="18"/>
      <c r="J1408" t="str">
        <f>IF(LEN(VLOOKUP(表1[[#This Row],[id]],数据引用!A:C,3,FALSE))&gt;0,VLOOKUP(表1[[#This Row],[id]],数据引用!A:C,3,FALSE),"")</f>
        <v>幽灵</v>
      </c>
      <c r="K1408" t="s">
        <v>1213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408" s="5"/>
    </row>
    <row r="1409" spans="1:16" ht="14.25" customHeight="1">
      <c r="A1409">
        <v>6109</v>
      </c>
      <c r="B1409">
        <v>0</v>
      </c>
      <c r="C1409">
        <v>0</v>
      </c>
      <c r="E1409">
        <v>1</v>
      </c>
      <c r="F1409">
        <v>12</v>
      </c>
      <c r="G1409" s="1" t="s">
        <v>951</v>
      </c>
      <c r="H1409" s="16" t="s">
        <v>4041</v>
      </c>
      <c r="I1409" s="18"/>
      <c r="J1409" t="str">
        <f>IF(LEN(VLOOKUP(表1[[#This Row],[id]],数据引用!A:C,3,FALSE))&gt;0,VLOOKUP(表1[[#This Row],[id]],数据引用!A:C,3,FALSE),"")</f>
        <v>亡灵</v>
      </c>
      <c r="K1409" t="s">
        <v>1213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409" s="5"/>
    </row>
    <row r="1410" spans="1:16" ht="14.25" customHeight="1">
      <c r="A1410">
        <v>6110</v>
      </c>
      <c r="B1410">
        <v>0</v>
      </c>
      <c r="C1410">
        <v>0</v>
      </c>
      <c r="E1410">
        <v>1</v>
      </c>
      <c r="F1410">
        <v>12</v>
      </c>
      <c r="G1410" s="1" t="s">
        <v>980</v>
      </c>
      <c r="H1410" s="16" t="s">
        <v>4042</v>
      </c>
      <c r="I1410" s="18"/>
      <c r="J1410" t="str">
        <f>IF(LEN(VLOOKUP(表1[[#This Row],[id]],数据引用!A:C,3,FALSE))&gt;0,VLOOKUP(表1[[#This Row],[id]],数据引用!A:C,3,FALSE),"")</f>
        <v>冰风雪人</v>
      </c>
      <c r="K1410" t="s">
        <v>1213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410" s="5"/>
    </row>
    <row r="1411" spans="1:16" ht="14.25" customHeight="1">
      <c r="A1411">
        <v>6111</v>
      </c>
      <c r="B1411">
        <v>0</v>
      </c>
      <c r="C1411">
        <v>0</v>
      </c>
      <c r="E1411">
        <v>1</v>
      </c>
      <c r="F1411">
        <v>12</v>
      </c>
      <c r="G1411" s="1" t="s">
        <v>950</v>
      </c>
      <c r="H1411" s="16" t="s">
        <v>4043</v>
      </c>
      <c r="I1411" s="18"/>
      <c r="J1411" t="str">
        <f>IF(LEN(VLOOKUP(表1[[#This Row],[id]],数据引用!A:C,3,FALSE))&gt;0,VLOOKUP(表1[[#This Row],[id]],数据引用!A:C,3,FALSE),"")</f>
        <v>僵尸</v>
      </c>
      <c r="K1411" t="s">
        <v>1213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411" s="5"/>
    </row>
    <row r="1412" spans="1:16" ht="14.25" customHeight="1">
      <c r="A1412">
        <v>6112</v>
      </c>
      <c r="B1412">
        <v>0</v>
      </c>
      <c r="C1412">
        <v>0</v>
      </c>
      <c r="E1412">
        <v>1</v>
      </c>
      <c r="F1412">
        <v>12</v>
      </c>
      <c r="G1412" s="1" t="s">
        <v>1094</v>
      </c>
      <c r="H1412" s="15" t="s">
        <v>4044</v>
      </c>
      <c r="I1412" s="18"/>
      <c r="J1412" t="str">
        <f>IF(LEN(VLOOKUP(表1[[#This Row],[id]],数据引用!A:C,3,FALSE))&gt;0,VLOOKUP(表1[[#This Row],[id]],数据引用!A:C,3,FALSE),"")</f>
        <v/>
      </c>
      <c r="K1412" t="s">
        <v>1213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2" s="5"/>
    </row>
    <row r="1413" spans="1:16" ht="14.25" customHeight="1">
      <c r="A1413">
        <v>6113</v>
      </c>
      <c r="B1413">
        <v>0</v>
      </c>
      <c r="C1413">
        <v>0</v>
      </c>
      <c r="E1413">
        <v>1</v>
      </c>
      <c r="F1413">
        <v>12</v>
      </c>
      <c r="G1413" s="1" t="s">
        <v>1095</v>
      </c>
      <c r="H1413" s="16" t="s">
        <v>4045</v>
      </c>
      <c r="I1413" s="18"/>
      <c r="J1413" t="str">
        <f>IF(LEN(VLOOKUP(表1[[#This Row],[id]],数据引用!A:C,3,FALSE))&gt;0,VLOOKUP(表1[[#This Row],[id]],数据引用!A:C,3,FALSE),"")</f>
        <v>刺针陷阱</v>
      </c>
      <c r="K1413" t="s">
        <v>1213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413" s="5"/>
    </row>
    <row r="1414" spans="1:16" ht="14.25" customHeight="1">
      <c r="A1414">
        <v>6114</v>
      </c>
      <c r="B1414">
        <v>0</v>
      </c>
      <c r="C1414">
        <v>0</v>
      </c>
      <c r="E1414">
        <v>1</v>
      </c>
      <c r="F1414">
        <v>12</v>
      </c>
      <c r="G1414" s="1" t="s">
        <v>1096</v>
      </c>
      <c r="H1414" s="16" t="s">
        <v>4046</v>
      </c>
      <c r="I1414" s="18"/>
      <c r="J1414" t="str">
        <f>IF(LEN(VLOOKUP(表1[[#This Row],[id]],数据引用!A:C,3,FALSE))&gt;0,VLOOKUP(表1[[#This Row],[id]],数据引用!A:C,3,FALSE),"")</f>
        <v>鲜血魔法</v>
      </c>
      <c r="K1414" t="s">
        <v>1213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414" s="5"/>
    </row>
    <row r="1415" spans="1:16" ht="14.25" customHeight="1">
      <c r="A1415">
        <v>6115</v>
      </c>
      <c r="B1415">
        <v>0</v>
      </c>
      <c r="C1415">
        <v>0</v>
      </c>
      <c r="E1415">
        <v>1</v>
      </c>
      <c r="F1415">
        <v>12</v>
      </c>
      <c r="G1415" s="1" t="s">
        <v>385</v>
      </c>
      <c r="H1415" s="16" t="s">
        <v>4047</v>
      </c>
      <c r="I1415" s="18"/>
      <c r="J1415" t="str">
        <f>IF(LEN(VLOOKUP(表1[[#This Row],[id]],数据引用!A:C,3,FALSE))&gt;0,VLOOKUP(表1[[#This Row],[id]],数据引用!A:C,3,FALSE),"")</f>
        <v>血铲</v>
      </c>
      <c r="K1415" t="s">
        <v>1213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415" s="5"/>
    </row>
    <row r="1416" spans="1:16" ht="14.25" customHeight="1">
      <c r="A1416">
        <v>6116</v>
      </c>
      <c r="B1416">
        <v>0</v>
      </c>
      <c r="C1416">
        <v>0</v>
      </c>
      <c r="E1416">
        <v>1</v>
      </c>
      <c r="F1416">
        <v>12</v>
      </c>
      <c r="G1416" s="1" t="s">
        <v>314</v>
      </c>
      <c r="H1416" s="16" t="s">
        <v>4048</v>
      </c>
      <c r="I1416" s="18"/>
      <c r="J1416" t="str">
        <f>IF(LEN(VLOOKUP(表1[[#This Row],[id]],数据引用!A:C,3,FALSE))&gt;0,VLOOKUP(表1[[#This Row],[id]],数据引用!A:C,3,FALSE),"")</f>
        <v>鲜血之鼓</v>
      </c>
      <c r="K1416" t="s">
        <v>1213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416" s="5"/>
    </row>
    <row r="1417" spans="1:16" ht="14.25" customHeight="1">
      <c r="A1417">
        <v>6117</v>
      </c>
      <c r="B1417">
        <v>0</v>
      </c>
      <c r="C1417">
        <v>0</v>
      </c>
      <c r="E1417">
        <v>1</v>
      </c>
      <c r="F1417">
        <v>12</v>
      </c>
      <c r="G1417" s="1" t="s">
        <v>1097</v>
      </c>
      <c r="H1417" s="16" t="s">
        <v>4049</v>
      </c>
      <c r="I1417" s="18"/>
      <c r="J1417" t="str">
        <f>IF(LEN(VLOOKUP(表1[[#This Row],[id]],数据引用!A:C,3,FALSE))&gt;0,VLOOKUP(表1[[#This Row],[id]],数据引用!A:C,3,FALSE),"")</f>
        <v>血债</v>
      </c>
      <c r="K1417" t="s">
        <v>1213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417" s="5"/>
    </row>
    <row r="1418" spans="1:16" ht="14.25" customHeight="1">
      <c r="A1418">
        <v>6118</v>
      </c>
      <c r="B1418">
        <v>0</v>
      </c>
      <c r="C1418">
        <v>0</v>
      </c>
      <c r="E1418">
        <v>1</v>
      </c>
      <c r="F1418">
        <v>12</v>
      </c>
      <c r="G1418" s="1" t="s">
        <v>303</v>
      </c>
      <c r="H1418" s="16" t="s">
        <v>4050</v>
      </c>
      <c r="I1418" s="18"/>
      <c r="J1418" t="str">
        <f>IF(LEN(VLOOKUP(表1[[#This Row],[id]],数据引用!A:C,3,FALSE))&gt;0,VLOOKUP(表1[[#This Row],[id]],数据引用!A:C,3,FALSE),"")</f>
        <v>痛苦之靴</v>
      </c>
      <c r="K1418" t="s">
        <v>1213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418" s="5"/>
    </row>
    <row r="1419" spans="1:16" ht="14.25" customHeight="1">
      <c r="A1419">
        <v>6119</v>
      </c>
      <c r="B1419">
        <v>0</v>
      </c>
      <c r="C1419">
        <v>0</v>
      </c>
      <c r="E1419">
        <v>1</v>
      </c>
      <c r="F1419">
        <v>12</v>
      </c>
      <c r="G1419" s="1" t="s">
        <v>1098</v>
      </c>
      <c r="H1419" s="16" t="s">
        <v>4051</v>
      </c>
      <c r="I1419" s="18"/>
      <c r="J1419" t="str">
        <f>IF(LEN(VLOOKUP(表1[[#This Row],[id]],数据引用!A:C,3,FALSE))&gt;0,VLOOKUP(表1[[#This Row],[id]],数据引用!A:C,3,FALSE),"")</f>
        <v>荆棘之冠</v>
      </c>
      <c r="K1419" t="s">
        <v>1213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419" s="5"/>
    </row>
    <row r="1420" spans="1:16" ht="14.25" customHeight="1">
      <c r="A1420">
        <v>6120</v>
      </c>
      <c r="B1420">
        <v>0</v>
      </c>
      <c r="C1420">
        <v>0</v>
      </c>
      <c r="E1420">
        <v>1</v>
      </c>
      <c r="F1420">
        <v>12</v>
      </c>
      <c r="G1420" s="1" t="s">
        <v>1099</v>
      </c>
      <c r="H1420" s="16" t="s">
        <v>4052</v>
      </c>
      <c r="I1420" s="18"/>
      <c r="J1420" t="str">
        <f>IF(LEN(VLOOKUP(表1[[#This Row],[id]],数据引用!A:C,3,FALSE))&gt;0,VLOOKUP(表1[[#This Row],[id]],数据引用!A:C,3,FALSE),"")</f>
        <v>胆小鬼</v>
      </c>
      <c r="K1420" t="s">
        <v>1213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font-size:12;"&gt;胆小鬼&lt;/text&gt;&lt;text transform="matrix(1 0 0 1 0 10.3205)" style="fill:#FFFFFF; font-family:'FZXS12--GB1-0'; font-size:12;"&gt;胆小鬼&lt;/text&gt;&lt;/svg&gt;</v>
      </c>
      <c r="P1420" s="5"/>
    </row>
    <row r="1421" spans="1:16" ht="14.25" customHeight="1">
      <c r="A1421">
        <v>6121</v>
      </c>
      <c r="B1421">
        <v>0</v>
      </c>
      <c r="C1421">
        <v>0</v>
      </c>
      <c r="E1421">
        <v>1</v>
      </c>
      <c r="F1421">
        <v>12</v>
      </c>
      <c r="G1421" s="1" t="s">
        <v>1100</v>
      </c>
      <c r="H1421" s="16" t="s">
        <v>4053</v>
      </c>
      <c r="I1421" s="18"/>
      <c r="J1421" t="str">
        <f>IF(LEN(VLOOKUP(表1[[#This Row],[id]],数据引用!A:C,3,FALSE))&gt;0,VLOOKUP(表1[[#This Row],[id]],数据引用!A:C,3,FALSE),"")</f>
        <v>贪婪</v>
      </c>
      <c r="K1421" t="s">
        <v>1213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421" s="5"/>
    </row>
    <row r="1422" spans="1:16" ht="14.25" customHeight="1">
      <c r="A1422">
        <v>6122</v>
      </c>
      <c r="B1422">
        <v>0</v>
      </c>
      <c r="C1422">
        <v>0</v>
      </c>
      <c r="E1422">
        <v>1</v>
      </c>
      <c r="F1422">
        <v>12</v>
      </c>
      <c r="G1422" s="1" t="s">
        <v>1101</v>
      </c>
      <c r="H1422" s="16" t="s">
        <v>4054</v>
      </c>
      <c r="I1422" s="18"/>
      <c r="J1422" t="str">
        <f>IF(LEN(VLOOKUP(表1[[#This Row],[id]],数据引用!A:C,3,FALSE))&gt;0,VLOOKUP(表1[[#This Row],[id]],数据引用!A:C,3,FALSE),"")</f>
        <v>热煤</v>
      </c>
      <c r="K1422" t="s">
        <v>1213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422" s="5"/>
    </row>
    <row r="1423" spans="1:16" ht="14.25" customHeight="1">
      <c r="A1423">
        <v>6123</v>
      </c>
      <c r="B1423">
        <v>0</v>
      </c>
      <c r="C1423">
        <v>0</v>
      </c>
      <c r="E1423">
        <v>1</v>
      </c>
      <c r="F1423">
        <v>12</v>
      </c>
      <c r="G1423" s="1" t="s">
        <v>1102</v>
      </c>
      <c r="H1423" s="16" t="s">
        <v>4055</v>
      </c>
      <c r="I1423" s="18"/>
      <c r="J1423" t="str">
        <f>IF(LEN(VLOOKUP(表1[[#This Row],[id]],数据引用!A:C,3,FALSE))&gt;0,VLOOKUP(表1[[#This Row],[id]],数据引用!A:C,3,FALSE),"")</f>
        <v>熔岩</v>
      </c>
      <c r="K1423" t="s">
        <v>1213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423" s="5"/>
    </row>
    <row r="1424" spans="1:16" ht="14.25" customHeight="1">
      <c r="A1424">
        <v>6124</v>
      </c>
      <c r="B1424">
        <v>0</v>
      </c>
      <c r="C1424">
        <v>0</v>
      </c>
      <c r="E1424">
        <v>1</v>
      </c>
      <c r="F1424">
        <v>12</v>
      </c>
      <c r="G1424" s="1" t="s">
        <v>1103</v>
      </c>
      <c r="H1424" s="16" t="s">
        <v>4056</v>
      </c>
      <c r="I1424" s="18"/>
      <c r="J1424" t="str">
        <f>IF(LEN(VLOOKUP(表1[[#This Row],[id]],数据引用!A:C,3,FALSE))&gt;0,VLOOKUP(表1[[#This Row],[id]],数据引用!A:C,3,FALSE),"")</f>
        <v>Dorian的诅咒</v>
      </c>
      <c r="K1424" t="s">
        <v>1213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424" s="5"/>
    </row>
    <row r="1425" spans="1:16" ht="14.25" customHeight="1">
      <c r="A1425">
        <v>6125</v>
      </c>
      <c r="B1425">
        <v>0</v>
      </c>
      <c r="C1425">
        <v>0</v>
      </c>
      <c r="E1425">
        <v>1</v>
      </c>
      <c r="F1425">
        <v>12</v>
      </c>
      <c r="G1425" s="1" t="s">
        <v>1104</v>
      </c>
      <c r="H1425" s="16" t="s">
        <v>4057</v>
      </c>
      <c r="I1425" s="18"/>
      <c r="J1425" t="str">
        <f>IF(LEN(VLOOKUP(表1[[#This Row],[id]],数据引用!A:C,3,FALSE))&gt;0,VLOOKUP(表1[[#This Row],[id]],数据引用!A:C,3,FALSE),"")</f>
        <v>推推怪</v>
      </c>
      <c r="K1425" t="s">
        <v>1213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425" s="5"/>
    </row>
    <row r="1426" spans="1:16" ht="14.25" customHeight="1">
      <c r="A1426">
        <v>6126</v>
      </c>
      <c r="B1426">
        <v>0</v>
      </c>
      <c r="C1426">
        <v>0</v>
      </c>
      <c r="E1426">
        <v>1</v>
      </c>
      <c r="F1426">
        <v>12</v>
      </c>
      <c r="G1426" s="1" t="s">
        <v>1105</v>
      </c>
      <c r="H1426" s="16" t="s">
        <v>4058</v>
      </c>
      <c r="I1426" s="18"/>
      <c r="J1426" t="str">
        <f>IF(LEN(VLOOKUP(表1[[#This Row],[id]],数据引用!A:C,3,FALSE))&gt;0,VLOOKUP(表1[[#This Row],[id]],数据引用!A:C,3,FALSE),"")</f>
        <v>水晶砖块</v>
      </c>
      <c r="K1426" t="s">
        <v>1213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426" s="5"/>
    </row>
    <row r="1427" spans="1:16" ht="14.25" customHeight="1">
      <c r="A1427">
        <v>6127</v>
      </c>
      <c r="B1427">
        <v>0</v>
      </c>
      <c r="C1427">
        <v>0</v>
      </c>
      <c r="E1427">
        <v>1</v>
      </c>
      <c r="F1427">
        <v>12</v>
      </c>
      <c r="G1427" s="1" t="s">
        <v>212</v>
      </c>
      <c r="H1427" s="16" t="s">
        <v>4059</v>
      </c>
      <c r="I1427" s="18"/>
      <c r="J1427" t="str">
        <f>IF(LEN(VLOOKUP(表1[[#This Row],[id]],数据引用!A:C,3,FALSE))&gt;0,VLOOKUP(表1[[#This Row],[id]],数据引用!A:C,3,FALSE),"")</f>
        <v>步调圣陵</v>
      </c>
      <c r="K1427" t="s">
        <v>1213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427" s="5"/>
    </row>
    <row r="1428" spans="1:16" ht="14.25" customHeight="1">
      <c r="A1428">
        <v>6128</v>
      </c>
      <c r="B1428">
        <v>0</v>
      </c>
      <c r="C1428">
        <v>0</v>
      </c>
      <c r="E1428">
        <v>1</v>
      </c>
      <c r="F1428">
        <v>12</v>
      </c>
      <c r="G1428" s="1" t="s">
        <v>210</v>
      </c>
      <c r="H1428" s="16" t="s">
        <v>4060</v>
      </c>
      <c r="I1428" s="18"/>
      <c r="J1428" t="str">
        <f>IF(LEN(VLOOKUP(表1[[#This Row],[id]],数据引用!A:C,3,FALSE))&gt;0,VLOOKUP(表1[[#This Row],[id]],数据引用!A:C,3,FALSE),"")</f>
        <v>无悔圣陵</v>
      </c>
      <c r="K1428" t="s">
        <v>1213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428" s="5"/>
    </row>
    <row r="1429" spans="1:16" ht="14.25" customHeight="1">
      <c r="A1429">
        <v>6129</v>
      </c>
      <c r="B1429">
        <v>0</v>
      </c>
      <c r="C1429">
        <v>0</v>
      </c>
      <c r="E1429">
        <v>1</v>
      </c>
      <c r="F1429">
        <v>12</v>
      </c>
      <c r="G1429" s="1" t="s">
        <v>206</v>
      </c>
      <c r="H1429" s="16" t="s">
        <v>4061</v>
      </c>
      <c r="I1429" s="18"/>
      <c r="J1429" t="str">
        <f>IF(LEN(VLOOKUP(表1[[#This Row],[id]],数据引用!A:C,3,FALSE))&gt;0,VLOOKUP(表1[[#This Row],[id]],数据引用!A:C,3,FALSE),"")</f>
        <v>冒险圣陵</v>
      </c>
      <c r="K1429" t="s">
        <v>1213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429" s="5"/>
    </row>
    <row r="1430" spans="1:16" ht="14.25" customHeight="1">
      <c r="A1430">
        <v>6130</v>
      </c>
      <c r="B1430">
        <v>0</v>
      </c>
      <c r="C1430">
        <v>0</v>
      </c>
      <c r="E1430">
        <v>1</v>
      </c>
      <c r="F1430">
        <v>12</v>
      </c>
      <c r="G1430" s="1" t="s">
        <v>1106</v>
      </c>
      <c r="H1430" s="16" t="s">
        <v>4062</v>
      </c>
      <c r="I1430" s="18"/>
      <c r="J1430" t="str">
        <f>IF(LEN(VLOOKUP(表1[[#This Row],[id]],数据引用!A:C,3,FALSE))&gt;0,VLOOKUP(表1[[#This Row],[id]],数据引用!A:C,3,FALSE),"")</f>
        <v>陷阱墙</v>
      </c>
      <c r="K1430" t="s">
        <v>1213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430" s="5"/>
    </row>
    <row r="1431" spans="1:16" ht="14.25" customHeight="1">
      <c r="A1431">
        <v>6131</v>
      </c>
      <c r="B1431">
        <v>0</v>
      </c>
      <c r="C1431">
        <v>0</v>
      </c>
      <c r="E1431">
        <v>1</v>
      </c>
      <c r="F1431">
        <v>12</v>
      </c>
      <c r="G1431" s="1" t="s">
        <v>265</v>
      </c>
      <c r="H1431" s="16" t="s">
        <v>4063</v>
      </c>
      <c r="I1431" s="18"/>
      <c r="J1431" t="str">
        <f>IF(LEN(VLOOKUP(表1[[#This Row],[id]],数据引用!A:C,3,FALSE))&gt;0,VLOOKUP(表1[[#This Row],[id]],数据引用!A:C,3,FALSE),"")</f>
        <v>炸弹</v>
      </c>
      <c r="K1431" t="s">
        <v>1213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431" s="5"/>
    </row>
    <row r="1432" spans="1:16" ht="14.25" customHeight="1">
      <c r="A1432">
        <v>6132</v>
      </c>
      <c r="B1432">
        <v>0</v>
      </c>
      <c r="C1432">
        <v>0</v>
      </c>
      <c r="E1432">
        <v>1</v>
      </c>
      <c r="F1432">
        <v>12</v>
      </c>
      <c r="G1432" s="1" t="s">
        <v>1107</v>
      </c>
      <c r="H1432" s="15" t="s">
        <v>4064</v>
      </c>
      <c r="I1432" s="18"/>
      <c r="J1432" t="str">
        <f>IF(LEN(VLOOKUP(表1[[#This Row],[id]],数据引用!A:C,3,FALSE))&gt;0,VLOOKUP(表1[[#This Row],[id]],数据引用!A:C,3,FALSE),"")</f>
        <v/>
      </c>
      <c r="K1432" t="s">
        <v>1213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2" s="5"/>
    </row>
    <row r="1433" spans="1:16" ht="14.25" customHeight="1">
      <c r="A1433">
        <v>6133</v>
      </c>
      <c r="B1433">
        <v>0</v>
      </c>
      <c r="C1433">
        <v>0</v>
      </c>
      <c r="E1433">
        <v>1</v>
      </c>
      <c r="F1433">
        <v>12</v>
      </c>
      <c r="G1433" s="1" t="s">
        <v>1108</v>
      </c>
      <c r="H1433" s="16" t="s">
        <v>4065</v>
      </c>
      <c r="I1433" s="18"/>
      <c r="J1433" t="str">
        <f>IF(LEN(VLOOKUP(表1[[#This Row],[id]],数据引用!A:C,3,FALSE))&gt;0,VLOOKUP(表1[[#This Row],[id]],数据引用!A:C,3,FALSE),"")</f>
        <v>灰色推推怪</v>
      </c>
      <c r="K1433" t="s">
        <v>1213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433" s="5"/>
    </row>
    <row r="1434" spans="1:16" ht="14.25" customHeight="1">
      <c r="A1434">
        <v>6134</v>
      </c>
      <c r="B1434">
        <v>0</v>
      </c>
      <c r="C1434">
        <v>0</v>
      </c>
      <c r="E1434">
        <v>1</v>
      </c>
      <c r="F1434">
        <v>12</v>
      </c>
      <c r="G1434" s="1" t="s">
        <v>691</v>
      </c>
      <c r="H1434" s="16" t="s">
        <v>4066</v>
      </c>
      <c r="I1434" s="18"/>
      <c r="J1434" t="str">
        <f>IF(LEN(VLOOKUP(表1[[#This Row],[id]],数据引用!A:C,3,FALSE))&gt;0,VLOOKUP(表1[[#This Row],[id]],数据引用!A:C,3,FALSE),"")</f>
        <v>深蓝象棋</v>
      </c>
      <c r="K1434" t="s">
        <v>1213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434" s="5"/>
    </row>
    <row r="1435" spans="1:16" ht="14.25" customHeight="1">
      <c r="A1435">
        <v>6135</v>
      </c>
      <c r="B1435">
        <v>0</v>
      </c>
      <c r="C1435">
        <v>0</v>
      </c>
      <c r="E1435">
        <v>1</v>
      </c>
      <c r="F1435">
        <v>12</v>
      </c>
      <c r="G1435" s="1" t="s">
        <v>261</v>
      </c>
      <c r="H1435" s="16" t="s">
        <v>4067</v>
      </c>
      <c r="I1435" s="18"/>
      <c r="J1435" t="str">
        <f>IF(LEN(VLOOKUP(表1[[#This Row],[id]],数据引用!A:C,3,FALSE))&gt;0,VLOOKUP(表1[[#This Row],[id]],数据引用!A:C,3,FALSE),"")</f>
        <v>火球术</v>
      </c>
      <c r="K1435" t="s">
        <v>1213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435" s="5"/>
    </row>
    <row r="1436" spans="1:16" ht="14.25" customHeight="1">
      <c r="A1436">
        <v>5000</v>
      </c>
      <c r="B1436">
        <v>0</v>
      </c>
      <c r="C1436">
        <v>0</v>
      </c>
      <c r="E1436" t="s">
        <v>2570</v>
      </c>
      <c r="F1436">
        <v>6</v>
      </c>
      <c r="G1436" s="8" t="s">
        <v>852</v>
      </c>
      <c r="H1436" s="15" t="s">
        <v>4068</v>
      </c>
      <c r="I1436" s="15" t="s">
        <v>4532</v>
      </c>
      <c r="J1436" t="str">
        <f>IF(LEN(VLOOKUP(表1[[#This Row],[id]],数据引用!A:C,3,FALSE))&gt;0,VLOOKUP(表1[[#This Row],[id]],数据引用!A:C,3,FALSE),"")</f>
        <v/>
      </c>
      <c r="K1436" t="s">
        <v>1214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6" s="5" t="s">
        <v>1282</v>
      </c>
    </row>
    <row r="1437" spans="1:16" ht="14.25" customHeight="1">
      <c r="A1437">
        <v>5001</v>
      </c>
      <c r="B1437">
        <v>0</v>
      </c>
      <c r="C1437">
        <v>0</v>
      </c>
      <c r="E1437" t="s">
        <v>2570</v>
      </c>
      <c r="F1437">
        <v>6</v>
      </c>
      <c r="G1437" s="8" t="s">
        <v>1109</v>
      </c>
      <c r="H1437" s="15" t="s">
        <v>4069</v>
      </c>
      <c r="I1437" s="15" t="s">
        <v>4533</v>
      </c>
      <c r="J1437" t="str">
        <f>IF(LEN(VLOOKUP(表1[[#This Row],[id]],数据引用!A:C,3,FALSE))&gt;0,VLOOKUP(表1[[#This Row],[id]],数据引用!A:C,3,FALSE),"")</f>
        <v/>
      </c>
      <c r="K1437" t="s">
        <v>1214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7" s="5" t="s">
        <v>1282</v>
      </c>
    </row>
    <row r="1438" spans="1:16" ht="14.25" customHeight="1">
      <c r="A1438">
        <v>5002</v>
      </c>
      <c r="B1438">
        <v>0</v>
      </c>
      <c r="C1438">
        <v>0</v>
      </c>
      <c r="E1438" t="s">
        <v>2570</v>
      </c>
      <c r="F1438">
        <v>6</v>
      </c>
      <c r="G1438" s="8" t="s">
        <v>1110</v>
      </c>
      <c r="H1438" s="15" t="s">
        <v>4070</v>
      </c>
      <c r="I1438" s="15" t="s">
        <v>4534</v>
      </c>
      <c r="J1438" t="str">
        <f>IF(LEN(VLOOKUP(表1[[#This Row],[id]],数据引用!A:C,3,FALSE))&gt;0,VLOOKUP(表1[[#This Row],[id]],数据引用!A:C,3,FALSE),"")</f>
        <v/>
      </c>
      <c r="K1438" t="s">
        <v>1214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8" s="5" t="s">
        <v>1282</v>
      </c>
    </row>
    <row r="1439" spans="1:16" ht="14.25" customHeight="1">
      <c r="A1439">
        <v>5003</v>
      </c>
      <c r="B1439">
        <v>0</v>
      </c>
      <c r="C1439">
        <v>0</v>
      </c>
      <c r="E1439" t="s">
        <v>2570</v>
      </c>
      <c r="F1439">
        <v>6</v>
      </c>
      <c r="G1439" s="8" t="s">
        <v>1111</v>
      </c>
      <c r="H1439" s="15" t="s">
        <v>4071</v>
      </c>
      <c r="I1439" s="15" t="s">
        <v>4535</v>
      </c>
      <c r="J1439" t="str">
        <f>IF(LEN(VLOOKUP(表1[[#This Row],[id]],数据引用!A:C,3,FALSE))&gt;0,VLOOKUP(表1[[#This Row],[id]],数据引用!A:C,3,FALSE),"")</f>
        <v/>
      </c>
      <c r="K1439" t="s">
        <v>1214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9" s="5" t="s">
        <v>1282</v>
      </c>
    </row>
    <row r="1440" spans="1:16" ht="14.25" customHeight="1">
      <c r="A1440">
        <v>5004</v>
      </c>
      <c r="B1440">
        <v>0</v>
      </c>
      <c r="C1440">
        <v>0</v>
      </c>
      <c r="E1440" t="s">
        <v>2570</v>
      </c>
      <c r="F1440">
        <v>6</v>
      </c>
      <c r="G1440" s="8" t="s">
        <v>1112</v>
      </c>
      <c r="H1440" s="15" t="s">
        <v>4072</v>
      </c>
      <c r="I1440" s="15" t="s">
        <v>4536</v>
      </c>
      <c r="J1440" t="str">
        <f>IF(LEN(VLOOKUP(表1[[#This Row],[id]],数据引用!A:C,3,FALSE))&gt;0,VLOOKUP(表1[[#This Row],[id]],数据引用!A:C,3,FALSE),"")</f>
        <v/>
      </c>
      <c r="K1440" t="s">
        <v>1214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0" s="5" t="s">
        <v>1282</v>
      </c>
    </row>
    <row r="1441" spans="1:16" ht="14.25" customHeight="1">
      <c r="A1441">
        <v>5005</v>
      </c>
      <c r="B1441">
        <v>0</v>
      </c>
      <c r="C1441">
        <v>0</v>
      </c>
      <c r="E1441" t="s">
        <v>2570</v>
      </c>
      <c r="F1441">
        <v>6</v>
      </c>
      <c r="G1441" s="8" t="s">
        <v>1113</v>
      </c>
      <c r="H1441" s="15" t="s">
        <v>4073</v>
      </c>
      <c r="I1441" s="15" t="s">
        <v>4537</v>
      </c>
      <c r="J1441" t="str">
        <f>IF(LEN(VLOOKUP(表1[[#This Row],[id]],数据引用!A:C,3,FALSE))&gt;0,VLOOKUP(表1[[#This Row],[id]],数据引用!A:C,3,FALSE),"")</f>
        <v/>
      </c>
      <c r="K1441" t="s">
        <v>1214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1" s="5" t="s">
        <v>1282</v>
      </c>
    </row>
    <row r="1442" spans="1:16" ht="14.25" customHeight="1">
      <c r="A1442">
        <v>5006</v>
      </c>
      <c r="B1442">
        <v>0</v>
      </c>
      <c r="C1442">
        <v>0</v>
      </c>
      <c r="E1442" t="s">
        <v>2570</v>
      </c>
      <c r="F1442">
        <v>6</v>
      </c>
      <c r="G1442" s="8" t="s">
        <v>1114</v>
      </c>
      <c r="H1442" s="15" t="s">
        <v>4074</v>
      </c>
      <c r="I1442" s="15" t="s">
        <v>4538</v>
      </c>
      <c r="J1442" t="str">
        <f>IF(LEN(VLOOKUP(表1[[#This Row],[id]],数据引用!A:C,3,FALSE))&gt;0,VLOOKUP(表1[[#This Row],[id]],数据引用!A:C,3,FALSE),"")</f>
        <v/>
      </c>
      <c r="K1442" t="s">
        <v>1214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2" s="5" t="s">
        <v>1282</v>
      </c>
    </row>
    <row r="1443" spans="1:16" ht="14.25" customHeight="1">
      <c r="A1443">
        <v>5007</v>
      </c>
      <c r="B1443">
        <v>0</v>
      </c>
      <c r="C1443">
        <v>0</v>
      </c>
      <c r="E1443" t="s">
        <v>2570</v>
      </c>
      <c r="F1443">
        <v>6</v>
      </c>
      <c r="G1443" s="8" t="s">
        <v>1115</v>
      </c>
      <c r="H1443" s="15" t="s">
        <v>4075</v>
      </c>
      <c r="I1443" s="15" t="s">
        <v>4539</v>
      </c>
      <c r="J1443" t="str">
        <f>IF(LEN(VLOOKUP(表1[[#This Row],[id]],数据引用!A:C,3,FALSE))&gt;0,VLOOKUP(表1[[#This Row],[id]],数据引用!A:C,3,FALSE),"")</f>
        <v/>
      </c>
      <c r="K1443" t="s">
        <v>1214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3" s="5" t="s">
        <v>1282</v>
      </c>
    </row>
    <row r="1444" spans="1:16" ht="14.25" customHeight="1">
      <c r="A1444">
        <v>5008</v>
      </c>
      <c r="B1444">
        <v>0</v>
      </c>
      <c r="C1444">
        <v>0</v>
      </c>
      <c r="E1444" t="s">
        <v>2570</v>
      </c>
      <c r="F1444">
        <v>6</v>
      </c>
      <c r="G1444" s="8" t="s">
        <v>1116</v>
      </c>
      <c r="H1444" s="15" t="s">
        <v>4076</v>
      </c>
      <c r="I1444" s="15" t="s">
        <v>4540</v>
      </c>
      <c r="J1444" t="str">
        <f>IF(LEN(VLOOKUP(表1[[#This Row],[id]],数据引用!A:C,3,FALSE))&gt;0,VLOOKUP(表1[[#This Row],[id]],数据引用!A:C,3,FALSE),"")</f>
        <v/>
      </c>
      <c r="K1444" t="s">
        <v>1214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4" s="5" t="s">
        <v>1282</v>
      </c>
    </row>
    <row r="1445" spans="1:16" ht="14.25" customHeight="1">
      <c r="A1445">
        <v>5009</v>
      </c>
      <c r="B1445">
        <v>0</v>
      </c>
      <c r="C1445">
        <v>0</v>
      </c>
      <c r="E1445" t="s">
        <v>2570</v>
      </c>
      <c r="F1445">
        <v>6</v>
      </c>
      <c r="G1445" s="8" t="s">
        <v>1117</v>
      </c>
      <c r="H1445" s="15" t="s">
        <v>4077</v>
      </c>
      <c r="I1445" s="15" t="s">
        <v>4541</v>
      </c>
      <c r="J1445" t="str">
        <f>IF(LEN(VLOOKUP(表1[[#This Row],[id]],数据引用!A:C,3,FALSE))&gt;0,VLOOKUP(表1[[#This Row],[id]],数据引用!A:C,3,FALSE),"")</f>
        <v/>
      </c>
      <c r="K1445" t="s">
        <v>1214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5" s="5" t="s">
        <v>1282</v>
      </c>
    </row>
    <row r="1446" spans="1:16" ht="14.25" customHeight="1">
      <c r="A1446">
        <v>5010</v>
      </c>
      <c r="B1446">
        <v>0</v>
      </c>
      <c r="C1446">
        <v>0</v>
      </c>
      <c r="E1446" t="s">
        <v>2570</v>
      </c>
      <c r="F1446">
        <v>6</v>
      </c>
      <c r="G1446" s="8" t="s">
        <v>1118</v>
      </c>
      <c r="H1446" s="15" t="s">
        <v>4078</v>
      </c>
      <c r="I1446" s="15" t="s">
        <v>4542</v>
      </c>
      <c r="J1446" t="str">
        <f>IF(LEN(VLOOKUP(表1[[#This Row],[id]],数据引用!A:C,3,FALSE))&gt;0,VLOOKUP(表1[[#This Row],[id]],数据引用!A:C,3,FALSE),"")</f>
        <v/>
      </c>
      <c r="K1446" t="s">
        <v>1214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6" s="5" t="s">
        <v>1282</v>
      </c>
    </row>
    <row r="1447" spans="1:16" ht="14.25" customHeight="1">
      <c r="A1447">
        <v>5011</v>
      </c>
      <c r="B1447">
        <v>0</v>
      </c>
      <c r="C1447">
        <v>0</v>
      </c>
      <c r="E1447" t="s">
        <v>2570</v>
      </c>
      <c r="F1447">
        <v>6</v>
      </c>
      <c r="G1447" s="8" t="s">
        <v>1119</v>
      </c>
      <c r="H1447" s="15" t="s">
        <v>4079</v>
      </c>
      <c r="I1447" s="15" t="s">
        <v>4543</v>
      </c>
      <c r="J1447" t="str">
        <f>IF(LEN(VLOOKUP(表1[[#This Row],[id]],数据引用!A:C,3,FALSE))&gt;0,VLOOKUP(表1[[#This Row],[id]],数据引用!A:C,3,FALSE),"")</f>
        <v/>
      </c>
      <c r="K1447" t="s">
        <v>1214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7" s="5" t="s">
        <v>1282</v>
      </c>
    </row>
    <row r="1448" spans="1:16" ht="14.25" customHeight="1">
      <c r="A1448">
        <v>5012</v>
      </c>
      <c r="B1448">
        <v>0</v>
      </c>
      <c r="C1448">
        <v>0</v>
      </c>
      <c r="E1448" t="s">
        <v>2570</v>
      </c>
      <c r="F1448">
        <v>6</v>
      </c>
      <c r="G1448" s="8" t="s">
        <v>1120</v>
      </c>
      <c r="H1448" s="15" t="s">
        <v>4080</v>
      </c>
      <c r="I1448" s="15" t="s">
        <v>4544</v>
      </c>
      <c r="J1448" t="str">
        <f>IF(LEN(VLOOKUP(表1[[#This Row],[id]],数据引用!A:C,3,FALSE))&gt;0,VLOOKUP(表1[[#This Row],[id]],数据引用!A:C,3,FALSE),"")</f>
        <v/>
      </c>
      <c r="K1448" t="s">
        <v>1214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8" s="5" t="s">
        <v>1282</v>
      </c>
    </row>
    <row r="1449" spans="1:16" ht="14.25" customHeight="1">
      <c r="A1449">
        <v>5013</v>
      </c>
      <c r="B1449">
        <v>0</v>
      </c>
      <c r="C1449">
        <v>0</v>
      </c>
      <c r="E1449" t="s">
        <v>2570</v>
      </c>
      <c r="F1449">
        <v>6</v>
      </c>
      <c r="G1449" s="8" t="s">
        <v>1121</v>
      </c>
      <c r="H1449" s="15" t="s">
        <v>4081</v>
      </c>
      <c r="I1449" s="15" t="s">
        <v>4545</v>
      </c>
      <c r="J1449" t="str">
        <f>IF(LEN(VLOOKUP(表1[[#This Row],[id]],数据引用!A:C,3,FALSE))&gt;0,VLOOKUP(表1[[#This Row],[id]],数据引用!A:C,3,FALSE),"")</f>
        <v/>
      </c>
      <c r="K1449" t="s">
        <v>1214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9" s="5" t="s">
        <v>1282</v>
      </c>
    </row>
    <row r="1450" spans="1:16" ht="14.25" customHeight="1">
      <c r="A1450">
        <v>5014</v>
      </c>
      <c r="B1450">
        <v>0</v>
      </c>
      <c r="C1450">
        <v>0</v>
      </c>
      <c r="E1450" t="s">
        <v>2570</v>
      </c>
      <c r="F1450">
        <v>6</v>
      </c>
      <c r="G1450" s="8" t="s">
        <v>730</v>
      </c>
      <c r="H1450" s="15" t="s">
        <v>4082</v>
      </c>
      <c r="I1450" s="15" t="s">
        <v>4546</v>
      </c>
      <c r="J1450" t="str">
        <f>IF(LEN(VLOOKUP(表1[[#This Row],[id]],数据引用!A:C,3,FALSE))&gt;0,VLOOKUP(表1[[#This Row],[id]],数据引用!A:C,3,FALSE),"")</f>
        <v/>
      </c>
      <c r="K1450" t="s">
        <v>1214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0" s="5" t="s">
        <v>1282</v>
      </c>
    </row>
    <row r="1451" spans="1:16" ht="14.25" customHeight="1">
      <c r="A1451">
        <v>5015</v>
      </c>
      <c r="B1451">
        <v>0</v>
      </c>
      <c r="C1451">
        <v>0</v>
      </c>
      <c r="E1451" t="s">
        <v>2570</v>
      </c>
      <c r="F1451">
        <v>6</v>
      </c>
      <c r="G1451" s="8" t="s">
        <v>727</v>
      </c>
      <c r="H1451" s="15" t="s">
        <v>4083</v>
      </c>
      <c r="I1451" s="15" t="s">
        <v>4547</v>
      </c>
      <c r="J1451" t="str">
        <f>IF(LEN(VLOOKUP(表1[[#This Row],[id]],数据引用!A:C,3,FALSE))&gt;0,VLOOKUP(表1[[#This Row],[id]],数据引用!A:C,3,FALSE),"")</f>
        <v/>
      </c>
      <c r="K1451" t="s">
        <v>1214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1" s="5" t="s">
        <v>1282</v>
      </c>
    </row>
    <row r="1452" spans="1:16" ht="14.25" customHeight="1">
      <c r="A1452">
        <v>5016</v>
      </c>
      <c r="B1452">
        <v>0</v>
      </c>
      <c r="C1452">
        <v>0</v>
      </c>
      <c r="E1452" t="s">
        <v>2570</v>
      </c>
      <c r="F1452">
        <v>6</v>
      </c>
      <c r="G1452" s="8" t="s">
        <v>728</v>
      </c>
      <c r="H1452" s="15" t="s">
        <v>4084</v>
      </c>
      <c r="I1452" s="15" t="s">
        <v>4548</v>
      </c>
      <c r="J1452" t="str">
        <f>IF(LEN(VLOOKUP(表1[[#This Row],[id]],数据引用!A:C,3,FALSE))&gt;0,VLOOKUP(表1[[#This Row],[id]],数据引用!A:C,3,FALSE),"")</f>
        <v/>
      </c>
      <c r="K1452" t="s">
        <v>1214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2" s="5" t="s">
        <v>1282</v>
      </c>
    </row>
    <row r="1453" spans="1:16" ht="14.25" customHeight="1">
      <c r="A1453">
        <v>5017</v>
      </c>
      <c r="B1453">
        <v>0</v>
      </c>
      <c r="C1453">
        <v>0</v>
      </c>
      <c r="E1453" t="s">
        <v>2570</v>
      </c>
      <c r="F1453">
        <v>6</v>
      </c>
      <c r="G1453" s="8" t="s">
        <v>729</v>
      </c>
      <c r="H1453" s="15" t="s">
        <v>4085</v>
      </c>
      <c r="I1453" s="15" t="s">
        <v>4549</v>
      </c>
      <c r="J1453" t="str">
        <f>IF(LEN(VLOOKUP(表1[[#This Row],[id]],数据引用!A:C,3,FALSE))&gt;0,VLOOKUP(表1[[#This Row],[id]],数据引用!A:C,3,FALSE),"")</f>
        <v/>
      </c>
      <c r="K1453" t="s">
        <v>1214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3" s="5" t="s">
        <v>1282</v>
      </c>
    </row>
    <row r="1454" spans="1:16" ht="14.25" customHeight="1">
      <c r="A1454">
        <v>5018</v>
      </c>
      <c r="B1454">
        <v>0</v>
      </c>
      <c r="C1454">
        <v>0</v>
      </c>
      <c r="E1454" t="s">
        <v>2570</v>
      </c>
      <c r="F1454">
        <v>6</v>
      </c>
      <c r="G1454" s="8" t="s">
        <v>1122</v>
      </c>
      <c r="H1454" s="15" t="s">
        <v>4086</v>
      </c>
      <c r="I1454" s="15" t="s">
        <v>4550</v>
      </c>
      <c r="J1454" t="str">
        <f>IF(LEN(VLOOKUP(表1[[#This Row],[id]],数据引用!A:C,3,FALSE))&gt;0,VLOOKUP(表1[[#This Row],[id]],数据引用!A:C,3,FALSE),"")</f>
        <v/>
      </c>
      <c r="K1454" t="s">
        <v>1214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4" s="5" t="s">
        <v>1282</v>
      </c>
    </row>
    <row r="1455" spans="1:16" ht="14.25" customHeight="1">
      <c r="A1455">
        <v>5019</v>
      </c>
      <c r="B1455">
        <v>0</v>
      </c>
      <c r="C1455">
        <v>0</v>
      </c>
      <c r="E1455" t="s">
        <v>2570</v>
      </c>
      <c r="F1455">
        <v>6</v>
      </c>
      <c r="G1455" s="8" t="s">
        <v>1123</v>
      </c>
      <c r="H1455" s="15" t="s">
        <v>4087</v>
      </c>
      <c r="I1455" s="15" t="s">
        <v>4551</v>
      </c>
      <c r="J1455" t="str">
        <f>IF(LEN(VLOOKUP(表1[[#This Row],[id]],数据引用!A:C,3,FALSE))&gt;0,VLOOKUP(表1[[#This Row],[id]],数据引用!A:C,3,FALSE),"")</f>
        <v/>
      </c>
      <c r="K1455" t="s">
        <v>1214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5" s="5" t="s">
        <v>1282</v>
      </c>
    </row>
    <row r="1456" spans="1:16" ht="14.25" customHeight="1">
      <c r="A1456">
        <v>5020</v>
      </c>
      <c r="B1456">
        <v>0</v>
      </c>
      <c r="C1456">
        <v>0</v>
      </c>
      <c r="E1456" t="s">
        <v>2570</v>
      </c>
      <c r="F1456">
        <v>6</v>
      </c>
      <c r="G1456" s="8" t="s">
        <v>1124</v>
      </c>
      <c r="H1456" s="15" t="s">
        <v>4088</v>
      </c>
      <c r="I1456" s="15" t="s">
        <v>4552</v>
      </c>
      <c r="J1456" t="str">
        <f>IF(LEN(VLOOKUP(表1[[#This Row],[id]],数据引用!A:C,3,FALSE))&gt;0,VLOOKUP(表1[[#This Row],[id]],数据引用!A:C,3,FALSE),"")</f>
        <v/>
      </c>
      <c r="K1456" t="s">
        <v>1214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6" s="5" t="s">
        <v>1282</v>
      </c>
    </row>
    <row r="1457" spans="1:16" ht="14.25" customHeight="1">
      <c r="A1457">
        <v>5021</v>
      </c>
      <c r="B1457">
        <v>0</v>
      </c>
      <c r="C1457">
        <v>0</v>
      </c>
      <c r="E1457" t="s">
        <v>2570</v>
      </c>
      <c r="F1457">
        <v>6</v>
      </c>
      <c r="G1457" s="8" t="s">
        <v>1125</v>
      </c>
      <c r="H1457" s="15" t="s">
        <v>4089</v>
      </c>
      <c r="I1457" s="15" t="s">
        <v>4553</v>
      </c>
      <c r="J1457" t="str">
        <f>IF(LEN(VLOOKUP(表1[[#This Row],[id]],数据引用!A:C,3,FALSE))&gt;0,VLOOKUP(表1[[#This Row],[id]],数据引用!A:C,3,FALSE),"")</f>
        <v/>
      </c>
      <c r="K1457" t="s">
        <v>1214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7" s="5" t="s">
        <v>1282</v>
      </c>
    </row>
    <row r="1458" spans="1:16" ht="14.25" customHeight="1">
      <c r="A1458">
        <v>5022</v>
      </c>
      <c r="B1458">
        <v>0</v>
      </c>
      <c r="C1458">
        <v>0</v>
      </c>
      <c r="E1458" t="s">
        <v>2570</v>
      </c>
      <c r="F1458">
        <v>6</v>
      </c>
      <c r="G1458" s="8" t="s">
        <v>1126</v>
      </c>
      <c r="H1458" s="15" t="s">
        <v>4090</v>
      </c>
      <c r="I1458" s="15" t="s">
        <v>4554</v>
      </c>
      <c r="J1458" t="str">
        <f>IF(LEN(VLOOKUP(表1[[#This Row],[id]],数据引用!A:C,3,FALSE))&gt;0,VLOOKUP(表1[[#This Row],[id]],数据引用!A:C,3,FALSE),"")</f>
        <v/>
      </c>
      <c r="K1458" t="s">
        <v>1214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8" s="5" t="s">
        <v>1282</v>
      </c>
    </row>
    <row r="1459" spans="1:16" ht="14.25" customHeight="1">
      <c r="A1459">
        <v>5023</v>
      </c>
      <c r="B1459">
        <v>0</v>
      </c>
      <c r="C1459">
        <v>0</v>
      </c>
      <c r="E1459" t="s">
        <v>2570</v>
      </c>
      <c r="F1459">
        <v>6</v>
      </c>
      <c r="G1459" s="8" t="s">
        <v>1127</v>
      </c>
      <c r="H1459" s="15" t="s">
        <v>4091</v>
      </c>
      <c r="I1459" s="15" t="s">
        <v>4555</v>
      </c>
      <c r="J1459" t="str">
        <f>IF(LEN(VLOOKUP(表1[[#This Row],[id]],数据引用!A:C,3,FALSE))&gt;0,VLOOKUP(表1[[#This Row],[id]],数据引用!A:C,3,FALSE),"")</f>
        <v/>
      </c>
      <c r="K1459" t="s">
        <v>1214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9" s="5" t="s">
        <v>1282</v>
      </c>
    </row>
    <row r="1460" spans="1:16" ht="14.25" customHeight="1">
      <c r="A1460">
        <v>5024</v>
      </c>
      <c r="B1460">
        <v>0</v>
      </c>
      <c r="C1460">
        <v>0</v>
      </c>
      <c r="E1460" t="s">
        <v>2570</v>
      </c>
      <c r="F1460">
        <v>6</v>
      </c>
      <c r="G1460" s="8" t="s">
        <v>1128</v>
      </c>
      <c r="H1460" s="15" t="s">
        <v>4092</v>
      </c>
      <c r="I1460" s="15" t="s">
        <v>4556</v>
      </c>
      <c r="J1460" t="str">
        <f>IF(LEN(VLOOKUP(表1[[#This Row],[id]],数据引用!A:C,3,FALSE))&gt;0,VLOOKUP(表1[[#This Row],[id]],数据引用!A:C,3,FALSE),"")</f>
        <v/>
      </c>
      <c r="K1460" t="s">
        <v>1214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0" s="5" t="s">
        <v>1282</v>
      </c>
    </row>
    <row r="1461" spans="1:16" ht="14.25" customHeight="1">
      <c r="A1461">
        <v>5025</v>
      </c>
      <c r="B1461">
        <v>0</v>
      </c>
      <c r="C1461">
        <v>0</v>
      </c>
      <c r="E1461" t="s">
        <v>2570</v>
      </c>
      <c r="F1461">
        <v>6</v>
      </c>
      <c r="G1461" s="8" t="s">
        <v>1129</v>
      </c>
      <c r="H1461" s="15" t="s">
        <v>4093</v>
      </c>
      <c r="I1461" s="15" t="s">
        <v>4557</v>
      </c>
      <c r="J1461" t="str">
        <f>IF(LEN(VLOOKUP(表1[[#This Row],[id]],数据引用!A:C,3,FALSE))&gt;0,VLOOKUP(表1[[#This Row],[id]],数据引用!A:C,3,FALSE),"")</f>
        <v/>
      </c>
      <c r="K1461" t="s">
        <v>1214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1" s="5" t="s">
        <v>1282</v>
      </c>
    </row>
    <row r="1462" spans="1:16" ht="14.25" customHeight="1">
      <c r="A1462">
        <v>5026</v>
      </c>
      <c r="B1462">
        <v>0</v>
      </c>
      <c r="C1462">
        <v>0</v>
      </c>
      <c r="E1462" t="s">
        <v>2570</v>
      </c>
      <c r="F1462">
        <v>6</v>
      </c>
      <c r="G1462" s="8" t="s">
        <v>1130</v>
      </c>
      <c r="H1462" s="15" t="s">
        <v>4094</v>
      </c>
      <c r="I1462" s="15" t="s">
        <v>4558</v>
      </c>
      <c r="J1462" t="str">
        <f>IF(LEN(VLOOKUP(表1[[#This Row],[id]],数据引用!A:C,3,FALSE))&gt;0,VLOOKUP(表1[[#This Row],[id]],数据引用!A:C,3,FALSE),"")</f>
        <v/>
      </c>
      <c r="K1462" t="s">
        <v>1214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2" s="5" t="s">
        <v>1282</v>
      </c>
    </row>
    <row r="1463" spans="1:16" ht="14.25" customHeight="1">
      <c r="A1463">
        <v>5027</v>
      </c>
      <c r="B1463">
        <v>0</v>
      </c>
      <c r="C1463">
        <v>0</v>
      </c>
      <c r="E1463" t="s">
        <v>2570</v>
      </c>
      <c r="F1463">
        <v>6</v>
      </c>
      <c r="G1463" s="8" t="s">
        <v>1131</v>
      </c>
      <c r="H1463" s="15" t="s">
        <v>4095</v>
      </c>
      <c r="I1463" s="15" t="s">
        <v>4559</v>
      </c>
      <c r="J1463" t="str">
        <f>IF(LEN(VLOOKUP(表1[[#This Row],[id]],数据引用!A:C,3,FALSE))&gt;0,VLOOKUP(表1[[#This Row],[id]],数据引用!A:C,3,FALSE),"")</f>
        <v/>
      </c>
      <c r="K1463" t="s">
        <v>1214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3" s="5" t="s">
        <v>1282</v>
      </c>
    </row>
    <row r="1464" spans="1:16" ht="14.25" customHeight="1">
      <c r="A1464">
        <v>5028</v>
      </c>
      <c r="B1464">
        <v>0</v>
      </c>
      <c r="C1464">
        <v>0</v>
      </c>
      <c r="E1464" t="s">
        <v>2570</v>
      </c>
      <c r="F1464">
        <v>6</v>
      </c>
      <c r="G1464" s="8" t="s">
        <v>1132</v>
      </c>
      <c r="H1464" s="15" t="s">
        <v>4096</v>
      </c>
      <c r="I1464" s="15" t="s">
        <v>4560</v>
      </c>
      <c r="J1464" t="str">
        <f>IF(LEN(VLOOKUP(表1[[#This Row],[id]],数据引用!A:C,3,FALSE))&gt;0,VLOOKUP(表1[[#This Row],[id]],数据引用!A:C,3,FALSE),"")</f>
        <v/>
      </c>
      <c r="K1464" t="s">
        <v>1214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4" s="5" t="s">
        <v>1282</v>
      </c>
    </row>
    <row r="1465" spans="1:16" ht="14.25" customHeight="1">
      <c r="A1465">
        <v>5029</v>
      </c>
      <c r="B1465">
        <v>0</v>
      </c>
      <c r="C1465">
        <v>0</v>
      </c>
      <c r="E1465" t="s">
        <v>2570</v>
      </c>
      <c r="F1465">
        <v>6</v>
      </c>
      <c r="G1465" s="8" t="s">
        <v>1133</v>
      </c>
      <c r="H1465" s="15" t="s">
        <v>4097</v>
      </c>
      <c r="I1465" s="15" t="s">
        <v>4561</v>
      </c>
      <c r="J1465" t="str">
        <f>IF(LEN(VLOOKUP(表1[[#This Row],[id]],数据引用!A:C,3,FALSE))&gt;0,VLOOKUP(表1[[#This Row],[id]],数据引用!A:C,3,FALSE),"")</f>
        <v/>
      </c>
      <c r="K1465" t="s">
        <v>1214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5" s="5" t="s">
        <v>1282</v>
      </c>
    </row>
    <row r="1466" spans="1:16" ht="14.25" customHeight="1">
      <c r="A1466">
        <v>5030</v>
      </c>
      <c r="B1466">
        <v>0</v>
      </c>
      <c r="C1466">
        <v>0</v>
      </c>
      <c r="E1466" t="s">
        <v>2570</v>
      </c>
      <c r="F1466">
        <v>6</v>
      </c>
      <c r="G1466" s="8" t="s">
        <v>1134</v>
      </c>
      <c r="H1466" s="15" t="s">
        <v>4098</v>
      </c>
      <c r="I1466" s="15" t="s">
        <v>4562</v>
      </c>
      <c r="J1466" t="str">
        <f>IF(LEN(VLOOKUP(表1[[#This Row],[id]],数据引用!A:C,3,FALSE))&gt;0,VLOOKUP(表1[[#This Row],[id]],数据引用!A:C,3,FALSE),"")</f>
        <v/>
      </c>
      <c r="K1466" t="s">
        <v>1214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6" s="5" t="s">
        <v>1282</v>
      </c>
    </row>
    <row r="1467" spans="1:16" ht="14.25" customHeight="1">
      <c r="A1467">
        <v>5031</v>
      </c>
      <c r="B1467">
        <v>0</v>
      </c>
      <c r="C1467">
        <v>0</v>
      </c>
      <c r="E1467" t="s">
        <v>2570</v>
      </c>
      <c r="F1467">
        <v>6</v>
      </c>
      <c r="G1467" s="8" t="s">
        <v>1135</v>
      </c>
      <c r="H1467" s="15" t="s">
        <v>4099</v>
      </c>
      <c r="I1467" s="15" t="s">
        <v>4563</v>
      </c>
      <c r="J1467" t="str">
        <f>IF(LEN(VLOOKUP(表1[[#This Row],[id]],数据引用!A:C,3,FALSE))&gt;0,VLOOKUP(表1[[#This Row],[id]],数据引用!A:C,3,FALSE),"")</f>
        <v/>
      </c>
      <c r="K1467" t="s">
        <v>1214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7" s="5" t="s">
        <v>1282</v>
      </c>
    </row>
    <row r="1468" spans="1:16" ht="14.25" customHeight="1">
      <c r="A1468">
        <v>5032</v>
      </c>
      <c r="B1468">
        <v>0</v>
      </c>
      <c r="C1468">
        <v>0</v>
      </c>
      <c r="E1468" t="s">
        <v>2570</v>
      </c>
      <c r="F1468">
        <v>6</v>
      </c>
      <c r="G1468" s="8" t="s">
        <v>1136</v>
      </c>
      <c r="H1468" s="15" t="s">
        <v>4100</v>
      </c>
      <c r="I1468" s="15" t="s">
        <v>4564</v>
      </c>
      <c r="J1468" t="str">
        <f>IF(LEN(VLOOKUP(表1[[#This Row],[id]],数据引用!A:C,3,FALSE))&gt;0,VLOOKUP(表1[[#This Row],[id]],数据引用!A:C,3,FALSE),"")</f>
        <v/>
      </c>
      <c r="K1468" t="s">
        <v>1214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8" s="5" t="s">
        <v>1282</v>
      </c>
    </row>
    <row r="1469" spans="1:16" ht="14.25" customHeight="1">
      <c r="A1469">
        <v>5033</v>
      </c>
      <c r="B1469">
        <v>0</v>
      </c>
      <c r="C1469">
        <v>0</v>
      </c>
      <c r="E1469" t="s">
        <v>2570</v>
      </c>
      <c r="F1469">
        <v>6</v>
      </c>
      <c r="G1469" s="8" t="s">
        <v>1137</v>
      </c>
      <c r="H1469" s="15" t="s">
        <v>4101</v>
      </c>
      <c r="I1469" s="15" t="s">
        <v>4565</v>
      </c>
      <c r="J1469" t="str">
        <f>IF(LEN(VLOOKUP(表1[[#This Row],[id]],数据引用!A:C,3,FALSE))&gt;0,VLOOKUP(表1[[#This Row],[id]],数据引用!A:C,3,FALSE),"")</f>
        <v/>
      </c>
      <c r="K1469" t="s">
        <v>1214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9" s="5" t="s">
        <v>1282</v>
      </c>
    </row>
    <row r="1470" spans="1:16" ht="14.25" customHeight="1">
      <c r="A1470">
        <v>5034</v>
      </c>
      <c r="B1470">
        <v>0</v>
      </c>
      <c r="C1470">
        <v>0</v>
      </c>
      <c r="E1470" t="s">
        <v>2570</v>
      </c>
      <c r="F1470">
        <v>6</v>
      </c>
      <c r="G1470" s="8" t="s">
        <v>1138</v>
      </c>
      <c r="H1470" s="15" t="s">
        <v>4102</v>
      </c>
      <c r="I1470" s="15" t="s">
        <v>4566</v>
      </c>
      <c r="J1470" t="str">
        <f>IF(LEN(VLOOKUP(表1[[#This Row],[id]],数据引用!A:C,3,FALSE))&gt;0,VLOOKUP(表1[[#This Row],[id]],数据引用!A:C,3,FALSE),"")</f>
        <v/>
      </c>
      <c r="K1470" t="s">
        <v>1214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0" s="5" t="s">
        <v>1282</v>
      </c>
    </row>
    <row r="1471" spans="1:16" ht="14.25" customHeight="1">
      <c r="A1471">
        <v>5035</v>
      </c>
      <c r="B1471">
        <v>0</v>
      </c>
      <c r="C1471">
        <v>0</v>
      </c>
      <c r="E1471" t="s">
        <v>2570</v>
      </c>
      <c r="F1471">
        <v>6</v>
      </c>
      <c r="G1471" s="8" t="s">
        <v>1139</v>
      </c>
      <c r="H1471" s="15" t="s">
        <v>4103</v>
      </c>
      <c r="I1471" s="15" t="s">
        <v>4567</v>
      </c>
      <c r="J1471" t="str">
        <f>IF(LEN(VLOOKUP(表1[[#This Row],[id]],数据引用!A:C,3,FALSE))&gt;0,VLOOKUP(表1[[#This Row],[id]],数据引用!A:C,3,FALSE),"")</f>
        <v/>
      </c>
      <c r="K1471" t="s">
        <v>1214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1" s="5" t="s">
        <v>1282</v>
      </c>
    </row>
    <row r="1472" spans="1:16" ht="14.25" customHeight="1">
      <c r="A1472">
        <v>5036</v>
      </c>
      <c r="B1472">
        <v>0</v>
      </c>
      <c r="C1472">
        <v>0</v>
      </c>
      <c r="E1472" t="s">
        <v>2570</v>
      </c>
      <c r="F1472">
        <v>6</v>
      </c>
      <c r="G1472" s="8" t="s">
        <v>1140</v>
      </c>
      <c r="H1472" s="15" t="s">
        <v>4104</v>
      </c>
      <c r="I1472" s="15" t="s">
        <v>4568</v>
      </c>
      <c r="J1472" t="str">
        <f>IF(LEN(VLOOKUP(表1[[#This Row],[id]],数据引用!A:C,3,FALSE))&gt;0,VLOOKUP(表1[[#This Row],[id]],数据引用!A:C,3,FALSE),"")</f>
        <v/>
      </c>
      <c r="K1472" t="s">
        <v>1214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2" s="5" t="s">
        <v>1282</v>
      </c>
    </row>
    <row r="1473" spans="1:16" ht="14.25" customHeight="1">
      <c r="A1473">
        <v>5037</v>
      </c>
      <c r="B1473">
        <v>0</v>
      </c>
      <c r="C1473">
        <v>0</v>
      </c>
      <c r="E1473" t="s">
        <v>2570</v>
      </c>
      <c r="F1473">
        <v>6</v>
      </c>
      <c r="G1473" s="8" t="s">
        <v>1141</v>
      </c>
      <c r="H1473" s="15" t="s">
        <v>4105</v>
      </c>
      <c r="I1473" s="15" t="s">
        <v>4569</v>
      </c>
      <c r="J1473" t="str">
        <f>IF(LEN(VLOOKUP(表1[[#This Row],[id]],数据引用!A:C,3,FALSE))&gt;0,VLOOKUP(表1[[#This Row],[id]],数据引用!A:C,3,FALSE),"")</f>
        <v/>
      </c>
      <c r="K1473" t="s">
        <v>1214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3" s="5" t="s">
        <v>1282</v>
      </c>
    </row>
    <row r="1474" spans="1:16" ht="14.25" customHeight="1">
      <c r="A1474">
        <v>5038</v>
      </c>
      <c r="B1474">
        <v>0</v>
      </c>
      <c r="C1474">
        <v>0</v>
      </c>
      <c r="E1474" t="s">
        <v>2570</v>
      </c>
      <c r="F1474">
        <v>6</v>
      </c>
      <c r="G1474" s="8" t="s">
        <v>1142</v>
      </c>
      <c r="H1474" s="15" t="s">
        <v>4106</v>
      </c>
      <c r="I1474" s="15" t="s">
        <v>4570</v>
      </c>
      <c r="J1474" t="str">
        <f>IF(LEN(VLOOKUP(表1[[#This Row],[id]],数据引用!A:C,3,FALSE))&gt;0,VLOOKUP(表1[[#This Row],[id]],数据引用!A:C,3,FALSE),"")</f>
        <v/>
      </c>
      <c r="K1474" t="s">
        <v>1214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4" s="5" t="s">
        <v>1282</v>
      </c>
    </row>
    <row r="1475" spans="1:16" ht="14.25" customHeight="1">
      <c r="A1475">
        <v>5039</v>
      </c>
      <c r="B1475">
        <v>0</v>
      </c>
      <c r="C1475">
        <v>0</v>
      </c>
      <c r="E1475" t="s">
        <v>2570</v>
      </c>
      <c r="F1475">
        <v>6</v>
      </c>
      <c r="G1475" s="8" t="s">
        <v>1143</v>
      </c>
      <c r="H1475" s="15" t="s">
        <v>4107</v>
      </c>
      <c r="I1475" s="15" t="s">
        <v>4571</v>
      </c>
      <c r="J1475" t="str">
        <f>IF(LEN(VLOOKUP(表1[[#This Row],[id]],数据引用!A:C,3,FALSE))&gt;0,VLOOKUP(表1[[#This Row],[id]],数据引用!A:C,3,FALSE),"")</f>
        <v/>
      </c>
      <c r="K1475" t="s">
        <v>1214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5" s="5" t="s">
        <v>1282</v>
      </c>
    </row>
    <row r="1476" spans="1:16" ht="14.25" customHeight="1">
      <c r="A1476">
        <v>5040</v>
      </c>
      <c r="B1476">
        <v>0</v>
      </c>
      <c r="C1476">
        <v>0</v>
      </c>
      <c r="E1476" t="s">
        <v>2570</v>
      </c>
      <c r="F1476">
        <v>6</v>
      </c>
      <c r="G1476" s="8" t="s">
        <v>1144</v>
      </c>
      <c r="H1476" s="15" t="s">
        <v>4108</v>
      </c>
      <c r="I1476" s="15" t="s">
        <v>4572</v>
      </c>
      <c r="J1476" t="str">
        <f>IF(LEN(VLOOKUP(表1[[#This Row],[id]],数据引用!A:C,3,FALSE))&gt;0,VLOOKUP(表1[[#This Row],[id]],数据引用!A:C,3,FALSE),"")</f>
        <v/>
      </c>
      <c r="K1476" t="s">
        <v>1214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6" s="5" t="s">
        <v>1282</v>
      </c>
    </row>
    <row r="1477" spans="1:16" ht="14.25" customHeight="1">
      <c r="A1477">
        <v>5041</v>
      </c>
      <c r="B1477">
        <v>0</v>
      </c>
      <c r="C1477">
        <v>0</v>
      </c>
      <c r="E1477" t="s">
        <v>2570</v>
      </c>
      <c r="F1477">
        <v>6</v>
      </c>
      <c r="G1477" s="8" t="s">
        <v>1145</v>
      </c>
      <c r="H1477" s="15" t="s">
        <v>4109</v>
      </c>
      <c r="I1477" s="15" t="s">
        <v>4573</v>
      </c>
      <c r="J1477" t="str">
        <f>IF(LEN(VLOOKUP(表1[[#This Row],[id]],数据引用!A:C,3,FALSE))&gt;0,VLOOKUP(表1[[#This Row],[id]],数据引用!A:C,3,FALSE),"")</f>
        <v/>
      </c>
      <c r="K1477" t="s">
        <v>1214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7" s="5" t="s">
        <v>1282</v>
      </c>
    </row>
    <row r="1478" spans="1:16" ht="14.25" customHeight="1">
      <c r="A1478">
        <v>5042</v>
      </c>
      <c r="B1478">
        <v>0</v>
      </c>
      <c r="C1478">
        <v>0</v>
      </c>
      <c r="E1478" t="s">
        <v>2570</v>
      </c>
      <c r="F1478">
        <v>6</v>
      </c>
      <c r="G1478" s="8" t="s">
        <v>1146</v>
      </c>
      <c r="H1478" s="15" t="s">
        <v>4110</v>
      </c>
      <c r="I1478" s="15" t="s">
        <v>4574</v>
      </c>
      <c r="J1478" t="str">
        <f>IF(LEN(VLOOKUP(表1[[#This Row],[id]],数据引用!A:C,3,FALSE))&gt;0,VLOOKUP(表1[[#This Row],[id]],数据引用!A:C,3,FALSE),"")</f>
        <v/>
      </c>
      <c r="K1478" t="s">
        <v>1214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8" s="5" t="s">
        <v>1282</v>
      </c>
    </row>
    <row r="1479" spans="1:16" ht="14.25" customHeight="1">
      <c r="A1479">
        <v>5043</v>
      </c>
      <c r="B1479">
        <v>0</v>
      </c>
      <c r="C1479">
        <v>0</v>
      </c>
      <c r="E1479" t="s">
        <v>2570</v>
      </c>
      <c r="F1479">
        <v>6</v>
      </c>
      <c r="G1479" s="8" t="s">
        <v>1147</v>
      </c>
      <c r="H1479" s="15" t="s">
        <v>4111</v>
      </c>
      <c r="I1479" s="15" t="s">
        <v>4575</v>
      </c>
      <c r="J1479" t="str">
        <f>IF(LEN(VLOOKUP(表1[[#This Row],[id]],数据引用!A:C,3,FALSE))&gt;0,VLOOKUP(表1[[#This Row],[id]],数据引用!A:C,3,FALSE),"")</f>
        <v/>
      </c>
      <c r="K1479" t="s">
        <v>1214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9" s="5" t="s">
        <v>1282</v>
      </c>
    </row>
    <row r="1480" spans="1:16" ht="14.25" customHeight="1">
      <c r="A1480">
        <v>5044</v>
      </c>
      <c r="B1480">
        <v>0</v>
      </c>
      <c r="C1480">
        <v>0</v>
      </c>
      <c r="E1480" t="s">
        <v>2570</v>
      </c>
      <c r="F1480">
        <v>6</v>
      </c>
      <c r="G1480" s="8" t="s">
        <v>1148</v>
      </c>
      <c r="H1480" s="15" t="s">
        <v>4112</v>
      </c>
      <c r="I1480" s="15" t="s">
        <v>4576</v>
      </c>
      <c r="J1480" t="str">
        <f>IF(LEN(VLOOKUP(表1[[#This Row],[id]],数据引用!A:C,3,FALSE))&gt;0,VLOOKUP(表1[[#This Row],[id]],数据引用!A:C,3,FALSE),"")</f>
        <v/>
      </c>
      <c r="K1480" t="s">
        <v>1214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0" s="5" t="s">
        <v>1282</v>
      </c>
    </row>
    <row r="1481" spans="1:16" ht="14.25" customHeight="1">
      <c r="A1481">
        <v>5045</v>
      </c>
      <c r="B1481">
        <v>0</v>
      </c>
      <c r="C1481">
        <v>0</v>
      </c>
      <c r="E1481" t="s">
        <v>2570</v>
      </c>
      <c r="F1481">
        <v>6</v>
      </c>
      <c r="G1481" s="8" t="s">
        <v>1149</v>
      </c>
      <c r="H1481" s="15" t="s">
        <v>4113</v>
      </c>
      <c r="I1481" s="15" t="s">
        <v>4577</v>
      </c>
      <c r="J1481" t="str">
        <f>IF(LEN(VLOOKUP(表1[[#This Row],[id]],数据引用!A:C,3,FALSE))&gt;0,VLOOKUP(表1[[#This Row],[id]],数据引用!A:C,3,FALSE),"")</f>
        <v/>
      </c>
      <c r="K1481" t="s">
        <v>1214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1" s="5" t="s">
        <v>1282</v>
      </c>
    </row>
    <row r="1482" spans="1:16" ht="14.25" customHeight="1">
      <c r="A1482">
        <v>5046</v>
      </c>
      <c r="B1482">
        <v>0</v>
      </c>
      <c r="C1482">
        <v>0</v>
      </c>
      <c r="E1482" t="s">
        <v>2570</v>
      </c>
      <c r="F1482">
        <v>6</v>
      </c>
      <c r="G1482" s="8" t="s">
        <v>1150</v>
      </c>
      <c r="H1482" s="15" t="s">
        <v>4114</v>
      </c>
      <c r="I1482" s="15" t="s">
        <v>4578</v>
      </c>
      <c r="J1482" t="str">
        <f>IF(LEN(VLOOKUP(表1[[#This Row],[id]],数据引用!A:C,3,FALSE))&gt;0,VLOOKUP(表1[[#This Row],[id]],数据引用!A:C,3,FALSE),"")</f>
        <v/>
      </c>
      <c r="K1482" t="s">
        <v>1214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2" s="5" t="s">
        <v>1282</v>
      </c>
    </row>
    <row r="1483" spans="1:16" ht="14.25" customHeight="1">
      <c r="A1483">
        <v>5047</v>
      </c>
      <c r="B1483">
        <v>0</v>
      </c>
      <c r="C1483">
        <v>0</v>
      </c>
      <c r="E1483" t="s">
        <v>2570</v>
      </c>
      <c r="F1483">
        <v>6</v>
      </c>
      <c r="G1483" s="8" t="s">
        <v>1151</v>
      </c>
      <c r="H1483" s="15" t="s">
        <v>4115</v>
      </c>
      <c r="I1483" s="15" t="s">
        <v>4579</v>
      </c>
      <c r="J1483" t="str">
        <f>IF(LEN(VLOOKUP(表1[[#This Row],[id]],数据引用!A:C,3,FALSE))&gt;0,VLOOKUP(表1[[#This Row],[id]],数据引用!A:C,3,FALSE),"")</f>
        <v/>
      </c>
      <c r="K1483" t="s">
        <v>1214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3" s="5" t="s">
        <v>1282</v>
      </c>
    </row>
    <row r="1484" spans="1:16" ht="14.25" customHeight="1">
      <c r="A1484">
        <v>5048</v>
      </c>
      <c r="B1484">
        <v>0</v>
      </c>
      <c r="C1484">
        <v>0</v>
      </c>
      <c r="E1484" t="s">
        <v>2570</v>
      </c>
      <c r="F1484">
        <v>6</v>
      </c>
      <c r="G1484" s="8" t="s">
        <v>1152</v>
      </c>
      <c r="H1484" s="15" t="s">
        <v>4116</v>
      </c>
      <c r="I1484" s="15" t="s">
        <v>4580</v>
      </c>
      <c r="J1484" t="str">
        <f>IF(LEN(VLOOKUP(表1[[#This Row],[id]],数据引用!A:C,3,FALSE))&gt;0,VLOOKUP(表1[[#This Row],[id]],数据引用!A:C,3,FALSE),"")</f>
        <v/>
      </c>
      <c r="K1484" t="s">
        <v>1214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4" s="5" t="s">
        <v>1282</v>
      </c>
    </row>
    <row r="1485" spans="1:16" ht="14.25" customHeight="1">
      <c r="A1485">
        <v>5049</v>
      </c>
      <c r="B1485">
        <v>0</v>
      </c>
      <c r="C1485">
        <v>0</v>
      </c>
      <c r="E1485" t="s">
        <v>2570</v>
      </c>
      <c r="F1485">
        <v>6</v>
      </c>
      <c r="G1485" s="8" t="s">
        <v>1153</v>
      </c>
      <c r="H1485" s="15" t="s">
        <v>4117</v>
      </c>
      <c r="I1485" s="15" t="s">
        <v>4581</v>
      </c>
      <c r="J1485" t="str">
        <f>IF(LEN(VLOOKUP(表1[[#This Row],[id]],数据引用!A:C,3,FALSE))&gt;0,VLOOKUP(表1[[#This Row],[id]],数据引用!A:C,3,FALSE),"")</f>
        <v/>
      </c>
      <c r="K1485" t="s">
        <v>1214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5" s="5" t="s">
        <v>1282</v>
      </c>
    </row>
    <row r="1486" spans="1:16" ht="14.25" customHeight="1">
      <c r="A1486">
        <v>5050</v>
      </c>
      <c r="B1486">
        <v>0</v>
      </c>
      <c r="C1486">
        <v>0</v>
      </c>
      <c r="E1486" t="s">
        <v>2570</v>
      </c>
      <c r="F1486">
        <v>6</v>
      </c>
      <c r="G1486" s="8" t="s">
        <v>1154</v>
      </c>
      <c r="H1486" s="15" t="s">
        <v>4118</v>
      </c>
      <c r="I1486" s="15" t="s">
        <v>4582</v>
      </c>
      <c r="J1486" t="str">
        <f>IF(LEN(VLOOKUP(表1[[#This Row],[id]],数据引用!A:C,3,FALSE))&gt;0,VLOOKUP(表1[[#This Row],[id]],数据引用!A:C,3,FALSE),"")</f>
        <v/>
      </c>
      <c r="K1486" t="s">
        <v>1214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6" s="5" t="s">
        <v>1282</v>
      </c>
    </row>
    <row r="1487" spans="1:16" ht="14.25" customHeight="1">
      <c r="A1487">
        <v>5051</v>
      </c>
      <c r="B1487">
        <v>0</v>
      </c>
      <c r="C1487">
        <v>0</v>
      </c>
      <c r="E1487" t="s">
        <v>2570</v>
      </c>
      <c r="F1487">
        <v>6</v>
      </c>
      <c r="G1487" s="8" t="s">
        <v>1155</v>
      </c>
      <c r="H1487" s="15" t="s">
        <v>4119</v>
      </c>
      <c r="I1487" s="15" t="s">
        <v>4583</v>
      </c>
      <c r="J1487" t="str">
        <f>IF(LEN(VLOOKUP(表1[[#This Row],[id]],数据引用!A:C,3,FALSE))&gt;0,VLOOKUP(表1[[#This Row],[id]],数据引用!A:C,3,FALSE),"")</f>
        <v/>
      </c>
      <c r="K1487" t="s">
        <v>1214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7" s="5" t="s">
        <v>1282</v>
      </c>
    </row>
    <row r="1488" spans="1:16" ht="14.25" customHeight="1">
      <c r="A1488">
        <v>5052</v>
      </c>
      <c r="B1488">
        <v>0</v>
      </c>
      <c r="C1488">
        <v>0</v>
      </c>
      <c r="E1488" t="s">
        <v>2570</v>
      </c>
      <c r="F1488">
        <v>6</v>
      </c>
      <c r="G1488" s="8" t="s">
        <v>1156</v>
      </c>
      <c r="H1488" s="15" t="s">
        <v>4120</v>
      </c>
      <c r="I1488" s="15" t="s">
        <v>4584</v>
      </c>
      <c r="J1488" t="str">
        <f>IF(LEN(VLOOKUP(表1[[#This Row],[id]],数据引用!A:C,3,FALSE))&gt;0,VLOOKUP(表1[[#This Row],[id]],数据引用!A:C,3,FALSE),"")</f>
        <v/>
      </c>
      <c r="K1488" t="s">
        <v>1214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8" s="5" t="s">
        <v>1282</v>
      </c>
    </row>
    <row r="1489" spans="1:16" ht="14.25" customHeight="1">
      <c r="A1489">
        <v>5053</v>
      </c>
      <c r="B1489">
        <v>0</v>
      </c>
      <c r="C1489">
        <v>0</v>
      </c>
      <c r="E1489" t="s">
        <v>2570</v>
      </c>
      <c r="F1489">
        <v>6</v>
      </c>
      <c r="G1489" s="8" t="s">
        <v>1157</v>
      </c>
      <c r="H1489" s="15" t="s">
        <v>4121</v>
      </c>
      <c r="I1489" s="15" t="s">
        <v>4585</v>
      </c>
      <c r="J1489" t="str">
        <f>IF(LEN(VLOOKUP(表1[[#This Row],[id]],数据引用!A:C,3,FALSE))&gt;0,VLOOKUP(表1[[#This Row],[id]],数据引用!A:C,3,FALSE),"")</f>
        <v/>
      </c>
      <c r="K1489" t="s">
        <v>1214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9" s="5" t="s">
        <v>1282</v>
      </c>
    </row>
    <row r="1490" spans="1:16" ht="14.25" customHeight="1">
      <c r="A1490">
        <v>5054</v>
      </c>
      <c r="B1490">
        <v>0</v>
      </c>
      <c r="C1490">
        <v>0</v>
      </c>
      <c r="E1490" t="s">
        <v>2570</v>
      </c>
      <c r="F1490">
        <v>6</v>
      </c>
      <c r="G1490" s="8" t="s">
        <v>1158</v>
      </c>
      <c r="H1490" s="15" t="s">
        <v>4122</v>
      </c>
      <c r="I1490" s="15" t="s">
        <v>4586</v>
      </c>
      <c r="J1490" t="str">
        <f>IF(LEN(VLOOKUP(表1[[#This Row],[id]],数据引用!A:C,3,FALSE))&gt;0,VLOOKUP(表1[[#This Row],[id]],数据引用!A:C,3,FALSE),"")</f>
        <v/>
      </c>
      <c r="K1490" t="s">
        <v>1214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0" s="5" t="s">
        <v>1282</v>
      </c>
    </row>
    <row r="1491" spans="1:16" ht="14.25" customHeight="1">
      <c r="A1491">
        <v>5055</v>
      </c>
      <c r="B1491">
        <v>0</v>
      </c>
      <c r="C1491">
        <v>0</v>
      </c>
      <c r="E1491" t="s">
        <v>2570</v>
      </c>
      <c r="F1491">
        <v>6</v>
      </c>
      <c r="G1491" s="8" t="s">
        <v>729</v>
      </c>
      <c r="H1491" s="15" t="s">
        <v>4123</v>
      </c>
      <c r="I1491" s="15" t="s">
        <v>4587</v>
      </c>
      <c r="J1491" t="str">
        <f>IF(LEN(VLOOKUP(表1[[#This Row],[id]],数据引用!A:C,3,FALSE))&gt;0,VLOOKUP(表1[[#This Row],[id]],数据引用!A:C,3,FALSE),"")</f>
        <v/>
      </c>
      <c r="K1491" t="s">
        <v>1214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1" s="5" t="s">
        <v>1282</v>
      </c>
    </row>
    <row r="1492" spans="1:16" ht="14.25" customHeight="1">
      <c r="A1492">
        <v>5056</v>
      </c>
      <c r="B1492">
        <v>0</v>
      </c>
      <c r="C1492">
        <v>0</v>
      </c>
      <c r="E1492" t="s">
        <v>2570</v>
      </c>
      <c r="F1492">
        <v>6</v>
      </c>
      <c r="G1492" s="8" t="s">
        <v>727</v>
      </c>
      <c r="H1492" s="15" t="s">
        <v>4124</v>
      </c>
      <c r="I1492" s="15" t="s">
        <v>4588</v>
      </c>
      <c r="J1492" t="str">
        <f>IF(LEN(VLOOKUP(表1[[#This Row],[id]],数据引用!A:C,3,FALSE))&gt;0,VLOOKUP(表1[[#This Row],[id]],数据引用!A:C,3,FALSE),"")</f>
        <v/>
      </c>
      <c r="K1492" t="s">
        <v>1214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2" s="5" t="s">
        <v>1282</v>
      </c>
    </row>
    <row r="1493" spans="1:16" ht="14.25" customHeight="1">
      <c r="A1493">
        <v>5057</v>
      </c>
      <c r="B1493">
        <v>0</v>
      </c>
      <c r="C1493">
        <v>0</v>
      </c>
      <c r="E1493" t="s">
        <v>2570</v>
      </c>
      <c r="F1493">
        <v>6</v>
      </c>
      <c r="G1493" s="8" t="s">
        <v>730</v>
      </c>
      <c r="H1493" s="15" t="s">
        <v>4125</v>
      </c>
      <c r="I1493" s="15" t="s">
        <v>4589</v>
      </c>
      <c r="J1493" t="str">
        <f>IF(LEN(VLOOKUP(表1[[#This Row],[id]],数据引用!A:C,3,FALSE))&gt;0,VLOOKUP(表1[[#This Row],[id]],数据引用!A:C,3,FALSE),"")</f>
        <v/>
      </c>
      <c r="K1493" t="s">
        <v>1214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3" s="5" t="s">
        <v>1282</v>
      </c>
    </row>
    <row r="1494" spans="1:16" ht="14.25" customHeight="1">
      <c r="A1494">
        <v>5058</v>
      </c>
      <c r="B1494">
        <v>0</v>
      </c>
      <c r="C1494">
        <v>0</v>
      </c>
      <c r="E1494" t="s">
        <v>2570</v>
      </c>
      <c r="F1494">
        <v>6</v>
      </c>
      <c r="G1494" s="8" t="s">
        <v>728</v>
      </c>
      <c r="H1494" s="15" t="s">
        <v>4126</v>
      </c>
      <c r="I1494" s="15" t="s">
        <v>4590</v>
      </c>
      <c r="J1494" t="str">
        <f>IF(LEN(VLOOKUP(表1[[#This Row],[id]],数据引用!A:C,3,FALSE))&gt;0,VLOOKUP(表1[[#This Row],[id]],数据引用!A:C,3,FALSE),"")</f>
        <v/>
      </c>
      <c r="K1494" t="s">
        <v>1214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4" s="5" t="s">
        <v>1282</v>
      </c>
    </row>
    <row r="1495" spans="1:16" ht="14.25" customHeight="1">
      <c r="A1495">
        <v>5059</v>
      </c>
      <c r="B1495">
        <v>0</v>
      </c>
      <c r="C1495">
        <v>0</v>
      </c>
      <c r="E1495" t="s">
        <v>2570</v>
      </c>
      <c r="F1495">
        <v>6</v>
      </c>
      <c r="G1495" s="8" t="s">
        <v>1159</v>
      </c>
      <c r="H1495" s="15" t="s">
        <v>4127</v>
      </c>
      <c r="I1495" s="15" t="s">
        <v>4591</v>
      </c>
      <c r="J1495" t="str">
        <f>IF(LEN(VLOOKUP(表1[[#This Row],[id]],数据引用!A:C,3,FALSE))&gt;0,VLOOKUP(表1[[#This Row],[id]],数据引用!A:C,3,FALSE),"")</f>
        <v/>
      </c>
      <c r="K1495" t="s">
        <v>1214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5" s="5" t="s">
        <v>1282</v>
      </c>
    </row>
    <row r="1496" spans="1:16" ht="14.25" customHeight="1">
      <c r="A1496">
        <v>5060</v>
      </c>
      <c r="B1496">
        <v>0</v>
      </c>
      <c r="C1496">
        <v>0</v>
      </c>
      <c r="E1496" t="s">
        <v>2570</v>
      </c>
      <c r="F1496">
        <v>6</v>
      </c>
      <c r="G1496" s="8" t="s">
        <v>1160</v>
      </c>
      <c r="H1496" s="15" t="s">
        <v>4128</v>
      </c>
      <c r="I1496" s="15" t="s">
        <v>4592</v>
      </c>
      <c r="J1496" t="str">
        <f>IF(LEN(VLOOKUP(表1[[#This Row],[id]],数据引用!A:C,3,FALSE))&gt;0,VLOOKUP(表1[[#This Row],[id]],数据引用!A:C,3,FALSE),"")</f>
        <v/>
      </c>
      <c r="K1496" t="s">
        <v>1214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6" s="5" t="s">
        <v>1282</v>
      </c>
    </row>
    <row r="1497" spans="1:16" ht="14.25" customHeight="1">
      <c r="A1497">
        <v>5061</v>
      </c>
      <c r="B1497">
        <v>0</v>
      </c>
      <c r="C1497">
        <v>0</v>
      </c>
      <c r="E1497" t="s">
        <v>2570</v>
      </c>
      <c r="F1497">
        <v>6</v>
      </c>
      <c r="G1497" s="8" t="s">
        <v>1161</v>
      </c>
      <c r="H1497" s="15" t="s">
        <v>4129</v>
      </c>
      <c r="I1497" s="15" t="s">
        <v>4593</v>
      </c>
      <c r="J1497" t="str">
        <f>IF(LEN(VLOOKUP(表1[[#This Row],[id]],数据引用!A:C,3,FALSE))&gt;0,VLOOKUP(表1[[#This Row],[id]],数据引用!A:C,3,FALSE),"")</f>
        <v/>
      </c>
      <c r="K1497" t="s">
        <v>1214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7" s="5" t="s">
        <v>1282</v>
      </c>
    </row>
    <row r="1498" spans="1:16" ht="14.25" customHeight="1">
      <c r="A1498">
        <v>5062</v>
      </c>
      <c r="B1498">
        <v>0</v>
      </c>
      <c r="C1498">
        <v>0</v>
      </c>
      <c r="E1498" t="s">
        <v>2570</v>
      </c>
      <c r="F1498">
        <v>6</v>
      </c>
      <c r="G1498" s="8" t="s">
        <v>1162</v>
      </c>
      <c r="H1498" s="15" t="s">
        <v>4130</v>
      </c>
      <c r="I1498" s="15" t="s">
        <v>4594</v>
      </c>
      <c r="J1498" t="str">
        <f>IF(LEN(VLOOKUP(表1[[#This Row],[id]],数据引用!A:C,3,FALSE))&gt;0,VLOOKUP(表1[[#This Row],[id]],数据引用!A:C,3,FALSE),"")</f>
        <v/>
      </c>
      <c r="K1498" t="s">
        <v>1214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8" s="5" t="s">
        <v>1282</v>
      </c>
    </row>
    <row r="1499" spans="1:16" ht="14.25" customHeight="1">
      <c r="A1499">
        <v>5063</v>
      </c>
      <c r="B1499">
        <v>0</v>
      </c>
      <c r="C1499">
        <v>0</v>
      </c>
      <c r="E1499" t="s">
        <v>2570</v>
      </c>
      <c r="F1499">
        <v>6</v>
      </c>
      <c r="G1499" s="8" t="s">
        <v>1163</v>
      </c>
      <c r="H1499" s="15" t="s">
        <v>4131</v>
      </c>
      <c r="I1499" s="15" t="s">
        <v>4595</v>
      </c>
      <c r="J1499" t="str">
        <f>IF(LEN(VLOOKUP(表1[[#This Row],[id]],数据引用!A:C,3,FALSE))&gt;0,VLOOKUP(表1[[#This Row],[id]],数据引用!A:C,3,FALSE),"")</f>
        <v/>
      </c>
      <c r="K1499" t="s">
        <v>1214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9" s="5" t="s">
        <v>1282</v>
      </c>
    </row>
    <row r="1500" spans="1:16" ht="14.25" customHeight="1">
      <c r="A1500">
        <v>5064</v>
      </c>
      <c r="B1500">
        <v>0</v>
      </c>
      <c r="C1500">
        <v>0</v>
      </c>
      <c r="E1500" t="s">
        <v>2570</v>
      </c>
      <c r="F1500">
        <v>6</v>
      </c>
      <c r="G1500" s="8" t="s">
        <v>1164</v>
      </c>
      <c r="H1500" s="15" t="s">
        <v>4132</v>
      </c>
      <c r="I1500" s="15" t="s">
        <v>4596</v>
      </c>
      <c r="J1500" t="str">
        <f>IF(LEN(VLOOKUP(表1[[#This Row],[id]],数据引用!A:C,3,FALSE))&gt;0,VLOOKUP(表1[[#This Row],[id]],数据引用!A:C,3,FALSE),"")</f>
        <v/>
      </c>
      <c r="K1500" t="s">
        <v>1214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0" s="5" t="s">
        <v>1282</v>
      </c>
    </row>
    <row r="1501" spans="1:16" ht="14.25" customHeight="1">
      <c r="A1501">
        <v>5065</v>
      </c>
      <c r="B1501">
        <v>0</v>
      </c>
      <c r="C1501">
        <v>0</v>
      </c>
      <c r="E1501" t="s">
        <v>2570</v>
      </c>
      <c r="F1501">
        <v>6</v>
      </c>
      <c r="G1501" s="8" t="s">
        <v>1165</v>
      </c>
      <c r="H1501" s="15" t="s">
        <v>4133</v>
      </c>
      <c r="I1501" s="15" t="s">
        <v>4597</v>
      </c>
      <c r="J1501" t="str">
        <f>IF(LEN(VLOOKUP(表1[[#This Row],[id]],数据引用!A:C,3,FALSE))&gt;0,VLOOKUP(表1[[#This Row],[id]],数据引用!A:C,3,FALSE),"")</f>
        <v/>
      </c>
      <c r="K1501" t="s">
        <v>1214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1" s="5" t="s">
        <v>1282</v>
      </c>
    </row>
    <row r="1502" spans="1:16" ht="14.25" customHeight="1">
      <c r="A1502">
        <v>5066</v>
      </c>
      <c r="B1502">
        <v>0</v>
      </c>
      <c r="C1502">
        <v>0</v>
      </c>
      <c r="E1502" t="s">
        <v>2570</v>
      </c>
      <c r="F1502">
        <v>6</v>
      </c>
      <c r="G1502" s="8" t="s">
        <v>1166</v>
      </c>
      <c r="H1502" s="15" t="s">
        <v>4134</v>
      </c>
      <c r="I1502" s="15" t="s">
        <v>4598</v>
      </c>
      <c r="J1502" t="str">
        <f>IF(LEN(VLOOKUP(表1[[#This Row],[id]],数据引用!A:C,3,FALSE))&gt;0,VLOOKUP(表1[[#This Row],[id]],数据引用!A:C,3,FALSE),"")</f>
        <v/>
      </c>
      <c r="K1502" t="s">
        <v>1214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2" s="5" t="s">
        <v>1282</v>
      </c>
    </row>
    <row r="1503" spans="1:16" ht="14.25" customHeight="1">
      <c r="A1503">
        <v>5067</v>
      </c>
      <c r="B1503">
        <v>0</v>
      </c>
      <c r="C1503">
        <v>0</v>
      </c>
      <c r="E1503" t="s">
        <v>2570</v>
      </c>
      <c r="F1503">
        <v>6</v>
      </c>
      <c r="G1503" s="8" t="s">
        <v>1167</v>
      </c>
      <c r="H1503" s="15" t="s">
        <v>4135</v>
      </c>
      <c r="I1503" s="15" t="s">
        <v>4599</v>
      </c>
      <c r="J1503" t="str">
        <f>IF(LEN(VLOOKUP(表1[[#This Row],[id]],数据引用!A:C,3,FALSE))&gt;0,VLOOKUP(表1[[#This Row],[id]],数据引用!A:C,3,FALSE),"")</f>
        <v/>
      </c>
      <c r="K1503" t="s">
        <v>1214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3" s="5" t="s">
        <v>1282</v>
      </c>
    </row>
    <row r="1504" spans="1:16" ht="14.25" customHeight="1">
      <c r="A1504">
        <v>5068</v>
      </c>
      <c r="B1504">
        <v>0</v>
      </c>
      <c r="C1504">
        <v>0</v>
      </c>
      <c r="E1504" t="s">
        <v>2570</v>
      </c>
      <c r="F1504">
        <v>6</v>
      </c>
      <c r="G1504" s="8" t="s">
        <v>1168</v>
      </c>
      <c r="H1504" s="15" t="s">
        <v>4136</v>
      </c>
      <c r="I1504" s="15" t="s">
        <v>4600</v>
      </c>
      <c r="J1504" t="str">
        <f>IF(LEN(VLOOKUP(表1[[#This Row],[id]],数据引用!A:C,3,FALSE))&gt;0,VLOOKUP(表1[[#This Row],[id]],数据引用!A:C,3,FALSE),"")</f>
        <v/>
      </c>
      <c r="K1504" t="s">
        <v>1214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4" s="5" t="s">
        <v>1282</v>
      </c>
    </row>
    <row r="1505" spans="1:16" ht="14.25" customHeight="1">
      <c r="A1505">
        <v>5069</v>
      </c>
      <c r="B1505">
        <v>0</v>
      </c>
      <c r="C1505">
        <v>0</v>
      </c>
      <c r="E1505" t="s">
        <v>2570</v>
      </c>
      <c r="F1505">
        <v>6</v>
      </c>
      <c r="G1505" s="8" t="s">
        <v>1169</v>
      </c>
      <c r="H1505" s="15" t="s">
        <v>4137</v>
      </c>
      <c r="I1505" s="15" t="s">
        <v>4601</v>
      </c>
      <c r="J1505" t="str">
        <f>IF(LEN(VLOOKUP(表1[[#This Row],[id]],数据引用!A:C,3,FALSE))&gt;0,VLOOKUP(表1[[#This Row],[id]],数据引用!A:C,3,FALSE),"")</f>
        <v/>
      </c>
      <c r="K1505" t="s">
        <v>1214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5" s="5" t="s">
        <v>1282</v>
      </c>
    </row>
    <row r="1506" spans="1:16" ht="14.25" customHeight="1">
      <c r="A1506">
        <v>5070</v>
      </c>
      <c r="B1506">
        <v>0</v>
      </c>
      <c r="C1506">
        <v>0</v>
      </c>
      <c r="E1506" t="s">
        <v>2570</v>
      </c>
      <c r="F1506">
        <v>6</v>
      </c>
      <c r="G1506" s="8" t="s">
        <v>1170</v>
      </c>
      <c r="H1506" s="15" t="s">
        <v>4138</v>
      </c>
      <c r="I1506" s="15" t="s">
        <v>4602</v>
      </c>
      <c r="J1506" t="str">
        <f>IF(LEN(VLOOKUP(表1[[#This Row],[id]],数据引用!A:C,3,FALSE))&gt;0,VLOOKUP(表1[[#This Row],[id]],数据引用!A:C,3,FALSE),"")</f>
        <v/>
      </c>
      <c r="K1506" t="s">
        <v>1214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6" s="5" t="s">
        <v>1282</v>
      </c>
    </row>
    <row r="1507" spans="1:16" ht="14.25" customHeight="1">
      <c r="A1507">
        <v>5071</v>
      </c>
      <c r="B1507">
        <v>0</v>
      </c>
      <c r="C1507">
        <v>0</v>
      </c>
      <c r="E1507" t="s">
        <v>2570</v>
      </c>
      <c r="F1507">
        <v>6</v>
      </c>
      <c r="G1507" s="8" t="s">
        <v>1171</v>
      </c>
      <c r="H1507" s="15" t="s">
        <v>4139</v>
      </c>
      <c r="I1507" s="15" t="s">
        <v>4603</v>
      </c>
      <c r="J1507" t="str">
        <f>IF(LEN(VLOOKUP(表1[[#This Row],[id]],数据引用!A:C,3,FALSE))&gt;0,VLOOKUP(表1[[#This Row],[id]],数据引用!A:C,3,FALSE),"")</f>
        <v/>
      </c>
      <c r="K1507" t="s">
        <v>1214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7" s="5" t="s">
        <v>1282</v>
      </c>
    </row>
    <row r="1508" spans="1:16" ht="14.25" customHeight="1">
      <c r="A1508">
        <v>5072</v>
      </c>
      <c r="B1508">
        <v>0</v>
      </c>
      <c r="C1508">
        <v>0</v>
      </c>
      <c r="E1508" t="s">
        <v>2570</v>
      </c>
      <c r="F1508">
        <v>6</v>
      </c>
      <c r="G1508" s="8" t="s">
        <v>1172</v>
      </c>
      <c r="H1508" s="15" t="s">
        <v>4140</v>
      </c>
      <c r="I1508" s="15" t="s">
        <v>4604</v>
      </c>
      <c r="J1508" t="str">
        <f>IF(LEN(VLOOKUP(表1[[#This Row],[id]],数据引用!A:C,3,FALSE))&gt;0,VLOOKUP(表1[[#This Row],[id]],数据引用!A:C,3,FALSE),"")</f>
        <v/>
      </c>
      <c r="K1508" t="s">
        <v>1214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8" s="5" t="s">
        <v>1282</v>
      </c>
    </row>
    <row r="1509" spans="1:16" ht="14.25" customHeight="1">
      <c r="A1509">
        <v>5073</v>
      </c>
      <c r="B1509">
        <v>0</v>
      </c>
      <c r="C1509">
        <v>0</v>
      </c>
      <c r="E1509" t="s">
        <v>2570</v>
      </c>
      <c r="F1509">
        <v>6</v>
      </c>
      <c r="G1509" s="8" t="s">
        <v>1173</v>
      </c>
      <c r="H1509" s="15" t="s">
        <v>4141</v>
      </c>
      <c r="I1509" s="15" t="s">
        <v>4605</v>
      </c>
      <c r="J1509" t="str">
        <f>IF(LEN(VLOOKUP(表1[[#This Row],[id]],数据引用!A:C,3,FALSE))&gt;0,VLOOKUP(表1[[#This Row],[id]],数据引用!A:C,3,FALSE),"")</f>
        <v/>
      </c>
      <c r="K1509" t="s">
        <v>1214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9" s="5" t="s">
        <v>1282</v>
      </c>
    </row>
    <row r="1510" spans="1:16" ht="14.25" customHeight="1">
      <c r="A1510">
        <v>5074</v>
      </c>
      <c r="B1510">
        <v>0</v>
      </c>
      <c r="C1510">
        <v>0</v>
      </c>
      <c r="E1510" t="s">
        <v>2570</v>
      </c>
      <c r="F1510">
        <v>6</v>
      </c>
      <c r="G1510" s="8" t="s">
        <v>1174</v>
      </c>
      <c r="H1510" s="15" t="s">
        <v>4142</v>
      </c>
      <c r="I1510" s="15" t="s">
        <v>4606</v>
      </c>
      <c r="J1510" t="str">
        <f>IF(LEN(VLOOKUP(表1[[#This Row],[id]],数据引用!A:C,3,FALSE))&gt;0,VLOOKUP(表1[[#This Row],[id]],数据引用!A:C,3,FALSE),"")</f>
        <v/>
      </c>
      <c r="K1510" t="s">
        <v>1214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0" s="5" t="s">
        <v>1282</v>
      </c>
    </row>
    <row r="1511" spans="1:16" ht="14.25" customHeight="1">
      <c r="A1511">
        <v>5075</v>
      </c>
      <c r="B1511">
        <v>0</v>
      </c>
      <c r="C1511">
        <v>0</v>
      </c>
      <c r="E1511" t="s">
        <v>2570</v>
      </c>
      <c r="F1511">
        <v>6</v>
      </c>
      <c r="G1511" s="8" t="s">
        <v>1175</v>
      </c>
      <c r="H1511" s="15" t="s">
        <v>4143</v>
      </c>
      <c r="I1511" s="15" t="s">
        <v>4607</v>
      </c>
      <c r="J1511" t="str">
        <f>IF(LEN(VLOOKUP(表1[[#This Row],[id]],数据引用!A:C,3,FALSE))&gt;0,VLOOKUP(表1[[#This Row],[id]],数据引用!A:C,3,FALSE),"")</f>
        <v/>
      </c>
      <c r="K1511" t="s">
        <v>1214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1" s="5" t="s">
        <v>1282</v>
      </c>
    </row>
    <row r="1512" spans="1:16" ht="14.25" customHeight="1">
      <c r="A1512">
        <v>5076</v>
      </c>
      <c r="B1512">
        <v>0</v>
      </c>
      <c r="C1512">
        <v>0</v>
      </c>
      <c r="E1512" t="s">
        <v>2570</v>
      </c>
      <c r="F1512">
        <v>6</v>
      </c>
      <c r="G1512" s="8" t="s">
        <v>839</v>
      </c>
      <c r="H1512" s="15" t="s">
        <v>4144</v>
      </c>
      <c r="I1512" s="15" t="s">
        <v>4608</v>
      </c>
      <c r="J1512" t="str">
        <f>IF(LEN(VLOOKUP(表1[[#This Row],[id]],数据引用!A:C,3,FALSE))&gt;0,VLOOKUP(表1[[#This Row],[id]],数据引用!A:C,3,FALSE),"")</f>
        <v/>
      </c>
      <c r="K1512" t="s">
        <v>1214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2" s="5" t="s">
        <v>1282</v>
      </c>
    </row>
    <row r="1513" spans="1:16" ht="14.25" customHeight="1">
      <c r="A1513">
        <v>5077</v>
      </c>
      <c r="B1513">
        <v>0</v>
      </c>
      <c r="C1513">
        <v>0</v>
      </c>
      <c r="E1513" t="s">
        <v>2570</v>
      </c>
      <c r="F1513">
        <v>6</v>
      </c>
      <c r="G1513" s="8" t="s">
        <v>1176</v>
      </c>
      <c r="H1513" s="15" t="s">
        <v>4145</v>
      </c>
      <c r="I1513" s="15" t="s">
        <v>4609</v>
      </c>
      <c r="J1513" t="str">
        <f>IF(LEN(VLOOKUP(表1[[#This Row],[id]],数据引用!A:C,3,FALSE))&gt;0,VLOOKUP(表1[[#This Row],[id]],数据引用!A:C,3,FALSE),"")</f>
        <v/>
      </c>
      <c r="K1513" t="s">
        <v>1214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3" s="5" t="s">
        <v>1282</v>
      </c>
    </row>
    <row r="1514" spans="1:16" ht="14.25" customHeight="1">
      <c r="A1514">
        <v>5078</v>
      </c>
      <c r="B1514">
        <v>0</v>
      </c>
      <c r="C1514">
        <v>0</v>
      </c>
      <c r="E1514" t="s">
        <v>2570</v>
      </c>
      <c r="F1514">
        <v>6</v>
      </c>
      <c r="G1514" s="8" t="s">
        <v>1177</v>
      </c>
      <c r="H1514" s="15" t="s">
        <v>4146</v>
      </c>
      <c r="I1514" s="15" t="s">
        <v>4610</v>
      </c>
      <c r="J1514" t="str">
        <f>IF(LEN(VLOOKUP(表1[[#This Row],[id]],数据引用!A:C,3,FALSE))&gt;0,VLOOKUP(表1[[#This Row],[id]],数据引用!A:C,3,FALSE),"")</f>
        <v/>
      </c>
      <c r="K1514" t="s">
        <v>1214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4" s="5" t="s">
        <v>1282</v>
      </c>
    </row>
    <row r="1515" spans="1:16" ht="14.25" customHeight="1">
      <c r="A1515">
        <v>5079</v>
      </c>
      <c r="B1515">
        <v>0</v>
      </c>
      <c r="C1515">
        <v>0</v>
      </c>
      <c r="E1515" t="s">
        <v>2570</v>
      </c>
      <c r="F1515">
        <v>6</v>
      </c>
      <c r="G1515" s="8" t="s">
        <v>1178</v>
      </c>
      <c r="H1515" s="15" t="s">
        <v>4147</v>
      </c>
      <c r="I1515" s="15" t="s">
        <v>4611</v>
      </c>
      <c r="J1515" t="str">
        <f>IF(LEN(VLOOKUP(表1[[#This Row],[id]],数据引用!A:C,3,FALSE))&gt;0,VLOOKUP(表1[[#This Row],[id]],数据引用!A:C,3,FALSE),"")</f>
        <v/>
      </c>
      <c r="K1515" t="s">
        <v>1214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5" s="5" t="s">
        <v>1282</v>
      </c>
    </row>
    <row r="1516" spans="1:16" ht="14.25" customHeight="1">
      <c r="A1516">
        <v>5080</v>
      </c>
      <c r="B1516">
        <v>0</v>
      </c>
      <c r="C1516">
        <v>0</v>
      </c>
      <c r="E1516" t="s">
        <v>2570</v>
      </c>
      <c r="F1516">
        <v>6</v>
      </c>
      <c r="G1516" s="8" t="s">
        <v>1179</v>
      </c>
      <c r="H1516" s="15" t="s">
        <v>4148</v>
      </c>
      <c r="I1516" s="15" t="s">
        <v>4612</v>
      </c>
      <c r="J1516" t="str">
        <f>IF(LEN(VLOOKUP(表1[[#This Row],[id]],数据引用!A:C,3,FALSE))&gt;0,VLOOKUP(表1[[#This Row],[id]],数据引用!A:C,3,FALSE),"")</f>
        <v/>
      </c>
      <c r="K1516" t="s">
        <v>1214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6" s="5" t="s">
        <v>1282</v>
      </c>
    </row>
    <row r="1517" spans="1:16" ht="14.25" customHeight="1">
      <c r="A1517">
        <v>5081</v>
      </c>
      <c r="B1517">
        <v>0</v>
      </c>
      <c r="C1517">
        <v>0</v>
      </c>
      <c r="E1517" t="s">
        <v>2570</v>
      </c>
      <c r="F1517">
        <v>6</v>
      </c>
      <c r="G1517" s="8" t="s">
        <v>1180</v>
      </c>
      <c r="H1517" s="15" t="s">
        <v>4149</v>
      </c>
      <c r="I1517" s="15" t="s">
        <v>4613</v>
      </c>
      <c r="J1517" t="str">
        <f>IF(LEN(VLOOKUP(表1[[#This Row],[id]],数据引用!A:C,3,FALSE))&gt;0,VLOOKUP(表1[[#This Row],[id]],数据引用!A:C,3,FALSE),"")</f>
        <v/>
      </c>
      <c r="K1517" t="s">
        <v>1214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7" s="5" t="s">
        <v>1282</v>
      </c>
    </row>
    <row r="1518" spans="1:16" ht="14.25" customHeight="1">
      <c r="A1518">
        <v>5082</v>
      </c>
      <c r="B1518">
        <v>0</v>
      </c>
      <c r="C1518">
        <v>0</v>
      </c>
      <c r="E1518" t="s">
        <v>2570</v>
      </c>
      <c r="F1518">
        <v>6</v>
      </c>
      <c r="G1518" s="8" t="s">
        <v>1181</v>
      </c>
      <c r="H1518" s="15" t="s">
        <v>4150</v>
      </c>
      <c r="I1518" s="15" t="s">
        <v>4614</v>
      </c>
      <c r="J1518" t="str">
        <f>IF(LEN(VLOOKUP(表1[[#This Row],[id]],数据引用!A:C,3,FALSE))&gt;0,VLOOKUP(表1[[#This Row],[id]],数据引用!A:C,3,FALSE),"")</f>
        <v/>
      </c>
      <c r="K1518" t="s">
        <v>1214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8" s="5" t="s">
        <v>1282</v>
      </c>
    </row>
    <row r="1519" spans="1:16" ht="14.25" customHeight="1">
      <c r="A1519">
        <v>5083</v>
      </c>
      <c r="B1519">
        <v>0</v>
      </c>
      <c r="C1519">
        <v>0</v>
      </c>
      <c r="E1519" t="s">
        <v>2570</v>
      </c>
      <c r="F1519">
        <v>6</v>
      </c>
      <c r="G1519" s="8" t="s">
        <v>1182</v>
      </c>
      <c r="H1519" s="15" t="s">
        <v>4151</v>
      </c>
      <c r="I1519" s="15" t="s">
        <v>4615</v>
      </c>
      <c r="J1519" t="str">
        <f>IF(LEN(VLOOKUP(表1[[#This Row],[id]],数据引用!A:C,3,FALSE))&gt;0,VLOOKUP(表1[[#This Row],[id]],数据引用!A:C,3,FALSE),"")</f>
        <v/>
      </c>
      <c r="K1519" t="s">
        <v>1214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9" s="5" t="s">
        <v>1282</v>
      </c>
    </row>
    <row r="1520" spans="1:16" ht="14.25" customHeight="1">
      <c r="A1520">
        <v>5084</v>
      </c>
      <c r="B1520">
        <v>0</v>
      </c>
      <c r="C1520">
        <v>0</v>
      </c>
      <c r="E1520" t="s">
        <v>2570</v>
      </c>
      <c r="F1520">
        <v>6</v>
      </c>
      <c r="G1520" s="8" t="s">
        <v>1183</v>
      </c>
      <c r="H1520" s="15" t="s">
        <v>4152</v>
      </c>
      <c r="I1520" s="15" t="s">
        <v>4616</v>
      </c>
      <c r="J1520" t="str">
        <f>IF(LEN(VLOOKUP(表1[[#This Row],[id]],数据引用!A:C,3,FALSE))&gt;0,VLOOKUP(表1[[#This Row],[id]],数据引用!A:C,3,FALSE),"")</f>
        <v/>
      </c>
      <c r="K1520" t="s">
        <v>1214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0" s="5" t="s">
        <v>1282</v>
      </c>
    </row>
    <row r="1521" spans="1:16" ht="14.25" customHeight="1">
      <c r="A1521">
        <v>5085</v>
      </c>
      <c r="B1521">
        <v>0</v>
      </c>
      <c r="C1521">
        <v>0</v>
      </c>
      <c r="E1521" t="s">
        <v>2570</v>
      </c>
      <c r="F1521">
        <v>6</v>
      </c>
      <c r="G1521" s="8" t="s">
        <v>1184</v>
      </c>
      <c r="H1521" s="15" t="s">
        <v>4153</v>
      </c>
      <c r="I1521" s="15" t="s">
        <v>4617</v>
      </c>
      <c r="J1521" t="str">
        <f>IF(LEN(VLOOKUP(表1[[#This Row],[id]],数据引用!A:C,3,FALSE))&gt;0,VLOOKUP(表1[[#This Row],[id]],数据引用!A:C,3,FALSE),"")</f>
        <v/>
      </c>
      <c r="K1521" t="s">
        <v>1214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1" s="5" t="s">
        <v>1282</v>
      </c>
    </row>
    <row r="1522" spans="1:16" ht="14.25" customHeight="1">
      <c r="A1522">
        <v>5086</v>
      </c>
      <c r="B1522">
        <v>0</v>
      </c>
      <c r="C1522">
        <v>0</v>
      </c>
      <c r="E1522" t="s">
        <v>2570</v>
      </c>
      <c r="F1522">
        <v>6</v>
      </c>
      <c r="G1522" s="8" t="s">
        <v>1185</v>
      </c>
      <c r="H1522" s="15" t="s">
        <v>4154</v>
      </c>
      <c r="I1522" s="15" t="s">
        <v>4618</v>
      </c>
      <c r="J1522" t="str">
        <f>IF(LEN(VLOOKUP(表1[[#This Row],[id]],数据引用!A:C,3,FALSE))&gt;0,VLOOKUP(表1[[#This Row],[id]],数据引用!A:C,3,FALSE),"")</f>
        <v/>
      </c>
      <c r="K1522" t="s">
        <v>1214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2" s="5" t="s">
        <v>1282</v>
      </c>
    </row>
    <row r="1523" spans="1:16" ht="14.25" customHeight="1">
      <c r="A1523">
        <v>5087</v>
      </c>
      <c r="B1523">
        <v>0</v>
      </c>
      <c r="C1523">
        <v>0</v>
      </c>
      <c r="E1523" t="s">
        <v>2570</v>
      </c>
      <c r="F1523">
        <v>6</v>
      </c>
      <c r="G1523" s="8" t="s">
        <v>1175</v>
      </c>
      <c r="H1523" s="15" t="s">
        <v>4155</v>
      </c>
      <c r="I1523" s="15" t="s">
        <v>4619</v>
      </c>
      <c r="J1523" t="str">
        <f>IF(LEN(VLOOKUP(表1[[#This Row],[id]],数据引用!A:C,3,FALSE))&gt;0,VLOOKUP(表1[[#This Row],[id]],数据引用!A:C,3,FALSE),"")</f>
        <v/>
      </c>
      <c r="K1523" t="s">
        <v>1214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3" s="5" t="s">
        <v>1282</v>
      </c>
    </row>
    <row r="1524" spans="1:16" ht="14.25" customHeight="1">
      <c r="A1524">
        <v>5088</v>
      </c>
      <c r="B1524">
        <v>0</v>
      </c>
      <c r="C1524">
        <v>0</v>
      </c>
      <c r="E1524" t="s">
        <v>2570</v>
      </c>
      <c r="F1524">
        <v>6</v>
      </c>
      <c r="G1524" s="8" t="s">
        <v>63</v>
      </c>
      <c r="H1524" s="15" t="s">
        <v>4156</v>
      </c>
      <c r="I1524" s="15" t="s">
        <v>4620</v>
      </c>
      <c r="J1524" t="str">
        <f>IF(LEN(VLOOKUP(表1[[#This Row],[id]],数据引用!A:C,3,FALSE))&gt;0,VLOOKUP(表1[[#This Row],[id]],数据引用!A:C,3,FALSE),"")</f>
        <v/>
      </c>
      <c r="K1524" t="s">
        <v>1214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4" s="5" t="s">
        <v>1282</v>
      </c>
    </row>
    <row r="1525" spans="1:16" ht="14.25" customHeight="1">
      <c r="A1525">
        <v>5089</v>
      </c>
      <c r="B1525">
        <v>0</v>
      </c>
      <c r="C1525">
        <v>0</v>
      </c>
      <c r="E1525" t="s">
        <v>2570</v>
      </c>
      <c r="F1525">
        <v>6</v>
      </c>
      <c r="G1525" s="8" t="s">
        <v>1186</v>
      </c>
      <c r="H1525" s="15" t="s">
        <v>4157</v>
      </c>
      <c r="I1525" s="15" t="s">
        <v>4621</v>
      </c>
      <c r="J1525" t="str">
        <f>IF(LEN(VLOOKUP(表1[[#This Row],[id]],数据引用!A:C,3,FALSE))&gt;0,VLOOKUP(表1[[#This Row],[id]],数据引用!A:C,3,FALSE),"")</f>
        <v/>
      </c>
      <c r="K1525" t="s">
        <v>1214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5" s="5" t="s">
        <v>1282</v>
      </c>
    </row>
    <row r="1526" spans="1:16" ht="14.25" customHeight="1">
      <c r="A1526">
        <v>5090</v>
      </c>
      <c r="B1526">
        <v>0</v>
      </c>
      <c r="C1526">
        <v>0</v>
      </c>
      <c r="E1526" t="s">
        <v>2570</v>
      </c>
      <c r="F1526">
        <v>6</v>
      </c>
      <c r="G1526" s="8" t="s">
        <v>1187</v>
      </c>
      <c r="H1526" s="15" t="s">
        <v>4158</v>
      </c>
      <c r="I1526" s="15" t="s">
        <v>4622</v>
      </c>
      <c r="J1526" t="str">
        <f>IF(LEN(VLOOKUP(表1[[#This Row],[id]],数据引用!A:C,3,FALSE))&gt;0,VLOOKUP(表1[[#This Row],[id]],数据引用!A:C,3,FALSE),"")</f>
        <v/>
      </c>
      <c r="K1526" t="s">
        <v>1214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6" s="5" t="s">
        <v>1282</v>
      </c>
    </row>
    <row r="1527" spans="1:16" ht="14.25" customHeight="1">
      <c r="A1527">
        <v>5091</v>
      </c>
      <c r="B1527">
        <v>0</v>
      </c>
      <c r="C1527">
        <v>0</v>
      </c>
      <c r="E1527" t="s">
        <v>2570</v>
      </c>
      <c r="F1527">
        <v>6</v>
      </c>
      <c r="G1527" s="8" t="s">
        <v>1188</v>
      </c>
      <c r="H1527" s="15" t="s">
        <v>4159</v>
      </c>
      <c r="I1527" s="15" t="s">
        <v>4623</v>
      </c>
      <c r="J1527" t="str">
        <f>IF(LEN(VLOOKUP(表1[[#This Row],[id]],数据引用!A:C,3,FALSE))&gt;0,VLOOKUP(表1[[#This Row],[id]],数据引用!A:C,3,FALSE),"")</f>
        <v/>
      </c>
      <c r="K1527" t="s">
        <v>1214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7" s="5" t="s">
        <v>1282</v>
      </c>
    </row>
    <row r="1528" spans="1:16" ht="14.25" customHeight="1">
      <c r="A1528">
        <v>5092</v>
      </c>
      <c r="B1528">
        <v>0</v>
      </c>
      <c r="C1528">
        <v>0</v>
      </c>
      <c r="E1528" t="s">
        <v>2570</v>
      </c>
      <c r="F1528">
        <v>6</v>
      </c>
      <c r="G1528" s="8" t="s">
        <v>1189</v>
      </c>
      <c r="H1528" s="15" t="s">
        <v>4160</v>
      </c>
      <c r="I1528" s="15" t="s">
        <v>4624</v>
      </c>
      <c r="J1528" t="str">
        <f>IF(LEN(VLOOKUP(表1[[#This Row],[id]],数据引用!A:C,3,FALSE))&gt;0,VLOOKUP(表1[[#This Row],[id]],数据引用!A:C,3,FALSE),"")</f>
        <v/>
      </c>
      <c r="K1528" t="s">
        <v>1214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8" s="5" t="s">
        <v>1282</v>
      </c>
    </row>
    <row r="1529" spans="1:16" ht="14.25" customHeight="1">
      <c r="A1529">
        <v>5093</v>
      </c>
      <c r="B1529">
        <v>0</v>
      </c>
      <c r="C1529">
        <v>0</v>
      </c>
      <c r="E1529" t="s">
        <v>2570</v>
      </c>
      <c r="F1529">
        <v>6</v>
      </c>
      <c r="G1529" s="8" t="s">
        <v>1190</v>
      </c>
      <c r="H1529" s="15" t="s">
        <v>4161</v>
      </c>
      <c r="I1529" s="15" t="s">
        <v>4625</v>
      </c>
      <c r="J1529" t="str">
        <f>IF(LEN(VLOOKUP(表1[[#This Row],[id]],数据引用!A:C,3,FALSE))&gt;0,VLOOKUP(表1[[#This Row],[id]],数据引用!A:C,3,FALSE),"")</f>
        <v/>
      </c>
      <c r="K1529" t="s">
        <v>1214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9" s="5" t="s">
        <v>1282</v>
      </c>
    </row>
    <row r="1530" spans="1:16" ht="14.25" customHeight="1">
      <c r="A1530">
        <v>5094</v>
      </c>
      <c r="B1530">
        <v>0</v>
      </c>
      <c r="C1530">
        <v>0</v>
      </c>
      <c r="E1530" t="s">
        <v>2570</v>
      </c>
      <c r="F1530">
        <v>6</v>
      </c>
      <c r="G1530" s="8" t="s">
        <v>1191</v>
      </c>
      <c r="H1530" s="15" t="s">
        <v>4162</v>
      </c>
      <c r="I1530" s="15" t="s">
        <v>4626</v>
      </c>
      <c r="J1530" t="str">
        <f>IF(LEN(VLOOKUP(表1[[#This Row],[id]],数据引用!A:C,3,FALSE))&gt;0,VLOOKUP(表1[[#This Row],[id]],数据引用!A:C,3,FALSE),"")</f>
        <v/>
      </c>
      <c r="K1530" t="s">
        <v>1214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0" s="5" t="s">
        <v>1282</v>
      </c>
    </row>
    <row r="1531" spans="1:16" ht="14.25" customHeight="1">
      <c r="A1531">
        <v>5095</v>
      </c>
      <c r="B1531">
        <v>0</v>
      </c>
      <c r="C1531">
        <v>0</v>
      </c>
      <c r="E1531" t="s">
        <v>2570</v>
      </c>
      <c r="F1531">
        <v>6</v>
      </c>
      <c r="G1531" s="8" t="s">
        <v>1192</v>
      </c>
      <c r="H1531" s="15" t="s">
        <v>4163</v>
      </c>
      <c r="I1531" s="15" t="s">
        <v>4627</v>
      </c>
      <c r="J1531" t="str">
        <f>IF(LEN(VLOOKUP(表1[[#This Row],[id]],数据引用!A:C,3,FALSE))&gt;0,VLOOKUP(表1[[#This Row],[id]],数据引用!A:C,3,FALSE),"")</f>
        <v/>
      </c>
      <c r="K1531" t="s">
        <v>1214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1" s="5" t="s">
        <v>1282</v>
      </c>
    </row>
    <row r="1532" spans="1:16" ht="14.25" customHeight="1">
      <c r="A1532">
        <v>5096</v>
      </c>
      <c r="B1532">
        <v>0</v>
      </c>
      <c r="C1532">
        <v>0</v>
      </c>
      <c r="E1532" t="s">
        <v>2570</v>
      </c>
      <c r="F1532">
        <v>6</v>
      </c>
      <c r="G1532" s="8" t="s">
        <v>1193</v>
      </c>
      <c r="H1532" s="15" t="s">
        <v>4164</v>
      </c>
      <c r="I1532" s="15" t="s">
        <v>4628</v>
      </c>
      <c r="J1532" t="str">
        <f>IF(LEN(VLOOKUP(表1[[#This Row],[id]],数据引用!A:C,3,FALSE))&gt;0,VLOOKUP(表1[[#This Row],[id]],数据引用!A:C,3,FALSE),"")</f>
        <v/>
      </c>
      <c r="K1532" t="s">
        <v>1214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2" s="5" t="s">
        <v>1282</v>
      </c>
    </row>
    <row r="1533" spans="1:16" ht="14.25" customHeight="1">
      <c r="A1533">
        <v>5097</v>
      </c>
      <c r="B1533">
        <v>0</v>
      </c>
      <c r="C1533">
        <v>0</v>
      </c>
      <c r="E1533" t="s">
        <v>2570</v>
      </c>
      <c r="F1533">
        <v>6</v>
      </c>
      <c r="G1533" s="8" t="s">
        <v>337</v>
      </c>
      <c r="H1533" s="15" t="s">
        <v>4165</v>
      </c>
      <c r="I1533" s="15" t="s">
        <v>4629</v>
      </c>
      <c r="J1533" t="str">
        <f>IF(LEN(VLOOKUP(表1[[#This Row],[id]],数据引用!A:C,3,FALSE))&gt;0,VLOOKUP(表1[[#This Row],[id]],数据引用!A:C,3,FALSE),"")</f>
        <v/>
      </c>
      <c r="K1533" t="s">
        <v>1214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3" s="5" t="s">
        <v>1282</v>
      </c>
    </row>
    <row r="1534" spans="1:16" ht="14.25" customHeight="1">
      <c r="A1534">
        <v>5098</v>
      </c>
      <c r="B1534">
        <v>0</v>
      </c>
      <c r="C1534" s="19">
        <v>-3</v>
      </c>
      <c r="E1534">
        <v>1</v>
      </c>
      <c r="F1534" s="19">
        <v>8</v>
      </c>
      <c r="G1534" s="17" t="s">
        <v>1194</v>
      </c>
      <c r="H1534" s="16" t="s">
        <v>4639</v>
      </c>
      <c r="I1534" s="16" t="s">
        <v>4630</v>
      </c>
      <c r="J1534" t="str">
        <f>IF(LEN(VLOOKUP(表1[[#This Row],[id]],数据引用!A:C,3,FALSE))&gt;0,VLOOKUP(表1[[#This Row],[id]],数据引用!A:C,3,FALSE),"")</f>
        <v>UP + DOWN</v>
      </c>
      <c r="K1534" t="s">
        <v>1214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font-size:12;"&gt;UP + DOWN&lt;/text&gt;&lt;text transform="matrix(1 0 0 1 0 10.3205)" style="fill:#FFFFFF; font-family:'FZXS12--GB1-0'; font-size:12;"&gt;UP + DOWN&lt;/text&gt;&lt;/svg&gt;</v>
      </c>
      <c r="P1534" s="5" t="s">
        <v>1282</v>
      </c>
    </row>
    <row r="1535" spans="1:16" ht="14.25" customHeight="1">
      <c r="A1535">
        <v>5099</v>
      </c>
      <c r="B1535">
        <v>0</v>
      </c>
      <c r="C1535" s="19">
        <v>-3</v>
      </c>
      <c r="E1535">
        <v>1</v>
      </c>
      <c r="F1535" s="19">
        <v>8</v>
      </c>
      <c r="G1535" s="17" t="s">
        <v>1195</v>
      </c>
      <c r="H1535" s="16" t="s">
        <v>4166</v>
      </c>
      <c r="I1535" s="16" t="s">
        <v>4631</v>
      </c>
      <c r="J1535" t="str">
        <f>IF(LEN(VLOOKUP(表1[[#This Row],[id]],数据引用!A:C,3,FALSE))&gt;0,VLOOKUP(表1[[#This Row],[id]],数据引用!A:C,3,FALSE),"")</f>
        <v>LEFT +</v>
      </c>
      <c r="K1535" t="s">
        <v>1214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font-size:12;"&gt;LEFT +&lt;/text&gt;&lt;text transform="matrix(1 0 0 1 0 10.3205)" style="fill:#FFFFFF; font-family:'FZXS12--GB1-0'; font-size:12;"&gt;LEFT +&lt;/text&gt;&lt;/svg&gt;</v>
      </c>
      <c r="P1535" s="5" t="s">
        <v>1282</v>
      </c>
    </row>
    <row r="1536" spans="1:16" ht="14.25" customHeight="1">
      <c r="A1536">
        <v>5100</v>
      </c>
      <c r="B1536">
        <v>0</v>
      </c>
      <c r="C1536" s="19">
        <v>-3</v>
      </c>
      <c r="E1536">
        <v>1</v>
      </c>
      <c r="F1536" s="19">
        <v>8</v>
      </c>
      <c r="G1536" s="17" t="s">
        <v>728</v>
      </c>
      <c r="H1536" s="16" t="s">
        <v>4167</v>
      </c>
      <c r="I1536" s="16" t="s">
        <v>4632</v>
      </c>
      <c r="J1536" t="str">
        <f>IF(LEN(VLOOKUP(表1[[#This Row],[id]],数据引用!A:C,3,FALSE))&gt;0,VLOOKUP(表1[[#This Row],[id]],数据引用!A:C,3,FALSE),"")</f>
        <v>RIGHT</v>
      </c>
      <c r="K1536" t="s">
        <v>1214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font-size:12;"&gt;RIGHT&lt;/text&gt;&lt;text transform="matrix(1 0 0 1 0 10.3205)" style="fill:#FFFFFF; font-family:'FZXS12--GB1-0'; font-size:12;"&gt;RIGHT&lt;/text&gt;&lt;/svg&gt;</v>
      </c>
      <c r="P1536" s="5" t="s">
        <v>1282</v>
      </c>
    </row>
    <row r="1537" spans="1:16" ht="14.25" customHeight="1">
      <c r="A1537">
        <v>5101</v>
      </c>
      <c r="B1537">
        <v>0</v>
      </c>
      <c r="C1537" s="19">
        <v>-3</v>
      </c>
      <c r="E1537">
        <v>1</v>
      </c>
      <c r="F1537" s="19">
        <v>8</v>
      </c>
      <c r="G1537" s="17" t="s">
        <v>1196</v>
      </c>
      <c r="H1537" s="16" t="s">
        <v>4168</v>
      </c>
      <c r="I1537" s="16" t="s">
        <v>4633</v>
      </c>
      <c r="J1537" t="str">
        <f>IF(LEN(VLOOKUP(表1[[#This Row],[id]],数据引用!A:C,3,FALSE))&gt;0,VLOOKUP(表1[[#This Row],[id]],数据引用!A:C,3,FALSE),"")</f>
        <v>UP +</v>
      </c>
      <c r="K1537" t="s">
        <v>1214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font-size:12;"&gt;UP +&lt;/text&gt;&lt;text transform="matrix(1 0 0 1 0 10.3205)" style="fill:#FFFFFF; font-family:'FZXS12--GB1-0'; font-size:12;"&gt;UP +&lt;/text&gt;&lt;/svg&gt;</v>
      </c>
      <c r="P1537" s="5" t="s">
        <v>1282</v>
      </c>
    </row>
    <row r="1538" spans="1:16" ht="14.25" customHeight="1">
      <c r="A1538">
        <v>5102</v>
      </c>
      <c r="B1538">
        <v>0</v>
      </c>
      <c r="C1538" s="19">
        <v>-3</v>
      </c>
      <c r="E1538">
        <v>1</v>
      </c>
      <c r="F1538" s="19">
        <v>8</v>
      </c>
      <c r="G1538" s="17" t="s">
        <v>729</v>
      </c>
      <c r="H1538" s="16" t="s">
        <v>4169</v>
      </c>
      <c r="I1538" s="16" t="s">
        <v>4634</v>
      </c>
      <c r="J1538" t="str">
        <f>IF(LEN(VLOOKUP(表1[[#This Row],[id]],数据引用!A:C,3,FALSE))&gt;0,VLOOKUP(表1[[#This Row],[id]],数据引用!A:C,3,FALSE),"")</f>
        <v>DOWN</v>
      </c>
      <c r="K1538" t="s">
        <v>1214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font-size:12;"&gt;DOWN&lt;/text&gt;&lt;text transform="matrix(1 0 0 1 0 10.3205)" style="fill:#FFFFFF; font-family:'FZXS12--GB1-0'; font-size:12;"&gt;DOWN&lt;/text&gt;&lt;/svg&gt;</v>
      </c>
      <c r="P1538" s="5" t="s">
        <v>1282</v>
      </c>
    </row>
    <row r="1539" spans="1:16" ht="14.25" customHeight="1">
      <c r="A1539">
        <v>5103</v>
      </c>
      <c r="B1539">
        <v>0</v>
      </c>
      <c r="C1539" s="19">
        <v>-3</v>
      </c>
      <c r="E1539">
        <v>1</v>
      </c>
      <c r="F1539" s="19">
        <v>8</v>
      </c>
      <c r="G1539" s="17" t="s">
        <v>730</v>
      </c>
      <c r="H1539" s="16" t="s">
        <v>4170</v>
      </c>
      <c r="I1539" s="16" t="s">
        <v>4635</v>
      </c>
      <c r="J1539" t="str">
        <f>IF(LEN(VLOOKUP(表1[[#This Row],[id]],数据引用!A:C,3,FALSE))&gt;0,VLOOKUP(表1[[#This Row],[id]],数据引用!A:C,3,FALSE),"")</f>
        <v>LEFT</v>
      </c>
      <c r="K1539" t="s">
        <v>1214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font-size:12;"&gt;LEFT&lt;/text&gt;&lt;text transform="matrix(1 0 0 1 0 10.3205)" style="fill:#FFFFFF; font-family:'FZXS12--GB1-0'; font-size:12;"&gt;LEFT&lt;/text&gt;&lt;/svg&gt;</v>
      </c>
      <c r="P1539" s="5" t="s">
        <v>1282</v>
      </c>
    </row>
    <row r="1540" spans="1:16" ht="14.25" customHeight="1">
      <c r="A1540">
        <v>5104</v>
      </c>
      <c r="B1540">
        <v>0</v>
      </c>
      <c r="C1540" s="19">
        <v>-3</v>
      </c>
      <c r="E1540">
        <v>1</v>
      </c>
      <c r="F1540" s="19">
        <v>8</v>
      </c>
      <c r="G1540" s="17" t="s">
        <v>1197</v>
      </c>
      <c r="H1540" s="16" t="s">
        <v>4171</v>
      </c>
      <c r="I1540" s="16" t="s">
        <v>4636</v>
      </c>
      <c r="J1540" t="str">
        <f>IF(LEN(VLOOKUP(表1[[#This Row],[id]],数据引用!A:C,3,FALSE))&gt;0,VLOOKUP(表1[[#This Row],[id]],数据引用!A:C,3,FALSE),"")</f>
        <v>DOWN +</v>
      </c>
      <c r="K1540" t="s">
        <v>1214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font-size:12;"&gt;DOWN +&lt;/text&gt;&lt;text transform="matrix(1 0 0 1 0 10.3205)" style="fill:#FFFFFF; font-family:'FZXS12--GB1-0'; font-size:12;"&gt;DOWN +&lt;/text&gt;&lt;/svg&gt;</v>
      </c>
      <c r="P1540" s="5" t="s">
        <v>1282</v>
      </c>
    </row>
    <row r="1541" spans="1:16" ht="14.25" customHeight="1">
      <c r="A1541">
        <v>5203</v>
      </c>
      <c r="B1541">
        <v>0</v>
      </c>
      <c r="C1541">
        <v>0</v>
      </c>
      <c r="E1541">
        <v>1</v>
      </c>
      <c r="F1541">
        <v>12</v>
      </c>
      <c r="G1541" s="8" t="s">
        <v>1111</v>
      </c>
      <c r="H1541" s="15" t="s">
        <v>4172</v>
      </c>
      <c r="I1541" s="18"/>
      <c r="J1541" t="str">
        <f>IF(LEN(VLOOKUP(表1[[#This Row],[id]],数据引用!A:C,3,FALSE))&gt;0,VLOOKUP(表1[[#This Row],[id]],数据引用!A:C,3,FALSE),"")</f>
        <v/>
      </c>
      <c r="K1541" t="s">
        <v>1215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1" s="5"/>
    </row>
    <row r="1542" spans="1:16" ht="14.25" customHeight="1">
      <c r="A1542">
        <v>5204</v>
      </c>
      <c r="B1542">
        <v>0</v>
      </c>
      <c r="C1542">
        <v>0</v>
      </c>
      <c r="E1542">
        <v>1</v>
      </c>
      <c r="F1542">
        <v>12</v>
      </c>
      <c r="G1542" s="8" t="s">
        <v>1112</v>
      </c>
      <c r="H1542" s="15" t="s">
        <v>4173</v>
      </c>
      <c r="I1542" s="18"/>
      <c r="J1542" t="str">
        <f>IF(LEN(VLOOKUP(表1[[#This Row],[id]],数据引用!A:C,3,FALSE))&gt;0,VLOOKUP(表1[[#This Row],[id]],数据引用!A:C,3,FALSE),"")</f>
        <v/>
      </c>
      <c r="K1542" t="s">
        <v>1215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2" s="5"/>
    </row>
    <row r="1543" spans="1:16" ht="14.25" customHeight="1">
      <c r="A1543">
        <v>5205</v>
      </c>
      <c r="B1543">
        <v>0</v>
      </c>
      <c r="C1543">
        <v>0</v>
      </c>
      <c r="E1543">
        <v>1</v>
      </c>
      <c r="F1543">
        <v>12</v>
      </c>
      <c r="G1543" s="8" t="s">
        <v>1113</v>
      </c>
      <c r="H1543" s="15" t="s">
        <v>4174</v>
      </c>
      <c r="I1543" s="18"/>
      <c r="J1543" t="str">
        <f>IF(LEN(VLOOKUP(表1[[#This Row],[id]],数据引用!A:C,3,FALSE))&gt;0,VLOOKUP(表1[[#This Row],[id]],数据引用!A:C,3,FALSE),"")</f>
        <v/>
      </c>
      <c r="K1543" t="s">
        <v>1215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3" s="5"/>
    </row>
    <row r="1544" spans="1:16" ht="14.25" customHeight="1">
      <c r="A1544">
        <v>5206</v>
      </c>
      <c r="B1544">
        <v>0</v>
      </c>
      <c r="C1544">
        <v>0</v>
      </c>
      <c r="E1544">
        <v>1</v>
      </c>
      <c r="F1544">
        <v>12</v>
      </c>
      <c r="G1544" s="8" t="s">
        <v>1114</v>
      </c>
      <c r="H1544" s="15" t="s">
        <v>4175</v>
      </c>
      <c r="I1544" s="18"/>
      <c r="J1544" t="str">
        <f>IF(LEN(VLOOKUP(表1[[#This Row],[id]],数据引用!A:C,3,FALSE))&gt;0,VLOOKUP(表1[[#This Row],[id]],数据引用!A:C,3,FALSE),"")</f>
        <v/>
      </c>
      <c r="K1544" t="s">
        <v>1215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4" s="5"/>
    </row>
    <row r="1545" spans="1:16" ht="14.25" customHeight="1">
      <c r="A1545">
        <v>5207</v>
      </c>
      <c r="B1545">
        <v>0</v>
      </c>
      <c r="C1545">
        <v>0</v>
      </c>
      <c r="E1545">
        <v>1</v>
      </c>
      <c r="F1545">
        <v>12</v>
      </c>
      <c r="G1545" s="8" t="s">
        <v>1115</v>
      </c>
      <c r="H1545" s="15" t="s">
        <v>4176</v>
      </c>
      <c r="I1545" s="18"/>
      <c r="J1545" t="str">
        <f>IF(LEN(VLOOKUP(表1[[#This Row],[id]],数据引用!A:C,3,FALSE))&gt;0,VLOOKUP(表1[[#This Row],[id]],数据引用!A:C,3,FALSE),"")</f>
        <v/>
      </c>
      <c r="K1545" t="s">
        <v>1215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5" s="5"/>
    </row>
    <row r="1546" spans="1:16" ht="14.25" customHeight="1">
      <c r="A1546">
        <v>5208</v>
      </c>
      <c r="B1546">
        <v>0</v>
      </c>
      <c r="C1546">
        <v>0</v>
      </c>
      <c r="E1546">
        <v>1</v>
      </c>
      <c r="F1546">
        <v>12</v>
      </c>
      <c r="G1546" s="8" t="s">
        <v>1116</v>
      </c>
      <c r="H1546" s="15" t="s">
        <v>4177</v>
      </c>
      <c r="I1546" s="18"/>
      <c r="J1546" t="str">
        <f>IF(LEN(VLOOKUP(表1[[#This Row],[id]],数据引用!A:C,3,FALSE))&gt;0,VLOOKUP(表1[[#This Row],[id]],数据引用!A:C,3,FALSE),"")</f>
        <v/>
      </c>
      <c r="K1546" t="s">
        <v>1215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6" s="5"/>
    </row>
    <row r="1547" spans="1:16" ht="14.25" customHeight="1">
      <c r="A1547">
        <v>5209</v>
      </c>
      <c r="B1547">
        <v>0</v>
      </c>
      <c r="C1547">
        <v>0</v>
      </c>
      <c r="E1547">
        <v>1</v>
      </c>
      <c r="F1547">
        <v>12</v>
      </c>
      <c r="G1547" s="8" t="s">
        <v>1117</v>
      </c>
      <c r="H1547" s="15" t="s">
        <v>4178</v>
      </c>
      <c r="I1547" s="18"/>
      <c r="J1547" t="str">
        <f>IF(LEN(VLOOKUP(表1[[#This Row],[id]],数据引用!A:C,3,FALSE))&gt;0,VLOOKUP(表1[[#This Row],[id]],数据引用!A:C,3,FALSE),"")</f>
        <v/>
      </c>
      <c r="K1547" t="s">
        <v>1215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7" s="5"/>
    </row>
    <row r="1548" spans="1:16" ht="14.25" customHeight="1">
      <c r="A1548">
        <v>5210</v>
      </c>
      <c r="B1548">
        <v>0</v>
      </c>
      <c r="C1548">
        <v>0</v>
      </c>
      <c r="E1548">
        <v>1</v>
      </c>
      <c r="F1548">
        <v>12</v>
      </c>
      <c r="G1548" s="8" t="s">
        <v>1118</v>
      </c>
      <c r="H1548" s="15" t="s">
        <v>4179</v>
      </c>
      <c r="I1548" s="18"/>
      <c r="J1548" t="str">
        <f>IF(LEN(VLOOKUP(表1[[#This Row],[id]],数据引用!A:C,3,FALSE))&gt;0,VLOOKUP(表1[[#This Row],[id]],数据引用!A:C,3,FALSE),"")</f>
        <v/>
      </c>
      <c r="K1548" t="s">
        <v>1215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8" s="5"/>
    </row>
    <row r="1549" spans="1:16" ht="14.25" customHeight="1">
      <c r="A1549">
        <v>5211</v>
      </c>
      <c r="B1549">
        <v>0</v>
      </c>
      <c r="C1549">
        <v>0</v>
      </c>
      <c r="E1549">
        <v>1</v>
      </c>
      <c r="F1549">
        <v>12</v>
      </c>
      <c r="G1549" s="8" t="s">
        <v>1119</v>
      </c>
      <c r="H1549" s="15" t="s">
        <v>4180</v>
      </c>
      <c r="I1549" s="18"/>
      <c r="J1549" t="str">
        <f>IF(LEN(VLOOKUP(表1[[#This Row],[id]],数据引用!A:C,3,FALSE))&gt;0,VLOOKUP(表1[[#This Row],[id]],数据引用!A:C,3,FALSE),"")</f>
        <v/>
      </c>
      <c r="K1549" t="s">
        <v>1215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9" s="5"/>
    </row>
    <row r="1550" spans="1:16" ht="14.25" customHeight="1">
      <c r="A1550">
        <v>5212</v>
      </c>
      <c r="B1550">
        <v>0</v>
      </c>
      <c r="C1550">
        <v>0</v>
      </c>
      <c r="E1550">
        <v>1</v>
      </c>
      <c r="F1550">
        <v>12</v>
      </c>
      <c r="G1550" s="8" t="s">
        <v>1120</v>
      </c>
      <c r="H1550" s="15" t="s">
        <v>4181</v>
      </c>
      <c r="I1550" s="18"/>
      <c r="J1550" t="str">
        <f>IF(LEN(VLOOKUP(表1[[#This Row],[id]],数据引用!A:C,3,FALSE))&gt;0,VLOOKUP(表1[[#This Row],[id]],数据引用!A:C,3,FALSE),"")</f>
        <v/>
      </c>
      <c r="K1550" t="s">
        <v>1215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0" s="5"/>
    </row>
    <row r="1551" spans="1:16" ht="14.25" customHeight="1">
      <c r="A1551">
        <v>5213</v>
      </c>
      <c r="B1551">
        <v>0</v>
      </c>
      <c r="C1551">
        <v>0</v>
      </c>
      <c r="E1551">
        <v>1</v>
      </c>
      <c r="F1551">
        <v>12</v>
      </c>
      <c r="G1551" s="8" t="s">
        <v>1121</v>
      </c>
      <c r="H1551" s="15" t="s">
        <v>4182</v>
      </c>
      <c r="I1551" s="18"/>
      <c r="J1551" t="str">
        <f>IF(LEN(VLOOKUP(表1[[#This Row],[id]],数据引用!A:C,3,FALSE))&gt;0,VLOOKUP(表1[[#This Row],[id]],数据引用!A:C,3,FALSE),"")</f>
        <v/>
      </c>
      <c r="K1551" t="s">
        <v>1215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1" s="5"/>
    </row>
    <row r="1552" spans="1:16" ht="14.25" customHeight="1">
      <c r="A1552">
        <v>5214</v>
      </c>
      <c r="B1552">
        <v>0</v>
      </c>
      <c r="C1552">
        <v>0</v>
      </c>
      <c r="E1552">
        <v>1</v>
      </c>
      <c r="F1552">
        <v>12</v>
      </c>
      <c r="G1552" s="8" t="s">
        <v>730</v>
      </c>
      <c r="H1552" s="15" t="s">
        <v>4183</v>
      </c>
      <c r="I1552" s="18"/>
      <c r="J1552" t="str">
        <f>IF(LEN(VLOOKUP(表1[[#This Row],[id]],数据引用!A:C,3,FALSE))&gt;0,VLOOKUP(表1[[#This Row],[id]],数据引用!A:C,3,FALSE),"")</f>
        <v/>
      </c>
      <c r="K1552" t="s">
        <v>1215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2" s="5"/>
    </row>
    <row r="1553" spans="1:16" ht="14.25" customHeight="1">
      <c r="A1553">
        <v>5215</v>
      </c>
      <c r="B1553">
        <v>0</v>
      </c>
      <c r="C1553">
        <v>0</v>
      </c>
      <c r="E1553">
        <v>1</v>
      </c>
      <c r="F1553">
        <v>12</v>
      </c>
      <c r="G1553" s="8" t="s">
        <v>727</v>
      </c>
      <c r="H1553" s="15" t="s">
        <v>4184</v>
      </c>
      <c r="I1553" s="18"/>
      <c r="J1553" t="str">
        <f>IF(LEN(VLOOKUP(表1[[#This Row],[id]],数据引用!A:C,3,FALSE))&gt;0,VLOOKUP(表1[[#This Row],[id]],数据引用!A:C,3,FALSE),"")</f>
        <v/>
      </c>
      <c r="K1553" t="s">
        <v>1215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3" s="5"/>
    </row>
    <row r="1554" spans="1:16" ht="14.25" customHeight="1">
      <c r="A1554">
        <v>5216</v>
      </c>
      <c r="B1554">
        <v>0</v>
      </c>
      <c r="C1554">
        <v>0</v>
      </c>
      <c r="E1554">
        <v>1</v>
      </c>
      <c r="F1554">
        <v>12</v>
      </c>
      <c r="G1554" s="8" t="s">
        <v>728</v>
      </c>
      <c r="H1554" s="15" t="s">
        <v>4185</v>
      </c>
      <c r="I1554" s="18"/>
      <c r="J1554" t="str">
        <f>IF(LEN(VLOOKUP(表1[[#This Row],[id]],数据引用!A:C,3,FALSE))&gt;0,VLOOKUP(表1[[#This Row],[id]],数据引用!A:C,3,FALSE),"")</f>
        <v/>
      </c>
      <c r="K1554" t="s">
        <v>1215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4" s="5"/>
    </row>
    <row r="1555" spans="1:16" ht="14.25" customHeight="1">
      <c r="A1555">
        <v>5217</v>
      </c>
      <c r="B1555">
        <v>0</v>
      </c>
      <c r="C1555">
        <v>0</v>
      </c>
      <c r="E1555">
        <v>1</v>
      </c>
      <c r="F1555">
        <v>12</v>
      </c>
      <c r="G1555" s="8" t="s">
        <v>729</v>
      </c>
      <c r="H1555" s="15" t="s">
        <v>4186</v>
      </c>
      <c r="I1555" s="18"/>
      <c r="J1555" t="str">
        <f>IF(LEN(VLOOKUP(表1[[#This Row],[id]],数据引用!A:C,3,FALSE))&gt;0,VLOOKUP(表1[[#This Row],[id]],数据引用!A:C,3,FALSE),"")</f>
        <v/>
      </c>
      <c r="K1555" t="s">
        <v>1215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5" s="5"/>
    </row>
    <row r="1556" spans="1:16" ht="14.25" customHeight="1">
      <c r="A1556">
        <v>5218</v>
      </c>
      <c r="B1556">
        <v>0</v>
      </c>
      <c r="C1556">
        <v>0</v>
      </c>
      <c r="E1556">
        <v>1</v>
      </c>
      <c r="F1556">
        <v>12</v>
      </c>
      <c r="G1556" s="8" t="s">
        <v>1122</v>
      </c>
      <c r="H1556" s="15" t="s">
        <v>4187</v>
      </c>
      <c r="I1556" s="18"/>
      <c r="J1556" t="str">
        <f>IF(LEN(VLOOKUP(表1[[#This Row],[id]],数据引用!A:C,3,FALSE))&gt;0,VLOOKUP(表1[[#This Row],[id]],数据引用!A:C,3,FALSE),"")</f>
        <v/>
      </c>
      <c r="K1556" t="s">
        <v>1215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6" s="5"/>
    </row>
    <row r="1557" spans="1:16" ht="14.25" customHeight="1">
      <c r="A1557">
        <v>5219</v>
      </c>
      <c r="B1557">
        <v>0</v>
      </c>
      <c r="C1557">
        <v>0</v>
      </c>
      <c r="E1557">
        <v>1</v>
      </c>
      <c r="F1557">
        <v>12</v>
      </c>
      <c r="G1557" s="8" t="s">
        <v>1123</v>
      </c>
      <c r="H1557" s="15" t="s">
        <v>4188</v>
      </c>
      <c r="I1557" s="18"/>
      <c r="J1557" t="str">
        <f>IF(LEN(VLOOKUP(表1[[#This Row],[id]],数据引用!A:C,3,FALSE))&gt;0,VLOOKUP(表1[[#This Row],[id]],数据引用!A:C,3,FALSE),"")</f>
        <v/>
      </c>
      <c r="K1557" t="s">
        <v>1215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7" s="5"/>
    </row>
    <row r="1558" spans="1:16" ht="14.25" customHeight="1">
      <c r="A1558">
        <v>5220</v>
      </c>
      <c r="B1558">
        <v>0</v>
      </c>
      <c r="C1558">
        <v>0</v>
      </c>
      <c r="E1558">
        <v>1</v>
      </c>
      <c r="F1558">
        <v>12</v>
      </c>
      <c r="G1558" s="8" t="s">
        <v>1124</v>
      </c>
      <c r="H1558" s="15" t="s">
        <v>4189</v>
      </c>
      <c r="I1558" s="18"/>
      <c r="J1558" t="str">
        <f>IF(LEN(VLOOKUP(表1[[#This Row],[id]],数据引用!A:C,3,FALSE))&gt;0,VLOOKUP(表1[[#This Row],[id]],数据引用!A:C,3,FALSE),"")</f>
        <v/>
      </c>
      <c r="K1558" t="s">
        <v>1215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8" s="5"/>
    </row>
    <row r="1559" spans="1:16" ht="14.25" customHeight="1">
      <c r="A1559">
        <v>5221</v>
      </c>
      <c r="B1559">
        <v>0</v>
      </c>
      <c r="C1559">
        <v>0</v>
      </c>
      <c r="E1559">
        <v>1</v>
      </c>
      <c r="F1559">
        <v>12</v>
      </c>
      <c r="G1559" s="8" t="s">
        <v>1125</v>
      </c>
      <c r="H1559" s="15" t="s">
        <v>4190</v>
      </c>
      <c r="I1559" s="18"/>
      <c r="J1559" t="str">
        <f>IF(LEN(VLOOKUP(表1[[#This Row],[id]],数据引用!A:C,3,FALSE))&gt;0,VLOOKUP(表1[[#This Row],[id]],数据引用!A:C,3,FALSE),"")</f>
        <v/>
      </c>
      <c r="K1559" t="s">
        <v>1215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9" s="5"/>
    </row>
    <row r="1560" spans="1:16" ht="14.25" customHeight="1">
      <c r="A1560">
        <v>5222</v>
      </c>
      <c r="B1560">
        <v>0</v>
      </c>
      <c r="C1560">
        <v>0</v>
      </c>
      <c r="E1560">
        <v>1</v>
      </c>
      <c r="F1560">
        <v>12</v>
      </c>
      <c r="G1560" s="8" t="s">
        <v>1126</v>
      </c>
      <c r="H1560" s="15" t="s">
        <v>4191</v>
      </c>
      <c r="I1560" s="18"/>
      <c r="J1560" t="str">
        <f>IF(LEN(VLOOKUP(表1[[#This Row],[id]],数据引用!A:C,3,FALSE))&gt;0,VLOOKUP(表1[[#This Row],[id]],数据引用!A:C,3,FALSE),"")</f>
        <v/>
      </c>
      <c r="K1560" t="s">
        <v>1215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0" s="5"/>
    </row>
    <row r="1561" spans="1:16" ht="14.25" customHeight="1">
      <c r="A1561">
        <v>5223</v>
      </c>
      <c r="B1561">
        <v>0</v>
      </c>
      <c r="C1561">
        <v>0</v>
      </c>
      <c r="E1561">
        <v>1</v>
      </c>
      <c r="F1561">
        <v>12</v>
      </c>
      <c r="G1561" s="8" t="s">
        <v>1127</v>
      </c>
      <c r="H1561" s="15" t="s">
        <v>4192</v>
      </c>
      <c r="I1561" s="18"/>
      <c r="J1561" t="str">
        <f>IF(LEN(VLOOKUP(表1[[#This Row],[id]],数据引用!A:C,3,FALSE))&gt;0,VLOOKUP(表1[[#This Row],[id]],数据引用!A:C,3,FALSE),"")</f>
        <v/>
      </c>
      <c r="K1561" t="s">
        <v>1215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1" s="5"/>
    </row>
    <row r="1562" spans="1:16" ht="14.25" customHeight="1">
      <c r="A1562">
        <v>5224</v>
      </c>
      <c r="B1562">
        <v>0</v>
      </c>
      <c r="C1562">
        <v>0</v>
      </c>
      <c r="E1562">
        <v>1</v>
      </c>
      <c r="F1562">
        <v>12</v>
      </c>
      <c r="G1562" s="8" t="s">
        <v>1128</v>
      </c>
      <c r="H1562" s="15" t="s">
        <v>4193</v>
      </c>
      <c r="I1562" s="18"/>
      <c r="J1562" t="str">
        <f>IF(LEN(VLOOKUP(表1[[#This Row],[id]],数据引用!A:C,3,FALSE))&gt;0,VLOOKUP(表1[[#This Row],[id]],数据引用!A:C,3,FALSE),"")</f>
        <v/>
      </c>
      <c r="K1562" t="s">
        <v>1215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2" s="5"/>
    </row>
    <row r="1563" spans="1:16" ht="14.25" customHeight="1">
      <c r="A1563">
        <v>5225</v>
      </c>
      <c r="B1563">
        <v>0</v>
      </c>
      <c r="C1563">
        <v>0</v>
      </c>
      <c r="E1563">
        <v>1</v>
      </c>
      <c r="F1563">
        <v>12</v>
      </c>
      <c r="G1563" s="8" t="s">
        <v>1129</v>
      </c>
      <c r="H1563" s="15" t="s">
        <v>4194</v>
      </c>
      <c r="I1563" s="18"/>
      <c r="J1563" t="str">
        <f>IF(LEN(VLOOKUP(表1[[#This Row],[id]],数据引用!A:C,3,FALSE))&gt;0,VLOOKUP(表1[[#This Row],[id]],数据引用!A:C,3,FALSE),"")</f>
        <v/>
      </c>
      <c r="K1563" t="s">
        <v>1215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3" s="5"/>
    </row>
    <row r="1564" spans="1:16" ht="14.25" customHeight="1">
      <c r="A1564">
        <v>5226</v>
      </c>
      <c r="B1564">
        <v>0</v>
      </c>
      <c r="C1564">
        <v>0</v>
      </c>
      <c r="E1564">
        <v>1</v>
      </c>
      <c r="F1564">
        <v>12</v>
      </c>
      <c r="G1564" s="8" t="s">
        <v>1130</v>
      </c>
      <c r="H1564" s="15" t="s">
        <v>4195</v>
      </c>
      <c r="I1564" s="18"/>
      <c r="J1564" t="str">
        <f>IF(LEN(VLOOKUP(表1[[#This Row],[id]],数据引用!A:C,3,FALSE))&gt;0,VLOOKUP(表1[[#This Row],[id]],数据引用!A:C,3,FALSE),"")</f>
        <v/>
      </c>
      <c r="K1564" t="s">
        <v>1215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4" s="5"/>
    </row>
    <row r="1565" spans="1:16" ht="14.25" customHeight="1">
      <c r="A1565">
        <v>5227</v>
      </c>
      <c r="B1565">
        <v>0</v>
      </c>
      <c r="C1565">
        <v>0</v>
      </c>
      <c r="E1565">
        <v>1</v>
      </c>
      <c r="F1565">
        <v>12</v>
      </c>
      <c r="G1565" s="8" t="s">
        <v>1131</v>
      </c>
      <c r="H1565" s="15" t="s">
        <v>4196</v>
      </c>
      <c r="I1565" s="18"/>
      <c r="J1565" t="str">
        <f>IF(LEN(VLOOKUP(表1[[#This Row],[id]],数据引用!A:C,3,FALSE))&gt;0,VLOOKUP(表1[[#This Row],[id]],数据引用!A:C,3,FALSE),"")</f>
        <v/>
      </c>
      <c r="K1565" t="s">
        <v>1215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5" s="5"/>
    </row>
    <row r="1566" spans="1:16" ht="14.25" customHeight="1">
      <c r="A1566">
        <v>5228</v>
      </c>
      <c r="B1566">
        <v>0</v>
      </c>
      <c r="C1566">
        <v>0</v>
      </c>
      <c r="E1566">
        <v>1</v>
      </c>
      <c r="F1566">
        <v>12</v>
      </c>
      <c r="G1566" s="8" t="s">
        <v>1132</v>
      </c>
      <c r="H1566" s="15" t="s">
        <v>4197</v>
      </c>
      <c r="I1566" s="18"/>
      <c r="J1566" t="str">
        <f>IF(LEN(VLOOKUP(表1[[#This Row],[id]],数据引用!A:C,3,FALSE))&gt;0,VLOOKUP(表1[[#This Row],[id]],数据引用!A:C,3,FALSE),"")</f>
        <v/>
      </c>
      <c r="K1566" t="s">
        <v>1215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6" s="5"/>
    </row>
    <row r="1567" spans="1:16" ht="14.25" customHeight="1">
      <c r="A1567">
        <v>5229</v>
      </c>
      <c r="B1567">
        <v>0</v>
      </c>
      <c r="C1567">
        <v>0</v>
      </c>
      <c r="E1567">
        <v>1</v>
      </c>
      <c r="F1567">
        <v>12</v>
      </c>
      <c r="G1567" s="8" t="s">
        <v>1133</v>
      </c>
      <c r="H1567" s="15" t="s">
        <v>4198</v>
      </c>
      <c r="I1567" s="18"/>
      <c r="J1567" t="str">
        <f>IF(LEN(VLOOKUP(表1[[#This Row],[id]],数据引用!A:C,3,FALSE))&gt;0,VLOOKUP(表1[[#This Row],[id]],数据引用!A:C,3,FALSE),"")</f>
        <v/>
      </c>
      <c r="K1567" t="s">
        <v>1215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7" s="5"/>
    </row>
    <row r="1568" spans="1:16" ht="14.25" customHeight="1">
      <c r="A1568">
        <v>5230</v>
      </c>
      <c r="B1568">
        <v>0</v>
      </c>
      <c r="C1568">
        <v>0</v>
      </c>
      <c r="E1568">
        <v>1</v>
      </c>
      <c r="F1568">
        <v>12</v>
      </c>
      <c r="G1568" s="8" t="s">
        <v>1134</v>
      </c>
      <c r="H1568" s="15" t="s">
        <v>4199</v>
      </c>
      <c r="I1568" s="18"/>
      <c r="J1568" t="str">
        <f>IF(LEN(VLOOKUP(表1[[#This Row],[id]],数据引用!A:C,3,FALSE))&gt;0,VLOOKUP(表1[[#This Row],[id]],数据引用!A:C,3,FALSE),"")</f>
        <v/>
      </c>
      <c r="K1568" t="s">
        <v>1215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8" s="5"/>
    </row>
    <row r="1569" spans="1:16" ht="14.25" customHeight="1">
      <c r="A1569">
        <v>5231</v>
      </c>
      <c r="B1569">
        <v>0</v>
      </c>
      <c r="C1569">
        <v>0</v>
      </c>
      <c r="E1569">
        <v>1</v>
      </c>
      <c r="F1569">
        <v>12</v>
      </c>
      <c r="G1569" s="8" t="s">
        <v>1135</v>
      </c>
      <c r="H1569" s="15" t="s">
        <v>4200</v>
      </c>
      <c r="I1569" s="18"/>
      <c r="J1569" t="str">
        <f>IF(LEN(VLOOKUP(表1[[#This Row],[id]],数据引用!A:C,3,FALSE))&gt;0,VLOOKUP(表1[[#This Row],[id]],数据引用!A:C,3,FALSE),"")</f>
        <v/>
      </c>
      <c r="K1569" t="s">
        <v>1215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9" s="5"/>
    </row>
    <row r="1570" spans="1:16" ht="14.25" customHeight="1">
      <c r="A1570">
        <v>5232</v>
      </c>
      <c r="B1570">
        <v>0</v>
      </c>
      <c r="C1570">
        <v>0</v>
      </c>
      <c r="E1570">
        <v>1</v>
      </c>
      <c r="F1570">
        <v>12</v>
      </c>
      <c r="G1570" s="8" t="s">
        <v>1136</v>
      </c>
      <c r="H1570" s="15" t="s">
        <v>4201</v>
      </c>
      <c r="I1570" s="18"/>
      <c r="J1570" t="str">
        <f>IF(LEN(VLOOKUP(表1[[#This Row],[id]],数据引用!A:C,3,FALSE))&gt;0,VLOOKUP(表1[[#This Row],[id]],数据引用!A:C,3,FALSE),"")</f>
        <v/>
      </c>
      <c r="K1570" t="s">
        <v>1215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0" s="5"/>
    </row>
    <row r="1571" spans="1:16" ht="14.25" customHeight="1">
      <c r="A1571">
        <v>5233</v>
      </c>
      <c r="B1571">
        <v>0</v>
      </c>
      <c r="C1571">
        <v>0</v>
      </c>
      <c r="E1571">
        <v>1</v>
      </c>
      <c r="F1571">
        <v>12</v>
      </c>
      <c r="G1571" s="8" t="s">
        <v>1137</v>
      </c>
      <c r="H1571" s="15" t="s">
        <v>4202</v>
      </c>
      <c r="I1571" s="18"/>
      <c r="J1571" t="str">
        <f>IF(LEN(VLOOKUP(表1[[#This Row],[id]],数据引用!A:C,3,FALSE))&gt;0,VLOOKUP(表1[[#This Row],[id]],数据引用!A:C,3,FALSE),"")</f>
        <v/>
      </c>
      <c r="K1571" t="s">
        <v>1215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1" s="5"/>
    </row>
    <row r="1572" spans="1:16" ht="14.25" customHeight="1">
      <c r="A1572">
        <v>5234</v>
      </c>
      <c r="B1572">
        <v>0</v>
      </c>
      <c r="C1572">
        <v>0</v>
      </c>
      <c r="E1572">
        <v>1</v>
      </c>
      <c r="F1572">
        <v>12</v>
      </c>
      <c r="G1572" s="8" t="s">
        <v>1138</v>
      </c>
      <c r="H1572" s="15" t="s">
        <v>4203</v>
      </c>
      <c r="I1572" s="18"/>
      <c r="J1572" t="str">
        <f>IF(LEN(VLOOKUP(表1[[#This Row],[id]],数据引用!A:C,3,FALSE))&gt;0,VLOOKUP(表1[[#This Row],[id]],数据引用!A:C,3,FALSE),"")</f>
        <v/>
      </c>
      <c r="K1572" t="s">
        <v>1215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2" s="5"/>
    </row>
    <row r="1573" spans="1:16" ht="14.25" customHeight="1">
      <c r="A1573">
        <v>5235</v>
      </c>
      <c r="B1573">
        <v>0</v>
      </c>
      <c r="C1573">
        <v>0</v>
      </c>
      <c r="E1573">
        <v>1</v>
      </c>
      <c r="F1573">
        <v>12</v>
      </c>
      <c r="G1573" s="8" t="s">
        <v>1139</v>
      </c>
      <c r="H1573" s="15" t="s">
        <v>4204</v>
      </c>
      <c r="I1573" s="18"/>
      <c r="J1573" t="str">
        <f>IF(LEN(VLOOKUP(表1[[#This Row],[id]],数据引用!A:C,3,FALSE))&gt;0,VLOOKUP(表1[[#This Row],[id]],数据引用!A:C,3,FALSE),"")</f>
        <v/>
      </c>
      <c r="K1573" t="s">
        <v>1215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3" s="5"/>
    </row>
    <row r="1574" spans="1:16" ht="14.25" customHeight="1">
      <c r="A1574">
        <v>5236</v>
      </c>
      <c r="B1574">
        <v>0</v>
      </c>
      <c r="C1574">
        <v>0</v>
      </c>
      <c r="E1574">
        <v>1</v>
      </c>
      <c r="F1574">
        <v>12</v>
      </c>
      <c r="G1574" s="8" t="s">
        <v>1140</v>
      </c>
      <c r="H1574" s="15" t="s">
        <v>4205</v>
      </c>
      <c r="I1574" s="18"/>
      <c r="J1574" t="str">
        <f>IF(LEN(VLOOKUP(表1[[#This Row],[id]],数据引用!A:C,3,FALSE))&gt;0,VLOOKUP(表1[[#This Row],[id]],数据引用!A:C,3,FALSE),"")</f>
        <v/>
      </c>
      <c r="K1574" t="s">
        <v>1215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4" s="5"/>
    </row>
    <row r="1575" spans="1:16" ht="14.25" customHeight="1">
      <c r="A1575">
        <v>5237</v>
      </c>
      <c r="B1575">
        <v>0</v>
      </c>
      <c r="C1575">
        <v>0</v>
      </c>
      <c r="E1575">
        <v>1</v>
      </c>
      <c r="F1575">
        <v>12</v>
      </c>
      <c r="G1575" s="8" t="s">
        <v>1141</v>
      </c>
      <c r="H1575" s="15" t="s">
        <v>4206</v>
      </c>
      <c r="I1575" s="18"/>
      <c r="J1575" t="str">
        <f>IF(LEN(VLOOKUP(表1[[#This Row],[id]],数据引用!A:C,3,FALSE))&gt;0,VLOOKUP(表1[[#This Row],[id]],数据引用!A:C,3,FALSE),"")</f>
        <v/>
      </c>
      <c r="K1575" t="s">
        <v>1215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5" s="5"/>
    </row>
    <row r="1576" spans="1:16" ht="14.25" customHeight="1">
      <c r="A1576">
        <v>5238</v>
      </c>
      <c r="B1576">
        <v>0</v>
      </c>
      <c r="C1576">
        <v>0</v>
      </c>
      <c r="E1576">
        <v>1</v>
      </c>
      <c r="F1576">
        <v>12</v>
      </c>
      <c r="G1576" s="8" t="s">
        <v>1142</v>
      </c>
      <c r="H1576" s="15" t="s">
        <v>4207</v>
      </c>
      <c r="I1576" s="18"/>
      <c r="J1576" t="str">
        <f>IF(LEN(VLOOKUP(表1[[#This Row],[id]],数据引用!A:C,3,FALSE))&gt;0,VLOOKUP(表1[[#This Row],[id]],数据引用!A:C,3,FALSE),"")</f>
        <v/>
      </c>
      <c r="K1576" t="s">
        <v>1215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6" s="5"/>
    </row>
    <row r="1577" spans="1:16" ht="14.25" customHeight="1">
      <c r="A1577">
        <v>5239</v>
      </c>
      <c r="B1577">
        <v>0</v>
      </c>
      <c r="C1577">
        <v>0</v>
      </c>
      <c r="E1577">
        <v>1</v>
      </c>
      <c r="F1577">
        <v>12</v>
      </c>
      <c r="G1577" s="8" t="s">
        <v>1143</v>
      </c>
      <c r="H1577" s="15" t="s">
        <v>4208</v>
      </c>
      <c r="I1577" s="18"/>
      <c r="J1577" t="str">
        <f>IF(LEN(VLOOKUP(表1[[#This Row],[id]],数据引用!A:C,3,FALSE))&gt;0,VLOOKUP(表1[[#This Row],[id]],数据引用!A:C,3,FALSE),"")</f>
        <v/>
      </c>
      <c r="K1577" t="s">
        <v>1215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7" s="5"/>
    </row>
    <row r="1578" spans="1:16" ht="14.25" customHeight="1">
      <c r="A1578">
        <v>5240</v>
      </c>
      <c r="B1578">
        <v>0</v>
      </c>
      <c r="C1578">
        <v>0</v>
      </c>
      <c r="E1578">
        <v>1</v>
      </c>
      <c r="F1578">
        <v>12</v>
      </c>
      <c r="G1578" s="8" t="s">
        <v>1144</v>
      </c>
      <c r="H1578" s="15" t="s">
        <v>4209</v>
      </c>
      <c r="I1578" s="18"/>
      <c r="J1578" t="str">
        <f>IF(LEN(VLOOKUP(表1[[#This Row],[id]],数据引用!A:C,3,FALSE))&gt;0,VLOOKUP(表1[[#This Row],[id]],数据引用!A:C,3,FALSE),"")</f>
        <v/>
      </c>
      <c r="K1578" t="s">
        <v>1215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8" s="5"/>
    </row>
    <row r="1579" spans="1:16" ht="14.25" customHeight="1">
      <c r="A1579">
        <v>5241</v>
      </c>
      <c r="B1579">
        <v>0</v>
      </c>
      <c r="C1579">
        <v>0</v>
      </c>
      <c r="E1579">
        <v>1</v>
      </c>
      <c r="F1579">
        <v>12</v>
      </c>
      <c r="G1579" s="8" t="s">
        <v>1145</v>
      </c>
      <c r="H1579" s="15" t="s">
        <v>4210</v>
      </c>
      <c r="I1579" s="18"/>
      <c r="J1579" t="str">
        <f>IF(LEN(VLOOKUP(表1[[#This Row],[id]],数据引用!A:C,3,FALSE))&gt;0,VLOOKUP(表1[[#This Row],[id]],数据引用!A:C,3,FALSE),"")</f>
        <v/>
      </c>
      <c r="K1579" t="s">
        <v>1215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9" s="5"/>
    </row>
    <row r="1580" spans="1:16" ht="14.25" customHeight="1">
      <c r="A1580">
        <v>5242</v>
      </c>
      <c r="B1580">
        <v>0</v>
      </c>
      <c r="C1580">
        <v>0</v>
      </c>
      <c r="E1580">
        <v>1</v>
      </c>
      <c r="F1580">
        <v>12</v>
      </c>
      <c r="G1580" s="8" t="s">
        <v>1146</v>
      </c>
      <c r="H1580" s="15" t="s">
        <v>4211</v>
      </c>
      <c r="I1580" s="18"/>
      <c r="J1580" t="str">
        <f>IF(LEN(VLOOKUP(表1[[#This Row],[id]],数据引用!A:C,3,FALSE))&gt;0,VLOOKUP(表1[[#This Row],[id]],数据引用!A:C,3,FALSE),"")</f>
        <v/>
      </c>
      <c r="K1580" t="s">
        <v>1215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0" s="5"/>
    </row>
    <row r="1581" spans="1:16" ht="14.25" customHeight="1">
      <c r="A1581">
        <v>5243</v>
      </c>
      <c r="B1581">
        <v>0</v>
      </c>
      <c r="C1581">
        <v>0</v>
      </c>
      <c r="E1581">
        <v>1</v>
      </c>
      <c r="F1581">
        <v>12</v>
      </c>
      <c r="G1581" s="8" t="s">
        <v>1147</v>
      </c>
      <c r="H1581" s="15" t="s">
        <v>4212</v>
      </c>
      <c r="I1581" s="18"/>
      <c r="J1581" t="str">
        <f>IF(LEN(VLOOKUP(表1[[#This Row],[id]],数据引用!A:C,3,FALSE))&gt;0,VLOOKUP(表1[[#This Row],[id]],数据引用!A:C,3,FALSE),"")</f>
        <v/>
      </c>
      <c r="K1581" t="s">
        <v>1215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1" s="5"/>
    </row>
    <row r="1582" spans="1:16" ht="14.25" customHeight="1">
      <c r="A1582">
        <v>5244</v>
      </c>
      <c r="B1582">
        <v>0</v>
      </c>
      <c r="C1582">
        <v>0</v>
      </c>
      <c r="E1582">
        <v>1</v>
      </c>
      <c r="F1582">
        <v>12</v>
      </c>
      <c r="G1582" s="8" t="s">
        <v>1148</v>
      </c>
      <c r="H1582" s="15" t="s">
        <v>4213</v>
      </c>
      <c r="I1582" s="18"/>
      <c r="J1582" t="str">
        <f>IF(LEN(VLOOKUP(表1[[#This Row],[id]],数据引用!A:C,3,FALSE))&gt;0,VLOOKUP(表1[[#This Row],[id]],数据引用!A:C,3,FALSE),"")</f>
        <v/>
      </c>
      <c r="K1582" t="s">
        <v>1215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2" s="5"/>
    </row>
    <row r="1583" spans="1:16" ht="14.25" customHeight="1">
      <c r="A1583">
        <v>5245</v>
      </c>
      <c r="B1583">
        <v>0</v>
      </c>
      <c r="C1583">
        <v>0</v>
      </c>
      <c r="E1583">
        <v>1</v>
      </c>
      <c r="F1583">
        <v>12</v>
      </c>
      <c r="G1583" s="8" t="s">
        <v>1149</v>
      </c>
      <c r="H1583" s="15" t="s">
        <v>4214</v>
      </c>
      <c r="I1583" s="18"/>
      <c r="J1583" t="str">
        <f>IF(LEN(VLOOKUP(表1[[#This Row],[id]],数据引用!A:C,3,FALSE))&gt;0,VLOOKUP(表1[[#This Row],[id]],数据引用!A:C,3,FALSE),"")</f>
        <v/>
      </c>
      <c r="K1583" t="s">
        <v>1215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3" s="5"/>
    </row>
    <row r="1584" spans="1:16" ht="14.25" customHeight="1">
      <c r="A1584">
        <v>5246</v>
      </c>
      <c r="B1584">
        <v>0</v>
      </c>
      <c r="C1584">
        <v>0</v>
      </c>
      <c r="E1584">
        <v>1</v>
      </c>
      <c r="F1584">
        <v>12</v>
      </c>
      <c r="G1584" s="8" t="s">
        <v>1150</v>
      </c>
      <c r="H1584" s="15" t="s">
        <v>4215</v>
      </c>
      <c r="I1584" s="18"/>
      <c r="J1584" t="str">
        <f>IF(LEN(VLOOKUP(表1[[#This Row],[id]],数据引用!A:C,3,FALSE))&gt;0,VLOOKUP(表1[[#This Row],[id]],数据引用!A:C,3,FALSE),"")</f>
        <v/>
      </c>
      <c r="K1584" t="s">
        <v>1215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4" s="5"/>
    </row>
    <row r="1585" spans="1:16" ht="14.25" customHeight="1">
      <c r="A1585">
        <v>5247</v>
      </c>
      <c r="B1585">
        <v>0</v>
      </c>
      <c r="C1585">
        <v>0</v>
      </c>
      <c r="E1585">
        <v>1</v>
      </c>
      <c r="F1585">
        <v>12</v>
      </c>
      <c r="G1585" s="8" t="s">
        <v>1151</v>
      </c>
      <c r="H1585" s="15" t="s">
        <v>4216</v>
      </c>
      <c r="I1585" s="18"/>
      <c r="J1585" t="str">
        <f>IF(LEN(VLOOKUP(表1[[#This Row],[id]],数据引用!A:C,3,FALSE))&gt;0,VLOOKUP(表1[[#This Row],[id]],数据引用!A:C,3,FALSE),"")</f>
        <v/>
      </c>
      <c r="K1585" t="s">
        <v>1215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5" s="5"/>
    </row>
    <row r="1586" spans="1:16" ht="14.25" customHeight="1">
      <c r="A1586">
        <v>5248</v>
      </c>
      <c r="B1586">
        <v>0</v>
      </c>
      <c r="C1586">
        <v>0</v>
      </c>
      <c r="E1586">
        <v>1</v>
      </c>
      <c r="F1586">
        <v>12</v>
      </c>
      <c r="G1586" s="8" t="s">
        <v>1152</v>
      </c>
      <c r="H1586" s="15" t="s">
        <v>4217</v>
      </c>
      <c r="I1586" s="18"/>
      <c r="J1586" t="str">
        <f>IF(LEN(VLOOKUP(表1[[#This Row],[id]],数据引用!A:C,3,FALSE))&gt;0,VLOOKUP(表1[[#This Row],[id]],数据引用!A:C,3,FALSE),"")</f>
        <v/>
      </c>
      <c r="K1586" t="s">
        <v>1215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6" s="5"/>
    </row>
    <row r="1587" spans="1:16" ht="14.25" customHeight="1">
      <c r="A1587">
        <v>5249</v>
      </c>
      <c r="B1587">
        <v>0</v>
      </c>
      <c r="C1587">
        <v>0</v>
      </c>
      <c r="E1587">
        <v>1</v>
      </c>
      <c r="F1587">
        <v>12</v>
      </c>
      <c r="G1587" s="8" t="s">
        <v>1153</v>
      </c>
      <c r="H1587" s="15" t="s">
        <v>4218</v>
      </c>
      <c r="I1587" s="18"/>
      <c r="J1587" t="str">
        <f>IF(LEN(VLOOKUP(表1[[#This Row],[id]],数据引用!A:C,3,FALSE))&gt;0,VLOOKUP(表1[[#This Row],[id]],数据引用!A:C,3,FALSE),"")</f>
        <v/>
      </c>
      <c r="K1587" t="s">
        <v>1215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7" s="5"/>
    </row>
    <row r="1588" spans="1:16" ht="14.25" customHeight="1">
      <c r="A1588">
        <v>5250</v>
      </c>
      <c r="B1588">
        <v>0</v>
      </c>
      <c r="C1588">
        <v>0</v>
      </c>
      <c r="E1588">
        <v>1</v>
      </c>
      <c r="F1588">
        <v>12</v>
      </c>
      <c r="G1588" s="8" t="s">
        <v>1154</v>
      </c>
      <c r="H1588" s="15" t="s">
        <v>4219</v>
      </c>
      <c r="I1588" s="18"/>
      <c r="J1588" t="str">
        <f>IF(LEN(VLOOKUP(表1[[#This Row],[id]],数据引用!A:C,3,FALSE))&gt;0,VLOOKUP(表1[[#This Row],[id]],数据引用!A:C,3,FALSE),"")</f>
        <v/>
      </c>
      <c r="K1588" t="s">
        <v>1215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8" s="5"/>
    </row>
    <row r="1589" spans="1:16" ht="14.25" customHeight="1">
      <c r="A1589">
        <v>5251</v>
      </c>
      <c r="B1589">
        <v>0</v>
      </c>
      <c r="C1589">
        <v>0</v>
      </c>
      <c r="E1589">
        <v>1</v>
      </c>
      <c r="F1589">
        <v>12</v>
      </c>
      <c r="G1589" s="8" t="s">
        <v>1155</v>
      </c>
      <c r="H1589" s="15" t="s">
        <v>4220</v>
      </c>
      <c r="I1589" s="18"/>
      <c r="J1589" t="str">
        <f>IF(LEN(VLOOKUP(表1[[#This Row],[id]],数据引用!A:C,3,FALSE))&gt;0,VLOOKUP(表1[[#This Row],[id]],数据引用!A:C,3,FALSE),"")</f>
        <v/>
      </c>
      <c r="K1589" t="s">
        <v>1215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9" s="5"/>
    </row>
    <row r="1590" spans="1:16" ht="14.25" customHeight="1">
      <c r="A1590">
        <v>5252</v>
      </c>
      <c r="B1590">
        <v>0</v>
      </c>
      <c r="C1590">
        <v>0</v>
      </c>
      <c r="E1590">
        <v>1</v>
      </c>
      <c r="F1590">
        <v>12</v>
      </c>
      <c r="G1590" s="8" t="s">
        <v>1156</v>
      </c>
      <c r="H1590" s="15" t="s">
        <v>4221</v>
      </c>
      <c r="I1590" s="18"/>
      <c r="J1590" t="str">
        <f>IF(LEN(VLOOKUP(表1[[#This Row],[id]],数据引用!A:C,3,FALSE))&gt;0,VLOOKUP(表1[[#This Row],[id]],数据引用!A:C,3,FALSE),"")</f>
        <v/>
      </c>
      <c r="K1590" t="s">
        <v>1215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0" s="5"/>
    </row>
    <row r="1591" spans="1:16" ht="14.25" customHeight="1">
      <c r="A1591">
        <v>5253</v>
      </c>
      <c r="B1591">
        <v>0</v>
      </c>
      <c r="C1591">
        <v>0</v>
      </c>
      <c r="E1591">
        <v>1</v>
      </c>
      <c r="F1591">
        <v>12</v>
      </c>
      <c r="G1591" s="8" t="s">
        <v>1157</v>
      </c>
      <c r="H1591" s="15" t="s">
        <v>4222</v>
      </c>
      <c r="I1591" s="18"/>
      <c r="J1591" t="str">
        <f>IF(LEN(VLOOKUP(表1[[#This Row],[id]],数据引用!A:C,3,FALSE))&gt;0,VLOOKUP(表1[[#This Row],[id]],数据引用!A:C,3,FALSE),"")</f>
        <v/>
      </c>
      <c r="K1591" t="s">
        <v>1215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1" s="5"/>
    </row>
    <row r="1592" spans="1:16" ht="14.25" customHeight="1">
      <c r="A1592">
        <v>5254</v>
      </c>
      <c r="B1592">
        <v>0</v>
      </c>
      <c r="C1592">
        <v>0</v>
      </c>
      <c r="E1592">
        <v>1</v>
      </c>
      <c r="F1592">
        <v>12</v>
      </c>
      <c r="G1592" s="8" t="s">
        <v>1158</v>
      </c>
      <c r="H1592" s="15" t="s">
        <v>4223</v>
      </c>
      <c r="I1592" s="18"/>
      <c r="J1592" t="str">
        <f>IF(LEN(VLOOKUP(表1[[#This Row],[id]],数据引用!A:C,3,FALSE))&gt;0,VLOOKUP(表1[[#This Row],[id]],数据引用!A:C,3,FALSE),"")</f>
        <v/>
      </c>
      <c r="K1592" t="s">
        <v>1215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2" s="5"/>
    </row>
    <row r="1593" spans="1:16" ht="14.25" customHeight="1">
      <c r="A1593">
        <v>5255</v>
      </c>
      <c r="B1593">
        <v>0</v>
      </c>
      <c r="C1593">
        <v>0</v>
      </c>
      <c r="E1593">
        <v>1</v>
      </c>
      <c r="F1593">
        <v>12</v>
      </c>
      <c r="G1593" s="8" t="s">
        <v>729</v>
      </c>
      <c r="H1593" s="15" t="s">
        <v>4224</v>
      </c>
      <c r="I1593" s="18"/>
      <c r="J1593" t="str">
        <f>IF(LEN(VLOOKUP(表1[[#This Row],[id]],数据引用!A:C,3,FALSE))&gt;0,VLOOKUP(表1[[#This Row],[id]],数据引用!A:C,3,FALSE),"")</f>
        <v/>
      </c>
      <c r="K1593" t="s">
        <v>1215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3" s="5"/>
    </row>
    <row r="1594" spans="1:16" ht="14.25" customHeight="1">
      <c r="A1594">
        <v>5256</v>
      </c>
      <c r="B1594">
        <v>0</v>
      </c>
      <c r="C1594">
        <v>0</v>
      </c>
      <c r="E1594">
        <v>1</v>
      </c>
      <c r="F1594">
        <v>12</v>
      </c>
      <c r="G1594" s="8" t="s">
        <v>727</v>
      </c>
      <c r="H1594" s="15" t="s">
        <v>4225</v>
      </c>
      <c r="I1594" s="18"/>
      <c r="J1594" t="str">
        <f>IF(LEN(VLOOKUP(表1[[#This Row],[id]],数据引用!A:C,3,FALSE))&gt;0,VLOOKUP(表1[[#This Row],[id]],数据引用!A:C,3,FALSE),"")</f>
        <v/>
      </c>
      <c r="K1594" t="s">
        <v>1215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4" s="5"/>
    </row>
    <row r="1595" spans="1:16" ht="14.25" customHeight="1">
      <c r="A1595">
        <v>5257</v>
      </c>
      <c r="B1595">
        <v>0</v>
      </c>
      <c r="C1595">
        <v>0</v>
      </c>
      <c r="E1595">
        <v>1</v>
      </c>
      <c r="F1595">
        <v>12</v>
      </c>
      <c r="G1595" s="8" t="s">
        <v>730</v>
      </c>
      <c r="H1595" s="15" t="s">
        <v>4226</v>
      </c>
      <c r="I1595" s="18"/>
      <c r="J1595" t="str">
        <f>IF(LEN(VLOOKUP(表1[[#This Row],[id]],数据引用!A:C,3,FALSE))&gt;0,VLOOKUP(表1[[#This Row],[id]],数据引用!A:C,3,FALSE),"")</f>
        <v/>
      </c>
      <c r="K1595" t="s">
        <v>1215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5" s="5"/>
    </row>
    <row r="1596" spans="1:16" ht="14.25" customHeight="1">
      <c r="A1596">
        <v>5258</v>
      </c>
      <c r="B1596">
        <v>0</v>
      </c>
      <c r="C1596">
        <v>0</v>
      </c>
      <c r="E1596">
        <v>1</v>
      </c>
      <c r="F1596">
        <v>12</v>
      </c>
      <c r="G1596" s="8" t="s">
        <v>728</v>
      </c>
      <c r="H1596" s="15" t="s">
        <v>4227</v>
      </c>
      <c r="I1596" s="18"/>
      <c r="J1596" t="str">
        <f>IF(LEN(VLOOKUP(表1[[#This Row],[id]],数据引用!A:C,3,FALSE))&gt;0,VLOOKUP(表1[[#This Row],[id]],数据引用!A:C,3,FALSE),"")</f>
        <v/>
      </c>
      <c r="K1596" t="s">
        <v>1215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6" s="5"/>
    </row>
    <row r="1597" spans="1:16" ht="14.25" customHeight="1">
      <c r="A1597">
        <v>5259</v>
      </c>
      <c r="B1597">
        <v>0</v>
      </c>
      <c r="C1597">
        <v>0</v>
      </c>
      <c r="E1597">
        <v>1</v>
      </c>
      <c r="F1597">
        <v>12</v>
      </c>
      <c r="G1597" s="8" t="s">
        <v>1159</v>
      </c>
      <c r="H1597" s="15" t="s">
        <v>4228</v>
      </c>
      <c r="I1597" s="18"/>
      <c r="J1597" t="str">
        <f>IF(LEN(VLOOKUP(表1[[#This Row],[id]],数据引用!A:C,3,FALSE))&gt;0,VLOOKUP(表1[[#This Row],[id]],数据引用!A:C,3,FALSE),"")</f>
        <v/>
      </c>
      <c r="K1597" t="s">
        <v>1215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7" s="5"/>
    </row>
    <row r="1598" spans="1:16" ht="14.25" customHeight="1">
      <c r="A1598">
        <v>5260</v>
      </c>
      <c r="B1598">
        <v>0</v>
      </c>
      <c r="C1598">
        <v>0</v>
      </c>
      <c r="E1598">
        <v>1</v>
      </c>
      <c r="F1598">
        <v>12</v>
      </c>
      <c r="G1598" s="8" t="s">
        <v>1160</v>
      </c>
      <c r="H1598" s="15" t="s">
        <v>4229</v>
      </c>
      <c r="I1598" s="18"/>
      <c r="J1598" t="str">
        <f>IF(LEN(VLOOKUP(表1[[#This Row],[id]],数据引用!A:C,3,FALSE))&gt;0,VLOOKUP(表1[[#This Row],[id]],数据引用!A:C,3,FALSE),"")</f>
        <v/>
      </c>
      <c r="K1598" t="s">
        <v>1215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8" s="5"/>
    </row>
    <row r="1599" spans="1:16" ht="14.25" customHeight="1">
      <c r="A1599">
        <v>5261</v>
      </c>
      <c r="B1599">
        <v>0</v>
      </c>
      <c r="C1599">
        <v>0</v>
      </c>
      <c r="E1599">
        <v>1</v>
      </c>
      <c r="F1599">
        <v>12</v>
      </c>
      <c r="G1599" s="8" t="s">
        <v>1161</v>
      </c>
      <c r="H1599" s="15" t="s">
        <v>4230</v>
      </c>
      <c r="I1599" s="18"/>
      <c r="J1599" t="str">
        <f>IF(LEN(VLOOKUP(表1[[#This Row],[id]],数据引用!A:C,3,FALSE))&gt;0,VLOOKUP(表1[[#This Row],[id]],数据引用!A:C,3,FALSE),"")</f>
        <v/>
      </c>
      <c r="K1599" t="s">
        <v>1215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9" s="5"/>
    </row>
    <row r="1600" spans="1:16" ht="14.25" customHeight="1">
      <c r="A1600">
        <v>5262</v>
      </c>
      <c r="B1600">
        <v>0</v>
      </c>
      <c r="C1600">
        <v>0</v>
      </c>
      <c r="E1600">
        <v>1</v>
      </c>
      <c r="F1600">
        <v>12</v>
      </c>
      <c r="G1600" s="8" t="s">
        <v>1162</v>
      </c>
      <c r="H1600" s="15" t="s">
        <v>4231</v>
      </c>
      <c r="I1600" s="18"/>
      <c r="J1600" t="str">
        <f>IF(LEN(VLOOKUP(表1[[#This Row],[id]],数据引用!A:C,3,FALSE))&gt;0,VLOOKUP(表1[[#This Row],[id]],数据引用!A:C,3,FALSE),"")</f>
        <v/>
      </c>
      <c r="K1600" t="s">
        <v>1215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0" s="5"/>
    </row>
    <row r="1601" spans="1:16" ht="14.25" customHeight="1">
      <c r="A1601">
        <v>5263</v>
      </c>
      <c r="B1601">
        <v>0</v>
      </c>
      <c r="C1601">
        <v>0</v>
      </c>
      <c r="E1601">
        <v>1</v>
      </c>
      <c r="F1601">
        <v>12</v>
      </c>
      <c r="G1601" s="8" t="s">
        <v>1163</v>
      </c>
      <c r="H1601" s="15" t="s">
        <v>4232</v>
      </c>
      <c r="I1601" s="18"/>
      <c r="J1601" t="str">
        <f>IF(LEN(VLOOKUP(表1[[#This Row],[id]],数据引用!A:C,3,FALSE))&gt;0,VLOOKUP(表1[[#This Row],[id]],数据引用!A:C,3,FALSE),"")</f>
        <v/>
      </c>
      <c r="K1601" t="s">
        <v>1215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1" s="5"/>
    </row>
    <row r="1602" spans="1:16" ht="14.25" customHeight="1">
      <c r="A1602">
        <v>5264</v>
      </c>
      <c r="B1602">
        <v>0</v>
      </c>
      <c r="C1602">
        <v>0</v>
      </c>
      <c r="E1602">
        <v>1</v>
      </c>
      <c r="F1602">
        <v>12</v>
      </c>
      <c r="G1602" s="8" t="s">
        <v>1164</v>
      </c>
      <c r="H1602" s="15" t="s">
        <v>4233</v>
      </c>
      <c r="I1602" s="18"/>
      <c r="J1602" t="str">
        <f>IF(LEN(VLOOKUP(表1[[#This Row],[id]],数据引用!A:C,3,FALSE))&gt;0,VLOOKUP(表1[[#This Row],[id]],数据引用!A:C,3,FALSE),"")</f>
        <v/>
      </c>
      <c r="K1602" t="s">
        <v>1215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2" s="5"/>
    </row>
    <row r="1603" spans="1:16" ht="14.25" customHeight="1">
      <c r="A1603">
        <v>5265</v>
      </c>
      <c r="B1603">
        <v>0</v>
      </c>
      <c r="C1603">
        <v>0</v>
      </c>
      <c r="E1603">
        <v>1</v>
      </c>
      <c r="F1603">
        <v>12</v>
      </c>
      <c r="G1603" s="8" t="s">
        <v>1165</v>
      </c>
      <c r="H1603" s="15" t="s">
        <v>4234</v>
      </c>
      <c r="I1603" s="18"/>
      <c r="J1603" t="str">
        <f>IF(LEN(VLOOKUP(表1[[#This Row],[id]],数据引用!A:C,3,FALSE))&gt;0,VLOOKUP(表1[[#This Row],[id]],数据引用!A:C,3,FALSE),"")</f>
        <v/>
      </c>
      <c r="K1603" t="s">
        <v>1215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3" s="5"/>
    </row>
    <row r="1604" spans="1:16" ht="14.25" customHeight="1">
      <c r="A1604">
        <v>5266</v>
      </c>
      <c r="B1604">
        <v>0</v>
      </c>
      <c r="C1604">
        <v>0</v>
      </c>
      <c r="E1604">
        <v>1</v>
      </c>
      <c r="F1604">
        <v>12</v>
      </c>
      <c r="G1604" s="8" t="s">
        <v>1166</v>
      </c>
      <c r="H1604" s="15" t="s">
        <v>4235</v>
      </c>
      <c r="I1604" s="18"/>
      <c r="J1604" t="str">
        <f>IF(LEN(VLOOKUP(表1[[#This Row],[id]],数据引用!A:C,3,FALSE))&gt;0,VLOOKUP(表1[[#This Row],[id]],数据引用!A:C,3,FALSE),"")</f>
        <v/>
      </c>
      <c r="K1604" t="s">
        <v>1215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4" s="5"/>
    </row>
    <row r="1605" spans="1:16" ht="14.25" customHeight="1">
      <c r="A1605">
        <v>5267</v>
      </c>
      <c r="B1605">
        <v>0</v>
      </c>
      <c r="C1605">
        <v>0</v>
      </c>
      <c r="E1605">
        <v>1</v>
      </c>
      <c r="F1605">
        <v>12</v>
      </c>
      <c r="G1605" s="8" t="s">
        <v>1167</v>
      </c>
      <c r="H1605" s="15" t="s">
        <v>4236</v>
      </c>
      <c r="I1605" s="18"/>
      <c r="J1605" t="str">
        <f>IF(LEN(VLOOKUP(表1[[#This Row],[id]],数据引用!A:C,3,FALSE))&gt;0,VLOOKUP(表1[[#This Row],[id]],数据引用!A:C,3,FALSE),"")</f>
        <v/>
      </c>
      <c r="K1605" t="s">
        <v>1215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5" s="5"/>
    </row>
    <row r="1606" spans="1:16" ht="14.25" customHeight="1">
      <c r="A1606">
        <v>5268</v>
      </c>
      <c r="B1606">
        <v>0</v>
      </c>
      <c r="C1606">
        <v>0</v>
      </c>
      <c r="E1606">
        <v>1</v>
      </c>
      <c r="F1606">
        <v>12</v>
      </c>
      <c r="G1606" s="8" t="s">
        <v>1168</v>
      </c>
      <c r="H1606" s="15" t="s">
        <v>4237</v>
      </c>
      <c r="I1606" s="18"/>
      <c r="J1606" t="str">
        <f>IF(LEN(VLOOKUP(表1[[#This Row],[id]],数据引用!A:C,3,FALSE))&gt;0,VLOOKUP(表1[[#This Row],[id]],数据引用!A:C,3,FALSE),"")</f>
        <v/>
      </c>
      <c r="K1606" t="s">
        <v>1215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6" s="5"/>
    </row>
    <row r="1607" spans="1:16" ht="14.25" customHeight="1">
      <c r="A1607">
        <v>5269</v>
      </c>
      <c r="B1607">
        <v>0</v>
      </c>
      <c r="C1607">
        <v>0</v>
      </c>
      <c r="E1607">
        <v>1</v>
      </c>
      <c r="F1607">
        <v>12</v>
      </c>
      <c r="G1607" s="8" t="s">
        <v>1169</v>
      </c>
      <c r="H1607" s="15" t="s">
        <v>4238</v>
      </c>
      <c r="I1607" s="18"/>
      <c r="J1607" t="str">
        <f>IF(LEN(VLOOKUP(表1[[#This Row],[id]],数据引用!A:C,3,FALSE))&gt;0,VLOOKUP(表1[[#This Row],[id]],数据引用!A:C,3,FALSE),"")</f>
        <v/>
      </c>
      <c r="K1607" t="s">
        <v>1215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7" s="5"/>
    </row>
    <row r="1608" spans="1:16" ht="14.25" customHeight="1">
      <c r="A1608">
        <v>5270</v>
      </c>
      <c r="B1608">
        <v>0</v>
      </c>
      <c r="C1608">
        <v>0</v>
      </c>
      <c r="E1608">
        <v>1</v>
      </c>
      <c r="F1608">
        <v>12</v>
      </c>
      <c r="G1608" s="8" t="s">
        <v>1170</v>
      </c>
      <c r="H1608" s="15" t="s">
        <v>4239</v>
      </c>
      <c r="I1608" s="18"/>
      <c r="J1608" t="str">
        <f>IF(LEN(VLOOKUP(表1[[#This Row],[id]],数据引用!A:C,3,FALSE))&gt;0,VLOOKUP(表1[[#This Row],[id]],数据引用!A:C,3,FALSE),"")</f>
        <v/>
      </c>
      <c r="K1608" t="s">
        <v>1215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8" s="5"/>
    </row>
    <row r="1609" spans="1:16" ht="14.25" customHeight="1">
      <c r="A1609">
        <v>5271</v>
      </c>
      <c r="B1609">
        <v>0</v>
      </c>
      <c r="C1609">
        <v>0</v>
      </c>
      <c r="E1609">
        <v>1</v>
      </c>
      <c r="F1609">
        <v>12</v>
      </c>
      <c r="G1609" s="8" t="s">
        <v>1171</v>
      </c>
      <c r="H1609" s="15" t="s">
        <v>4240</v>
      </c>
      <c r="I1609" s="18"/>
      <c r="J1609" t="str">
        <f>IF(LEN(VLOOKUP(表1[[#This Row],[id]],数据引用!A:C,3,FALSE))&gt;0,VLOOKUP(表1[[#This Row],[id]],数据引用!A:C,3,FALSE),"")</f>
        <v/>
      </c>
      <c r="K1609" t="s">
        <v>1215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9" s="5"/>
    </row>
    <row r="1610" spans="1:16" ht="14.25" customHeight="1">
      <c r="A1610">
        <v>5272</v>
      </c>
      <c r="B1610">
        <v>0</v>
      </c>
      <c r="C1610">
        <v>0</v>
      </c>
      <c r="E1610">
        <v>1</v>
      </c>
      <c r="F1610">
        <v>12</v>
      </c>
      <c r="G1610" s="8" t="s">
        <v>1172</v>
      </c>
      <c r="H1610" s="15" t="s">
        <v>4241</v>
      </c>
      <c r="I1610" s="18"/>
      <c r="J1610" t="str">
        <f>IF(LEN(VLOOKUP(表1[[#This Row],[id]],数据引用!A:C,3,FALSE))&gt;0,VLOOKUP(表1[[#This Row],[id]],数据引用!A:C,3,FALSE),"")</f>
        <v/>
      </c>
      <c r="K1610" t="s">
        <v>1215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0" s="5"/>
    </row>
    <row r="1611" spans="1:16" ht="14.25" customHeight="1">
      <c r="A1611">
        <v>5273</v>
      </c>
      <c r="B1611">
        <v>0</v>
      </c>
      <c r="C1611">
        <v>0</v>
      </c>
      <c r="E1611">
        <v>1</v>
      </c>
      <c r="F1611">
        <v>12</v>
      </c>
      <c r="G1611" s="8" t="s">
        <v>1173</v>
      </c>
      <c r="H1611" s="15" t="s">
        <v>4242</v>
      </c>
      <c r="I1611" s="18"/>
      <c r="J1611" t="str">
        <f>IF(LEN(VLOOKUP(表1[[#This Row],[id]],数据引用!A:C,3,FALSE))&gt;0,VLOOKUP(表1[[#This Row],[id]],数据引用!A:C,3,FALSE),"")</f>
        <v/>
      </c>
      <c r="K1611" t="s">
        <v>1215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1" s="5"/>
    </row>
    <row r="1612" spans="1:16" ht="14.25" customHeight="1">
      <c r="A1612">
        <v>5274</v>
      </c>
      <c r="B1612">
        <v>0</v>
      </c>
      <c r="C1612">
        <v>0</v>
      </c>
      <c r="E1612">
        <v>1</v>
      </c>
      <c r="F1612">
        <v>12</v>
      </c>
      <c r="G1612" s="8" t="s">
        <v>1174</v>
      </c>
      <c r="H1612" s="15" t="s">
        <v>4243</v>
      </c>
      <c r="I1612" s="18"/>
      <c r="J1612" t="str">
        <f>IF(LEN(VLOOKUP(表1[[#This Row],[id]],数据引用!A:C,3,FALSE))&gt;0,VLOOKUP(表1[[#This Row],[id]],数据引用!A:C,3,FALSE),"")</f>
        <v/>
      </c>
      <c r="K1612" t="s">
        <v>1215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2" s="5"/>
    </row>
    <row r="1613" spans="1:16" ht="14.25" customHeight="1">
      <c r="A1613">
        <v>5275</v>
      </c>
      <c r="B1613">
        <v>0</v>
      </c>
      <c r="C1613">
        <v>0</v>
      </c>
      <c r="E1613">
        <v>1</v>
      </c>
      <c r="F1613">
        <v>12</v>
      </c>
      <c r="G1613" s="8" t="s">
        <v>1175</v>
      </c>
      <c r="H1613" s="15" t="s">
        <v>4244</v>
      </c>
      <c r="I1613" s="18"/>
      <c r="J1613" t="str">
        <f>IF(LEN(VLOOKUP(表1[[#This Row],[id]],数据引用!A:C,3,FALSE))&gt;0,VLOOKUP(表1[[#This Row],[id]],数据引用!A:C,3,FALSE),"")</f>
        <v/>
      </c>
      <c r="K1613" t="s">
        <v>1215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3" s="5"/>
    </row>
    <row r="1614" spans="1:16" ht="14.25" customHeight="1">
      <c r="A1614">
        <v>5276</v>
      </c>
      <c r="B1614">
        <v>0</v>
      </c>
      <c r="C1614">
        <v>0</v>
      </c>
      <c r="E1614">
        <v>1</v>
      </c>
      <c r="F1614">
        <v>12</v>
      </c>
      <c r="G1614" s="8" t="s">
        <v>839</v>
      </c>
      <c r="H1614" s="15" t="s">
        <v>4245</v>
      </c>
      <c r="I1614" s="18"/>
      <c r="J1614" t="str">
        <f>IF(LEN(VLOOKUP(表1[[#This Row],[id]],数据引用!A:C,3,FALSE))&gt;0,VLOOKUP(表1[[#This Row],[id]],数据引用!A:C,3,FALSE),"")</f>
        <v/>
      </c>
      <c r="K1614" t="s">
        <v>1215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4" s="5"/>
    </row>
    <row r="1615" spans="1:16" ht="14.25" customHeight="1">
      <c r="A1615">
        <v>5277</v>
      </c>
      <c r="B1615">
        <v>0</v>
      </c>
      <c r="C1615">
        <v>0</v>
      </c>
      <c r="E1615">
        <v>1</v>
      </c>
      <c r="F1615">
        <v>12</v>
      </c>
      <c r="G1615" s="8" t="s">
        <v>1176</v>
      </c>
      <c r="H1615" s="15" t="s">
        <v>4246</v>
      </c>
      <c r="I1615" s="18"/>
      <c r="J1615" t="str">
        <f>IF(LEN(VLOOKUP(表1[[#This Row],[id]],数据引用!A:C,3,FALSE))&gt;0,VLOOKUP(表1[[#This Row],[id]],数据引用!A:C,3,FALSE),"")</f>
        <v/>
      </c>
      <c r="K1615" t="s">
        <v>1215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5" s="5"/>
    </row>
    <row r="1616" spans="1:16" ht="14.25" customHeight="1">
      <c r="A1616">
        <v>5278</v>
      </c>
      <c r="B1616">
        <v>0</v>
      </c>
      <c r="C1616">
        <v>0</v>
      </c>
      <c r="E1616">
        <v>1</v>
      </c>
      <c r="F1616">
        <v>12</v>
      </c>
      <c r="G1616" s="8" t="s">
        <v>1177</v>
      </c>
      <c r="H1616" s="15" t="s">
        <v>4247</v>
      </c>
      <c r="I1616" s="18"/>
      <c r="J1616" t="str">
        <f>IF(LEN(VLOOKUP(表1[[#This Row],[id]],数据引用!A:C,3,FALSE))&gt;0,VLOOKUP(表1[[#This Row],[id]],数据引用!A:C,3,FALSE),"")</f>
        <v/>
      </c>
      <c r="K1616" t="s">
        <v>1215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6" s="5"/>
    </row>
    <row r="1617" spans="1:16" ht="14.25" customHeight="1">
      <c r="A1617">
        <v>5279</v>
      </c>
      <c r="B1617">
        <v>0</v>
      </c>
      <c r="C1617">
        <v>0</v>
      </c>
      <c r="E1617">
        <v>1</v>
      </c>
      <c r="F1617">
        <v>12</v>
      </c>
      <c r="G1617" s="8" t="s">
        <v>1178</v>
      </c>
      <c r="H1617" s="15" t="s">
        <v>4248</v>
      </c>
      <c r="I1617" s="18"/>
      <c r="J1617" t="str">
        <f>IF(LEN(VLOOKUP(表1[[#This Row],[id]],数据引用!A:C,3,FALSE))&gt;0,VLOOKUP(表1[[#This Row],[id]],数据引用!A:C,3,FALSE),"")</f>
        <v/>
      </c>
      <c r="K1617" t="s">
        <v>1215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7" s="5"/>
    </row>
    <row r="1618" spans="1:16" ht="14.25" customHeight="1">
      <c r="A1618">
        <v>5280</v>
      </c>
      <c r="B1618">
        <v>0</v>
      </c>
      <c r="C1618">
        <v>0</v>
      </c>
      <c r="E1618">
        <v>1</v>
      </c>
      <c r="F1618">
        <v>12</v>
      </c>
      <c r="G1618" s="8" t="s">
        <v>1179</v>
      </c>
      <c r="H1618" s="15" t="s">
        <v>4249</v>
      </c>
      <c r="I1618" s="18"/>
      <c r="J1618" t="str">
        <f>IF(LEN(VLOOKUP(表1[[#This Row],[id]],数据引用!A:C,3,FALSE))&gt;0,VLOOKUP(表1[[#This Row],[id]],数据引用!A:C,3,FALSE),"")</f>
        <v/>
      </c>
      <c r="K1618" t="s">
        <v>1215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8" s="5"/>
    </row>
    <row r="1619" spans="1:16" ht="14.25" customHeight="1">
      <c r="A1619">
        <v>5281</v>
      </c>
      <c r="B1619">
        <v>0</v>
      </c>
      <c r="C1619">
        <v>0</v>
      </c>
      <c r="E1619">
        <v>1</v>
      </c>
      <c r="F1619">
        <v>12</v>
      </c>
      <c r="G1619" s="8" t="s">
        <v>1180</v>
      </c>
      <c r="H1619" s="15" t="s">
        <v>4250</v>
      </c>
      <c r="I1619" s="18"/>
      <c r="J1619" t="str">
        <f>IF(LEN(VLOOKUP(表1[[#This Row],[id]],数据引用!A:C,3,FALSE))&gt;0,VLOOKUP(表1[[#This Row],[id]],数据引用!A:C,3,FALSE),"")</f>
        <v/>
      </c>
      <c r="K1619" t="s">
        <v>1215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9" s="5"/>
    </row>
    <row r="1620" spans="1:16" ht="14.25" customHeight="1">
      <c r="A1620">
        <v>5282</v>
      </c>
      <c r="B1620">
        <v>0</v>
      </c>
      <c r="C1620">
        <v>0</v>
      </c>
      <c r="E1620">
        <v>1</v>
      </c>
      <c r="F1620">
        <v>12</v>
      </c>
      <c r="G1620" s="8" t="s">
        <v>1181</v>
      </c>
      <c r="H1620" s="15" t="s">
        <v>4251</v>
      </c>
      <c r="I1620" s="18"/>
      <c r="J1620" t="str">
        <f>IF(LEN(VLOOKUP(表1[[#This Row],[id]],数据引用!A:C,3,FALSE))&gt;0,VLOOKUP(表1[[#This Row],[id]],数据引用!A:C,3,FALSE),"")</f>
        <v/>
      </c>
      <c r="K1620" t="s">
        <v>1215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0" s="5"/>
    </row>
    <row r="1621" spans="1:16" ht="14.25" customHeight="1">
      <c r="A1621">
        <v>5283</v>
      </c>
      <c r="B1621">
        <v>0</v>
      </c>
      <c r="C1621">
        <v>0</v>
      </c>
      <c r="E1621">
        <v>1</v>
      </c>
      <c r="F1621">
        <v>12</v>
      </c>
      <c r="G1621" s="8" t="s">
        <v>1182</v>
      </c>
      <c r="H1621" s="15" t="s">
        <v>4252</v>
      </c>
      <c r="I1621" s="18"/>
      <c r="J1621" t="str">
        <f>IF(LEN(VLOOKUP(表1[[#This Row],[id]],数据引用!A:C,3,FALSE))&gt;0,VLOOKUP(表1[[#This Row],[id]],数据引用!A:C,3,FALSE),"")</f>
        <v/>
      </c>
      <c r="K1621" t="s">
        <v>1215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1" s="5"/>
    </row>
    <row r="1622" spans="1:16" ht="14.25" customHeight="1">
      <c r="A1622">
        <v>5284</v>
      </c>
      <c r="B1622">
        <v>0</v>
      </c>
      <c r="C1622">
        <v>0</v>
      </c>
      <c r="E1622">
        <v>1</v>
      </c>
      <c r="F1622">
        <v>12</v>
      </c>
      <c r="G1622" s="8" t="s">
        <v>1183</v>
      </c>
      <c r="H1622" s="15" t="s">
        <v>4253</v>
      </c>
      <c r="I1622" s="18"/>
      <c r="J1622" t="str">
        <f>IF(LEN(VLOOKUP(表1[[#This Row],[id]],数据引用!A:C,3,FALSE))&gt;0,VLOOKUP(表1[[#This Row],[id]],数据引用!A:C,3,FALSE),"")</f>
        <v/>
      </c>
      <c r="K1622" t="s">
        <v>1215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2" s="5"/>
    </row>
    <row r="1623" spans="1:16" ht="14.25" customHeight="1">
      <c r="A1623">
        <v>5285</v>
      </c>
      <c r="B1623">
        <v>0</v>
      </c>
      <c r="C1623">
        <v>0</v>
      </c>
      <c r="E1623">
        <v>1</v>
      </c>
      <c r="F1623">
        <v>12</v>
      </c>
      <c r="G1623" s="8" t="s">
        <v>1184</v>
      </c>
      <c r="H1623" s="15" t="s">
        <v>4254</v>
      </c>
      <c r="I1623" s="18"/>
      <c r="J1623" t="str">
        <f>IF(LEN(VLOOKUP(表1[[#This Row],[id]],数据引用!A:C,3,FALSE))&gt;0,VLOOKUP(表1[[#This Row],[id]],数据引用!A:C,3,FALSE),"")</f>
        <v/>
      </c>
      <c r="K1623" t="s">
        <v>1215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3" s="5"/>
    </row>
    <row r="1624" spans="1:16" ht="14.25" customHeight="1">
      <c r="A1624">
        <v>5286</v>
      </c>
      <c r="B1624">
        <v>0</v>
      </c>
      <c r="C1624">
        <v>0</v>
      </c>
      <c r="E1624">
        <v>1</v>
      </c>
      <c r="F1624">
        <v>12</v>
      </c>
      <c r="G1624" s="8" t="s">
        <v>1185</v>
      </c>
      <c r="H1624" s="15" t="s">
        <v>4255</v>
      </c>
      <c r="I1624" s="18"/>
      <c r="J1624" t="str">
        <f>IF(LEN(VLOOKUP(表1[[#This Row],[id]],数据引用!A:C,3,FALSE))&gt;0,VLOOKUP(表1[[#This Row],[id]],数据引用!A:C,3,FALSE),"")</f>
        <v/>
      </c>
      <c r="K1624" t="s">
        <v>1215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4" s="5"/>
    </row>
    <row r="1625" spans="1:16" ht="14.25" customHeight="1">
      <c r="A1625">
        <v>5287</v>
      </c>
      <c r="B1625">
        <v>0</v>
      </c>
      <c r="C1625">
        <v>0</v>
      </c>
      <c r="E1625">
        <v>1</v>
      </c>
      <c r="F1625">
        <v>12</v>
      </c>
      <c r="G1625" s="8" t="s">
        <v>1175</v>
      </c>
      <c r="H1625" s="15" t="s">
        <v>4256</v>
      </c>
      <c r="I1625" s="18"/>
      <c r="J1625" t="str">
        <f>IF(LEN(VLOOKUP(表1[[#This Row],[id]],数据引用!A:C,3,FALSE))&gt;0,VLOOKUP(表1[[#This Row],[id]],数据引用!A:C,3,FALSE),"")</f>
        <v/>
      </c>
      <c r="K1625" t="s">
        <v>1215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5" s="5"/>
    </row>
    <row r="1626" spans="1:16" ht="14.25" customHeight="1">
      <c r="A1626">
        <v>5288</v>
      </c>
      <c r="B1626">
        <v>0</v>
      </c>
      <c r="C1626">
        <v>0</v>
      </c>
      <c r="E1626">
        <v>1</v>
      </c>
      <c r="F1626">
        <v>12</v>
      </c>
      <c r="G1626" s="8" t="s">
        <v>63</v>
      </c>
      <c r="H1626" s="15" t="s">
        <v>4257</v>
      </c>
      <c r="I1626" s="18"/>
      <c r="J1626" t="str">
        <f>IF(LEN(VLOOKUP(表1[[#This Row],[id]],数据引用!A:C,3,FALSE))&gt;0,VLOOKUP(表1[[#This Row],[id]],数据引用!A:C,3,FALSE),"")</f>
        <v/>
      </c>
      <c r="K1626" t="s">
        <v>1215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6" s="5"/>
    </row>
    <row r="1627" spans="1:16" ht="14.25" customHeight="1">
      <c r="A1627">
        <v>5289</v>
      </c>
      <c r="B1627">
        <v>0</v>
      </c>
      <c r="C1627">
        <v>0</v>
      </c>
      <c r="E1627">
        <v>1</v>
      </c>
      <c r="F1627">
        <v>12</v>
      </c>
      <c r="G1627" s="8" t="s">
        <v>1186</v>
      </c>
      <c r="H1627" s="15" t="s">
        <v>4258</v>
      </c>
      <c r="I1627" s="18"/>
      <c r="J1627" t="str">
        <f>IF(LEN(VLOOKUP(表1[[#This Row],[id]],数据引用!A:C,3,FALSE))&gt;0,VLOOKUP(表1[[#This Row],[id]],数据引用!A:C,3,FALSE),"")</f>
        <v/>
      </c>
      <c r="K1627" t="s">
        <v>1215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7" s="5"/>
    </row>
    <row r="1628" spans="1:16" ht="14.25" customHeight="1">
      <c r="A1628">
        <v>5290</v>
      </c>
      <c r="B1628">
        <v>0</v>
      </c>
      <c r="C1628">
        <v>0</v>
      </c>
      <c r="E1628">
        <v>1</v>
      </c>
      <c r="F1628">
        <v>12</v>
      </c>
      <c r="G1628" s="8" t="s">
        <v>1187</v>
      </c>
      <c r="H1628" s="15" t="s">
        <v>4259</v>
      </c>
      <c r="I1628" s="18"/>
      <c r="J1628" t="str">
        <f>IF(LEN(VLOOKUP(表1[[#This Row],[id]],数据引用!A:C,3,FALSE))&gt;0,VLOOKUP(表1[[#This Row],[id]],数据引用!A:C,3,FALSE),"")</f>
        <v/>
      </c>
      <c r="K1628" t="s">
        <v>1215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8" s="5"/>
    </row>
    <row r="1629" spans="1:16" ht="14.25" customHeight="1">
      <c r="A1629">
        <v>5291</v>
      </c>
      <c r="B1629">
        <v>0</v>
      </c>
      <c r="C1629">
        <v>0</v>
      </c>
      <c r="E1629">
        <v>1</v>
      </c>
      <c r="F1629">
        <v>12</v>
      </c>
      <c r="G1629" s="8" t="s">
        <v>1188</v>
      </c>
      <c r="H1629" s="15" t="s">
        <v>4260</v>
      </c>
      <c r="I1629" s="18"/>
      <c r="J1629" t="str">
        <f>IF(LEN(VLOOKUP(表1[[#This Row],[id]],数据引用!A:C,3,FALSE))&gt;0,VLOOKUP(表1[[#This Row],[id]],数据引用!A:C,3,FALSE),"")</f>
        <v/>
      </c>
      <c r="K1629" t="s">
        <v>1215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9" s="5"/>
    </row>
    <row r="1630" spans="1:16" ht="14.25" customHeight="1">
      <c r="A1630">
        <v>5292</v>
      </c>
      <c r="B1630">
        <v>0</v>
      </c>
      <c r="C1630">
        <v>0</v>
      </c>
      <c r="E1630">
        <v>1</v>
      </c>
      <c r="F1630">
        <v>12</v>
      </c>
      <c r="G1630" s="8" t="s">
        <v>1189</v>
      </c>
      <c r="H1630" s="15" t="s">
        <v>4261</v>
      </c>
      <c r="I1630" s="18"/>
      <c r="J1630" t="str">
        <f>IF(LEN(VLOOKUP(表1[[#This Row],[id]],数据引用!A:C,3,FALSE))&gt;0,VLOOKUP(表1[[#This Row],[id]],数据引用!A:C,3,FALSE),"")</f>
        <v/>
      </c>
      <c r="K1630" t="s">
        <v>1215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0" s="5"/>
    </row>
    <row r="1631" spans="1:16" ht="14.25" customHeight="1">
      <c r="A1631">
        <v>5293</v>
      </c>
      <c r="B1631">
        <v>0</v>
      </c>
      <c r="C1631">
        <v>0</v>
      </c>
      <c r="E1631">
        <v>1</v>
      </c>
      <c r="F1631">
        <v>12</v>
      </c>
      <c r="G1631" s="8" t="s">
        <v>1190</v>
      </c>
      <c r="H1631" s="15" t="s">
        <v>4262</v>
      </c>
      <c r="I1631" s="18"/>
      <c r="J1631" t="str">
        <f>IF(LEN(VLOOKUP(表1[[#This Row],[id]],数据引用!A:C,3,FALSE))&gt;0,VLOOKUP(表1[[#This Row],[id]],数据引用!A:C,3,FALSE),"")</f>
        <v/>
      </c>
      <c r="K1631" t="s">
        <v>1215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1" s="5"/>
    </row>
    <row r="1632" spans="1:16" ht="14.25" customHeight="1">
      <c r="A1632">
        <v>5294</v>
      </c>
      <c r="B1632">
        <v>0</v>
      </c>
      <c r="C1632">
        <v>0</v>
      </c>
      <c r="E1632">
        <v>1</v>
      </c>
      <c r="F1632">
        <v>12</v>
      </c>
      <c r="G1632" s="8" t="s">
        <v>1191</v>
      </c>
      <c r="H1632" s="15" t="s">
        <v>4263</v>
      </c>
      <c r="I1632" s="18"/>
      <c r="J1632" t="str">
        <f>IF(LEN(VLOOKUP(表1[[#This Row],[id]],数据引用!A:C,3,FALSE))&gt;0,VLOOKUP(表1[[#This Row],[id]],数据引用!A:C,3,FALSE),"")</f>
        <v/>
      </c>
      <c r="K1632" t="s">
        <v>1215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2" s="5"/>
    </row>
    <row r="1633" spans="1:16" ht="14.25" customHeight="1">
      <c r="A1633">
        <v>5295</v>
      </c>
      <c r="B1633">
        <v>0</v>
      </c>
      <c r="C1633">
        <v>0</v>
      </c>
      <c r="E1633">
        <v>1</v>
      </c>
      <c r="F1633">
        <v>12</v>
      </c>
      <c r="G1633" s="8" t="s">
        <v>1192</v>
      </c>
      <c r="H1633" s="15" t="s">
        <v>4264</v>
      </c>
      <c r="I1633" s="18"/>
      <c r="J1633" t="str">
        <f>IF(LEN(VLOOKUP(表1[[#This Row],[id]],数据引用!A:C,3,FALSE))&gt;0,VLOOKUP(表1[[#This Row],[id]],数据引用!A:C,3,FALSE),"")</f>
        <v/>
      </c>
      <c r="K1633" t="s">
        <v>1215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3" s="5"/>
    </row>
    <row r="1634" spans="1:16" ht="14.25" customHeight="1">
      <c r="A1634">
        <v>5296</v>
      </c>
      <c r="B1634">
        <v>0</v>
      </c>
      <c r="C1634">
        <v>0</v>
      </c>
      <c r="E1634">
        <v>1</v>
      </c>
      <c r="F1634">
        <v>12</v>
      </c>
      <c r="G1634" s="8" t="s">
        <v>1193</v>
      </c>
      <c r="H1634" s="15" t="s">
        <v>4265</v>
      </c>
      <c r="I1634" s="18"/>
      <c r="J1634" t="str">
        <f>IF(LEN(VLOOKUP(表1[[#This Row],[id]],数据引用!A:C,3,FALSE))&gt;0,VLOOKUP(表1[[#This Row],[id]],数据引用!A:C,3,FALSE),"")</f>
        <v/>
      </c>
      <c r="K1634" t="s">
        <v>1215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4" s="5"/>
    </row>
    <row r="1635" spans="1:16" ht="14.25" customHeight="1">
      <c r="A1635">
        <v>5297</v>
      </c>
      <c r="B1635">
        <v>0</v>
      </c>
      <c r="C1635">
        <v>0</v>
      </c>
      <c r="E1635">
        <v>1</v>
      </c>
      <c r="F1635">
        <v>12</v>
      </c>
      <c r="G1635" s="8" t="s">
        <v>337</v>
      </c>
      <c r="H1635" s="15" t="s">
        <v>4266</v>
      </c>
      <c r="I1635" s="18"/>
      <c r="J1635" t="str">
        <f>IF(LEN(VLOOKUP(表1[[#This Row],[id]],数据引用!A:C,3,FALSE))&gt;0,VLOOKUP(表1[[#This Row],[id]],数据引用!A:C,3,FALSE),"")</f>
        <v/>
      </c>
      <c r="K1635" t="s">
        <v>1215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5" s="5"/>
    </row>
    <row r="1636" spans="1:16" ht="14.25" customHeight="1">
      <c r="A1636">
        <v>5298</v>
      </c>
      <c r="B1636">
        <v>0</v>
      </c>
      <c r="C1636">
        <v>0</v>
      </c>
      <c r="E1636">
        <v>1</v>
      </c>
      <c r="F1636">
        <v>12</v>
      </c>
      <c r="G1636" s="8" t="s">
        <v>1194</v>
      </c>
      <c r="H1636" s="16" t="s">
        <v>4267</v>
      </c>
      <c r="I1636" s="18"/>
      <c r="J1636" t="str">
        <f>IF(LEN(VLOOKUP(表1[[#This Row],[id]],数据引用!A:C,3,FALSE))&gt;0,VLOOKUP(表1[[#This Row],[id]],数据引用!A:C,3,FALSE),"")</f>
        <v>↑ + ↓</v>
      </c>
      <c r="K1636" t="s">
        <v>1215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font-size:12;"&gt;↑ + ↓&lt;/text&gt;&lt;text transform="matrix(1 0 0 1 0 10.3205)" style="fill:#FFFFFF; font-family:'FZXS12--GB1-0'; font-size:12;"&gt;↑ + ↓&lt;/text&gt;&lt;/svg&gt;</v>
      </c>
      <c r="P1636" s="5"/>
    </row>
    <row r="1637" spans="1:16" ht="14.25" customHeight="1">
      <c r="A1637" t="s">
        <v>2185</v>
      </c>
      <c r="B1637">
        <v>0</v>
      </c>
      <c r="C1637">
        <v>0</v>
      </c>
      <c r="E1637" s="5" t="s">
        <v>2571</v>
      </c>
      <c r="F1637">
        <v>12</v>
      </c>
      <c r="G1637" s="1" t="s">
        <v>2180</v>
      </c>
      <c r="H1637" s="16" t="s">
        <v>2095</v>
      </c>
      <c r="I1637" s="18"/>
      <c r="J1637" s="5" t="str">
        <f>IF(LEN(VLOOKUP(表1[[#This Row],[id]],数据引用!A:C,3,FALSE))&gt;0,VLOOKUP(表1[[#This Row],[id]],数据引用!A:C,3,FALSE),"")</f>
        <v>我回来摧毁这把鲁特琴。为了寻找答案我复活了NecroDancer，但他背叛了我。</v>
      </c>
      <c r="K1637" t="s">
        <v>2178</v>
      </c>
      <c r="M163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font-size:12;"&gt;我回来摧毁这把鲁特琴。为了寻找答案我复活了NecroDancer，但他背叛了我。&lt;/text&gt;&lt;text transform="matrix(1 0 0 1 0 10.3205)" style="fill:#FFFFFF; font-family:'FZXS12--GB1-0'; font-size:12;"&gt;我回来摧毁这把鲁特琴。为了寻找答案我复活了NecroDancer，但他背叛了我。&lt;/text&gt;&lt;/svg&gt;</v>
      </c>
      <c r="N1637" s="5"/>
      <c r="P1637" s="5"/>
    </row>
    <row r="1638" spans="1:16" ht="14.25" customHeight="1">
      <c r="A1638" t="s">
        <v>2186</v>
      </c>
      <c r="B1638">
        <v>0</v>
      </c>
      <c r="C1638">
        <v>0</v>
      </c>
      <c r="E1638" s="5" t="s">
        <v>2571</v>
      </c>
      <c r="F1638">
        <v>12</v>
      </c>
      <c r="G1638" s="1" t="s">
        <v>2182</v>
      </c>
      <c r="H1638" s="16" t="s">
        <v>2096</v>
      </c>
      <c r="I1638" s="18"/>
      <c r="J1638" s="5" t="str">
        <f>IF(LEN(VLOOKUP(表1[[#This Row],[id]],数据引用!A:C,3,FALSE))&gt;0,VLOOKUP(表1[[#This Row],[id]],数据引用!A:C,3,FALSE),"")</f>
        <v>你抛下我们，一去不复返！</v>
      </c>
      <c r="K1638" t="s">
        <v>2178</v>
      </c>
      <c r="M163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font-size:12;"&gt;你抛下我们，一去不复返！&lt;/text&gt;&lt;text transform="matrix(1 0 0 1 0 10.3205)" style="fill:#FFFFFF; font-family:'FZXS12--GB1-0'; font-size:12;"&gt;你抛下我们，一去不复返！&lt;/text&gt;&lt;/svg&gt;</v>
      </c>
      <c r="N1638" s="5"/>
      <c r="P1638" s="5"/>
    </row>
    <row r="1639" spans="1:16" ht="14.25" customHeight="1">
      <c r="A1639" t="s">
        <v>2187</v>
      </c>
      <c r="B1639">
        <v>0</v>
      </c>
      <c r="C1639">
        <v>0</v>
      </c>
      <c r="E1639" s="5" t="s">
        <v>2571</v>
      </c>
      <c r="F1639">
        <v>12</v>
      </c>
      <c r="G1639" s="1" t="s">
        <v>2184</v>
      </c>
      <c r="H1639" s="16" t="s">
        <v>2097</v>
      </c>
      <c r="I1639" s="18"/>
      <c r="J1639" s="5" t="str">
        <f>IF(LEN(VLOOKUP(表1[[#This Row],[id]],数据引用!A:C,3,FALSE))&gt;0,VLOOKUP(表1[[#This Row],[id]],数据引用!A:C,3,FALSE),"")</f>
        <v>我做了我认为正确的事，却没有成功。</v>
      </c>
      <c r="K1639" t="s">
        <v>2178</v>
      </c>
      <c r="M163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font-size:12;"&gt;我做了我认为正确的事，却没有成功。&lt;/text&gt;&lt;text transform="matrix(1 0 0 1 0 10.3205)" style="fill:#FFFFFF; font-family:'FZXS12--GB1-0'; font-size:12;"&gt;我做了我认为正确的事，却没有成功。&lt;/text&gt;&lt;/svg&gt;</v>
      </c>
      <c r="N1639" s="5"/>
      <c r="P1639" s="5"/>
    </row>
    <row r="1640" spans="1:16" ht="14.25" customHeight="1">
      <c r="A1640" t="s">
        <v>2188</v>
      </c>
      <c r="B1640">
        <v>0</v>
      </c>
      <c r="C1640">
        <v>0</v>
      </c>
      <c r="E1640" s="5" t="s">
        <v>2571</v>
      </c>
      <c r="F1640">
        <v>12</v>
      </c>
      <c r="G1640" s="1" t="s">
        <v>2269</v>
      </c>
      <c r="H1640" s="16" t="s">
        <v>2098</v>
      </c>
      <c r="I1640" s="18"/>
      <c r="J1640" s="5" t="str">
        <f>IF(LEN(VLOOKUP(表1[[#This Row],[id]],数据引用!A:C,3,FALSE))&gt;0,VLOOKUP(表1[[#This Row],[id]],数据引用!A:C,3,FALSE),"")</f>
        <v>我一直怨恨着你，但现在我明白了。这个东西必须被毁掉。</v>
      </c>
      <c r="K1640" t="s">
        <v>2178</v>
      </c>
      <c r="M164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font-size:12;"&gt;我一直怨恨着你，但现在我明白了。这个东西必须被毁掉。&lt;/text&gt;&lt;text transform="matrix(1 0 0 1 0 10.3205)" style="fill:#FFFFFF; font-family:'FZXS12--GB1-0'; font-size:12;"&gt;我一直怨恨着你，但现在我明白了。这个东西必须被毁掉。&lt;/text&gt;&lt;/svg&gt;</v>
      </c>
      <c r="N1640" s="5"/>
      <c r="P1640" s="5"/>
    </row>
    <row r="1641" spans="1:16" ht="14.25" customHeight="1">
      <c r="A1641" t="s">
        <v>2189</v>
      </c>
      <c r="B1641">
        <v>0</v>
      </c>
      <c r="C1641">
        <v>0</v>
      </c>
      <c r="E1641" s="5" t="s">
        <v>2571</v>
      </c>
      <c r="F1641">
        <v>12</v>
      </c>
      <c r="G1641" s="1" t="s">
        <v>2271</v>
      </c>
      <c r="H1641" s="16" t="s">
        <v>2099</v>
      </c>
      <c r="I1641" s="18"/>
      <c r="J1641" s="5" t="str">
        <f>IF(LEN(VLOOKUP(表1[[#This Row],[id]],数据引用!A:C,3,FALSE))&gt;0,VLOOKUP(表1[[#This Row],[id]],数据引用!A:C,3,FALSE),"")</f>
        <v>是的，并且只有我知道应该怎么做。</v>
      </c>
      <c r="K1641" t="s">
        <v>2178</v>
      </c>
      <c r="M164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font-size:12;"&gt;是的，并且只有我知道应该怎么做。&lt;/text&gt;&lt;text transform="matrix(1 0 0 1 0 10.3205)" style="fill:#FFFFFF; font-family:'FZXS12--GB1-0'; font-size:12;"&gt;是的，并且只有我知道应该怎么做。&lt;/text&gt;&lt;/svg&gt;</v>
      </c>
      <c r="N1641" s="5"/>
      <c r="P1641" s="5"/>
    </row>
    <row r="1642" spans="1:16" ht="14.25" customHeight="1">
      <c r="A1642" t="s">
        <v>2190</v>
      </c>
      <c r="B1642">
        <v>0</v>
      </c>
      <c r="C1642">
        <v>0</v>
      </c>
      <c r="E1642" s="5" t="s">
        <v>2571</v>
      </c>
      <c r="F1642">
        <v>12</v>
      </c>
      <c r="G1642" s="1" t="s">
        <v>2273</v>
      </c>
      <c r="H1642" s="16" t="s">
        <v>2100</v>
      </c>
      <c r="I1642" s="18"/>
      <c r="J1642" s="5" t="str">
        <f>IF(LEN(VLOOKUP(表1[[#This Row],[id]],数据引用!A:C,3,FALSE))&gt;0,VLOOKUP(表1[[#This Row],[id]],数据引用!A:C,3,FALSE),"")</f>
        <v>NecroDancer背叛我之前告诉我了圣陵的位置。</v>
      </c>
      <c r="K1642" t="s">
        <v>2178</v>
      </c>
      <c r="M164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font-size:12;"&gt;NecroDancer背叛我之前告诉我了圣陵的位置。&lt;/text&gt;&lt;text transform="matrix(1 0 0 1 0 10.3205)" style="fill:#FFFFFF; font-family:'FZXS12--GB1-0'; font-size:12;"&gt;NecroDancer背叛我之前告诉我了圣陵的位置。&lt;/text&gt;&lt;/svg&gt;</v>
      </c>
      <c r="N1642" s="5"/>
      <c r="P1642" s="5"/>
    </row>
    <row r="1643" spans="1:16" ht="14.25" customHeight="1">
      <c r="A1643" t="s">
        <v>2191</v>
      </c>
      <c r="B1643">
        <v>0</v>
      </c>
      <c r="C1643">
        <v>0</v>
      </c>
      <c r="E1643" s="5" t="s">
        <v>2571</v>
      </c>
      <c r="F1643">
        <v>12</v>
      </c>
      <c r="G1643" s="1" t="s">
        <v>2275</v>
      </c>
      <c r="H1643" s="16" t="s">
        <v>2101</v>
      </c>
      <c r="I1643" s="18"/>
      <c r="J1643" s="5" t="str">
        <f>IF(LEN(VLOOKUP(表1[[#This Row],[id]],数据引用!A:C,3,FALSE))&gt;0,VLOOKUP(表1[[#This Row],[id]],数据引用!A:C,3,FALSE),"")</f>
        <v>他只是为了给自己争取更多时间。让我来结束这一切吧。</v>
      </c>
      <c r="K1643" t="s">
        <v>2178</v>
      </c>
      <c r="M164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font-size:12;"&gt;他只是为了给自己争取更多时间。让我来结束这一切吧。&lt;/text&gt;&lt;text transform="matrix(1 0 0 1 0 10.3205)" style="fill:#FFFFFF; font-family:'FZXS12--GB1-0'; font-size:12;"&gt;他只是为了给自己争取更多时间。让我来结束这一切吧。&lt;/text&gt;&lt;/svg&gt;</v>
      </c>
      <c r="N1643" s="5"/>
      <c r="P1643" s="5"/>
    </row>
    <row r="1644" spans="1:16" ht="14.25" customHeight="1">
      <c r="A1644" t="s">
        <v>2192</v>
      </c>
      <c r="B1644">
        <v>0</v>
      </c>
      <c r="C1644">
        <v>0</v>
      </c>
      <c r="E1644" s="5" t="s">
        <v>2571</v>
      </c>
      <c r="F1644">
        <v>12</v>
      </c>
      <c r="G1644" s="1" t="s">
        <v>2277</v>
      </c>
      <c r="H1644" s="16" t="s">
        <v>2102</v>
      </c>
      <c r="I1644" s="18"/>
      <c r="J1644" s="5" t="str">
        <f>IF(LEN(VLOOKUP(表1[[#This Row],[id]],数据引用!A:C,3,FALSE))&gt;0,VLOOKUP(表1[[#This Row],[id]],数据引用!A:C,3,FALSE),"")</f>
        <v>Octavian曾经是一名吟游诗人，他努力想获得别人关注。</v>
      </c>
      <c r="K1644" t="s">
        <v>2178</v>
      </c>
      <c r="M164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font-size:12;"&gt;Octavian曾经是一名吟游诗人，他努力想获得别人关注。&lt;/text&gt;&lt;text transform="matrix(1 0 0 1 0 10.3205)" style="fill:#FFFFFF; font-family:'FZXS12--GB1-0'; font-size:12;"&gt;Octavian曾经是一名吟游诗人，他努力想获得别人关注。&lt;/text&gt;&lt;/svg&gt;</v>
      </c>
      <c r="N1644" s="5"/>
      <c r="P1644" s="5"/>
    </row>
    <row r="1645" spans="1:16" ht="14.25" customHeight="1">
      <c r="A1645" t="s">
        <v>2193</v>
      </c>
      <c r="B1645">
        <v>0</v>
      </c>
      <c r="C1645">
        <v>0</v>
      </c>
      <c r="E1645" s="5" t="s">
        <v>2571</v>
      </c>
      <c r="F1645">
        <v>12</v>
      </c>
      <c r="G1645" s="1" t="s">
        <v>2279</v>
      </c>
      <c r="H1645" s="16" t="s">
        <v>2103</v>
      </c>
      <c r="I1645" s="18"/>
      <c r="J1645" s="5" t="str">
        <f>IF(LEN(VLOOKUP(表1[[#This Row],[id]],数据引用!A:C,3,FALSE))&gt;0,VLOOKUP(表1[[#This Row],[id]],数据引用!A:C,3,FALSE),"")</f>
        <v>在他的旅途中，他偶然发现了能够解决他这个问题的办法</v>
      </c>
      <c r="K1645" t="s">
        <v>2178</v>
      </c>
      <c r="M164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font-size:12;"&gt;在他的旅途中，他偶然发现了能够解决他这个问题的办法&lt;/text&gt;&lt;text transform="matrix(1 0 0 1 0 10.3205)" style="fill:#FFFFFF; font-family:'FZXS12--GB1-0'; font-size:12;"&gt;在他的旅途中，他偶然发现了能够解决他这个问题的办法&lt;/text&gt;&lt;/svg&gt;</v>
      </c>
      <c r="N1645" s="5"/>
      <c r="P1645" s="5"/>
    </row>
    <row r="1646" spans="1:16" ht="14.25" customHeight="1">
      <c r="A1646" t="s">
        <v>2194</v>
      </c>
      <c r="B1646">
        <v>0</v>
      </c>
      <c r="C1646">
        <v>0</v>
      </c>
      <c r="E1646" s="5" t="s">
        <v>2571</v>
      </c>
      <c r="F1646">
        <v>12</v>
      </c>
      <c r="G1646" s="1" t="s">
        <v>2281</v>
      </c>
      <c r="H1646" s="16" t="s">
        <v>2104</v>
      </c>
      <c r="I1646" s="18"/>
      <c r="J1646" s="5" t="str">
        <f>IF(LEN(VLOOKUP(表1[[#This Row],[id]],数据引用!A:C,3,FALSE))&gt;0,VLOOKUP(表1[[#This Row],[id]],数据引用!A:C,3,FALSE),"")</f>
        <v>几个世纪前，Octavian逃到了这个地下城并组建了一支不死大军。</v>
      </c>
      <c r="K1646" t="s">
        <v>2178</v>
      </c>
      <c r="M164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font-size:12;"&gt;几个世纪前，Octavian逃到了这个地下城并组建了一支不死大军。&lt;/text&gt;&lt;text transform="matrix(1 0 0 1 0 10.3205)" style="fill:#FFFFFF; font-family:'FZXS12--GB1-0'; font-size:12;"&gt;几个世纪前，Octavian逃到了这个地下城并组建了一支不死大军。&lt;/text&gt;&lt;/svg&gt;</v>
      </c>
      <c r="N1646" s="5"/>
      <c r="P1646" s="5"/>
    </row>
    <row r="1647" spans="1:16" ht="14.25" customHeight="1">
      <c r="A1647" t="s">
        <v>2195</v>
      </c>
      <c r="B1647">
        <v>0</v>
      </c>
      <c r="C1647">
        <v>0</v>
      </c>
      <c r="E1647" s="5" t="s">
        <v>2571</v>
      </c>
      <c r="F1647">
        <v>12</v>
      </c>
      <c r="G1647" s="1" t="s">
        <v>2283</v>
      </c>
      <c r="H1647" s="16" t="s">
        <v>2105</v>
      </c>
      <c r="I1647" s="18"/>
      <c r="J1647" s="5" t="str">
        <f>IF(LEN(VLOOKUP(表1[[#This Row],[id]],数据引用!A:C,3,FALSE))&gt;0,VLOOKUP(表1[[#This Row],[id]],数据引用!A:C,3,FALSE),"")</f>
        <v>但我第一次找到这里时，这里一只怪物也没有。</v>
      </c>
      <c r="K1647" t="s">
        <v>2178</v>
      </c>
      <c r="M164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font-size:12;"&gt;但我第一次找到这里时，这里一只怪物也没有。&lt;/text&gt;&lt;text transform="matrix(1 0 0 1 0 10.3205)" style="fill:#FFFFFF; font-family:'FZXS12--GB1-0'; font-size:12;"&gt;但我第一次找到这里时，这里一只怪物也没有。&lt;/text&gt;&lt;/svg&gt;</v>
      </c>
      <c r="N1647" s="5"/>
      <c r="P1647" s="5"/>
    </row>
    <row r="1648" spans="1:16" ht="14.25" customHeight="1">
      <c r="A1648" t="s">
        <v>2196</v>
      </c>
      <c r="B1648">
        <v>0</v>
      </c>
      <c r="C1648">
        <v>0</v>
      </c>
      <c r="E1648" s="5" t="s">
        <v>2571</v>
      </c>
      <c r="F1648">
        <v>12</v>
      </c>
      <c r="G1648" s="1" t="s">
        <v>2285</v>
      </c>
      <c r="H1648" s="16" t="s">
        <v>2106</v>
      </c>
      <c r="I1648" s="18"/>
      <c r="J1648" s="5" t="str">
        <f>IF(LEN(VLOOKUP(表1[[#This Row],[id]],数据引用!A:C,3,FALSE))&gt;0,VLOOKUP(表1[[#This Row],[id]],数据引用!A:C,3,FALSE),"")</f>
        <v>经历了数百年无休止的演奏，吟游诗人早已厌倦了这一切。</v>
      </c>
      <c r="K1648" t="s">
        <v>2178</v>
      </c>
      <c r="M164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font-size:12;"&gt;经历了数百年无休止的演奏，吟游诗人早已厌倦了这一切。&lt;/text&gt;&lt;text transform="matrix(1 0 0 1 0 10.3205)" style="fill:#FFFFFF; font-family:'FZXS12--GB1-0'; font-size:12;"&gt;经历了数百年无休止的演奏，吟游诗人早已厌倦了这一切。&lt;/text&gt;&lt;/svg&gt;</v>
      </c>
      <c r="N1648" s="5"/>
      <c r="P1648" s="5"/>
    </row>
    <row r="1649" spans="1:16" ht="14.25" customHeight="1">
      <c r="A1649" t="s">
        <v>2197</v>
      </c>
      <c r="B1649">
        <v>0</v>
      </c>
      <c r="C1649">
        <v>0</v>
      </c>
      <c r="E1649" s="5" t="s">
        <v>2571</v>
      </c>
      <c r="F1649">
        <v>12</v>
      </c>
      <c r="G1649" s="1" t="s">
        <v>2287</v>
      </c>
      <c r="H1649" s="16" t="s">
        <v>2107</v>
      </c>
      <c r="I1649" s="18"/>
      <c r="J1649" s="5" t="str">
        <f>IF(LEN(VLOOKUP(表1[[#This Row],[id]],数据引用!A:C,3,FALSE))&gt;0,VLOOKUP(表1[[#This Row],[id]],数据引用!A:C,3,FALSE),"")</f>
        <v>他停止了弹琴，然后死掉了。鲁特琴也不知所踪。</v>
      </c>
      <c r="K1649" t="s">
        <v>2178</v>
      </c>
      <c r="M164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font-size:12;"&gt;他停止了弹琴，然后死掉了。鲁特琴也不知所踪。&lt;/text&gt;&lt;text transform="matrix(1 0 0 1 0 10.3205)" style="fill:#FFFFFF; font-family:'FZXS12--GB1-0'; font-size:12;"&gt;他停止了弹琴，然后死掉了。鲁特琴也不知所踪。&lt;/text&gt;&lt;/svg&gt;</v>
      </c>
      <c r="N1649" s="5"/>
      <c r="P1649" s="5"/>
    </row>
    <row r="1650" spans="1:16" ht="14.25" customHeight="1">
      <c r="A1650" t="s">
        <v>2198</v>
      </c>
      <c r="B1650">
        <v>0</v>
      </c>
      <c r="C1650">
        <v>0</v>
      </c>
      <c r="E1650" s="5" t="s">
        <v>2571</v>
      </c>
      <c r="F1650">
        <v>12</v>
      </c>
      <c r="G1650" s="1" t="s">
        <v>2289</v>
      </c>
      <c r="H1650" s="16" t="s">
        <v>2108</v>
      </c>
      <c r="I1650" s="18"/>
      <c r="J1650" s="5" t="str">
        <f>IF(LEN(VLOOKUP(表1[[#This Row],[id]],数据引用!A:C,3,FALSE))&gt;0,VLOOKUP(表1[[#This Row],[id]],数据引用!A:C,3,FALSE),"")</f>
        <v>当我回来的时候，我唤醒了他。</v>
      </c>
      <c r="K1650" t="s">
        <v>2178</v>
      </c>
      <c r="M165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font-size:12;"&gt;当我回来的时候，我唤醒了他。&lt;/text&gt;&lt;text transform="matrix(1 0 0 1 0 10.3205)" style="fill:#FFFFFF; font-family:'FZXS12--GB1-0'; font-size:12;"&gt;当我回来的时候，我唤醒了他。&lt;/text&gt;&lt;/svg&gt;</v>
      </c>
      <c r="N1650" s="5"/>
      <c r="P1650" s="5"/>
    </row>
    <row r="1651" spans="1:16" ht="14.25" customHeight="1">
      <c r="A1651" t="s">
        <v>2199</v>
      </c>
      <c r="B1651">
        <v>0</v>
      </c>
      <c r="C1651">
        <v>0</v>
      </c>
      <c r="E1651" s="5" t="s">
        <v>2571</v>
      </c>
      <c r="F1651">
        <v>12</v>
      </c>
      <c r="G1651" s="1" t="s">
        <v>2291</v>
      </c>
      <c r="H1651" s="16" t="s">
        <v>2109</v>
      </c>
      <c r="I1651" s="18"/>
      <c r="J1651" s="5" t="str">
        <f>IF(LEN(VLOOKUP(表1[[#This Row],[id]],数据引用!A:C,3,FALSE))&gt;0,VLOOKUP(表1[[#This Row],[id]],数据引用!A:C,3,FALSE),"")</f>
        <v>Octavian，我知道你是谁。我们得摧毁这把鲁特琴，它不是凡人所能驾驭的！</v>
      </c>
      <c r="K1651" t="s">
        <v>2178</v>
      </c>
      <c r="M165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font-size:12;"&gt;Octavian，我知道你是谁。我们得摧毁这把鲁特琴，它不是凡人所能驾驭的！&lt;/text&gt;&lt;text transform="matrix(1 0 0 1 0 10.3205)" style="fill:#FFFFFF; font-family:'FZXS12--GB1-0'; font-size:12;"&gt;Octavian，我知道你是谁。我们得摧毁这把鲁特琴，它不是凡人所能驾驭的！&lt;/text&gt;&lt;/svg&gt;</v>
      </c>
      <c r="N1651" s="5"/>
      <c r="P1651" s="5"/>
    </row>
    <row r="1652" spans="1:16" ht="14.25" customHeight="1">
      <c r="A1652" t="s">
        <v>2200</v>
      </c>
      <c r="B1652">
        <v>0</v>
      </c>
      <c r="C1652">
        <v>0</v>
      </c>
      <c r="E1652" s="5" t="s">
        <v>2571</v>
      </c>
      <c r="F1652">
        <v>12</v>
      </c>
      <c r="G1652" s="1" t="s">
        <v>2293</v>
      </c>
      <c r="H1652" s="16" t="s">
        <v>2110</v>
      </c>
      <c r="I1652" s="18"/>
      <c r="J1652" s="5" t="str">
        <f>IF(LEN(VLOOKUP(表1[[#This Row],[id]],数据引用!A:C,3,FALSE))&gt;0,VLOOKUP(表1[[#This Row],[id]],数据引用!A:C,3,FALSE),"")</f>
        <v>你说得对。我愿意牺牲自己摧毁它。</v>
      </c>
      <c r="K1652" t="s">
        <v>2178</v>
      </c>
      <c r="M165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font-size:12;"&gt;你说得对。我愿意牺牲自己摧毁它。&lt;/text&gt;&lt;text transform="matrix(1 0 0 1 0 10.3205)" style="fill:#FFFFFF; font-family:'FZXS12--GB1-0'; font-size:12;"&gt;你说得对。我愿意牺牲自己摧毁它。&lt;/text&gt;&lt;/svg&gt;</v>
      </c>
      <c r="N1652" s="5"/>
      <c r="P1652" s="5"/>
    </row>
    <row r="1653" spans="1:16" ht="14.25" customHeight="1">
      <c r="A1653" t="s">
        <v>2201</v>
      </c>
      <c r="B1653">
        <v>0</v>
      </c>
      <c r="C1653">
        <v>0</v>
      </c>
      <c r="E1653" s="5" t="s">
        <v>2571</v>
      </c>
      <c r="F1653">
        <v>12</v>
      </c>
      <c r="G1653" s="1" t="s">
        <v>2295</v>
      </c>
      <c r="H1653" s="16" t="s">
        <v>2111</v>
      </c>
      <c r="I1653" s="18"/>
      <c r="J1653" s="5" t="str">
        <f>IF(LEN(VLOOKUP(表1[[#This Row],[id]],数据引用!A:C,3,FALSE))&gt;0,VLOOKUP(表1[[#This Row],[id]],数据引用!A:C,3,FALSE),"")</f>
        <v>这件事我不能相信任何人。</v>
      </c>
      <c r="K1653" t="s">
        <v>2178</v>
      </c>
      <c r="M165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font-size:12;"&gt;这件事我不能相信任何人。&lt;/text&gt;&lt;text transform="matrix(1 0 0 1 0 10.3205)" style="fill:#FFFFFF; font-family:'FZXS12--GB1-0'; font-size:12;"&gt;这件事我不能相信任何人。&lt;/text&gt;&lt;/svg&gt;</v>
      </c>
      <c r="N1653" s="5"/>
      <c r="P1653" s="5"/>
    </row>
    <row r="1654" spans="1:16" ht="14.25" customHeight="1">
      <c r="A1654" t="s">
        <v>2202</v>
      </c>
      <c r="B1654">
        <v>0</v>
      </c>
      <c r="C1654">
        <v>0</v>
      </c>
      <c r="E1654" s="5" t="s">
        <v>2571</v>
      </c>
      <c r="F1654">
        <v>12</v>
      </c>
      <c r="G1654" s="1" t="s">
        <v>2299</v>
      </c>
      <c r="H1654" s="16" t="s">
        <v>2112</v>
      </c>
      <c r="I1654" s="18"/>
      <c r="J1654" s="5" t="str">
        <f>IF(LEN(VLOOKUP(表1[[#This Row],[id]],数据引用!A:C,3,FALSE))&gt;0,VLOOKUP(表1[[#This Row],[id]],数据引用!A:C,3,FALSE),"")</f>
        <v>我已经被诅咒了。让我…弥补我犯下的错误吧。</v>
      </c>
      <c r="K1654" t="s">
        <v>2178</v>
      </c>
      <c r="M165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font-size:12;"&gt;我已经被诅咒了。让我…弥补我犯下的错误吧。&lt;/text&gt;&lt;text transform="matrix(1 0 0 1 0 10.3205)" style="fill:#FFFFFF; font-family:'FZXS12--GB1-0'; font-size:12;"&gt;我已经被诅咒了。让我…弥补我犯下的错误吧。&lt;/text&gt;&lt;/svg&gt;</v>
      </c>
      <c r="N1654" s="5"/>
      <c r="P1654" s="5"/>
    </row>
    <row r="1655" spans="1:16" ht="14.25" customHeight="1">
      <c r="A1655" t="s">
        <v>2203</v>
      </c>
      <c r="B1655">
        <v>0</v>
      </c>
      <c r="C1655">
        <v>0</v>
      </c>
      <c r="E1655" s="5" t="s">
        <v>2571</v>
      </c>
      <c r="F1655">
        <v>12</v>
      </c>
      <c r="G1655" s="1" t="s">
        <v>2297</v>
      </c>
      <c r="H1655" s="16" t="s">
        <v>2113</v>
      </c>
      <c r="I1655" s="18"/>
      <c r="J1655" s="5" t="str">
        <f>IF(LEN(VLOOKUP(表1[[#This Row],[id]],数据引用!A:C,3,FALSE))&gt;0,VLOOKUP(表1[[#This Row],[id]],数据引用!A:C,3,FALSE),"")</f>
        <v>我真是太愚蠢了。</v>
      </c>
      <c r="K1655" t="s">
        <v>2178</v>
      </c>
      <c r="M165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font-size:12;"&gt;我真是太愚蠢了。&lt;/text&gt;&lt;text transform="matrix(1 0 0 1 0 10.3205)" style="fill:#FFFFFF; font-family:'FZXS12--GB1-0'; font-size:12;"&gt;我真是太愚蠢了。&lt;/text&gt;&lt;/svg&gt;</v>
      </c>
      <c r="N1655" s="5"/>
      <c r="P1655" s="5"/>
    </row>
    <row r="1656" spans="1:16" ht="14.25" customHeight="1">
      <c r="A1656" t="s">
        <v>2204</v>
      </c>
      <c r="B1656">
        <v>0</v>
      </c>
      <c r="C1656">
        <v>0</v>
      </c>
      <c r="E1656" s="5" t="s">
        <v>2571</v>
      </c>
      <c r="F1656">
        <v>12</v>
      </c>
      <c r="G1656" s="1" t="s">
        <v>2301</v>
      </c>
      <c r="H1656" s="16" t="s">
        <v>2114</v>
      </c>
      <c r="I1656" s="18"/>
      <c r="J1656" s="5" t="str">
        <f>IF(LEN(VLOOKUP(表1[[#This Row],[id]],数据引用!A:C,3,FALSE))&gt;0,VLOOKUP(表1[[#This Row],[id]],数据引用!A:C,3,FALSE),"")</f>
        <v>最后我终于得以赎罪了…</v>
      </c>
      <c r="K1656" t="s">
        <v>2178</v>
      </c>
      <c r="M165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font-size:12;"&gt;最后我终于得以赎罪了…&lt;/text&gt;&lt;text transform="matrix(1 0 0 1 0 10.3205)" style="fill:#FFFFFF; font-family:'FZXS12--GB1-0'; font-size:12;"&gt;最后我终于得以赎罪了…&lt;/text&gt;&lt;/svg&gt;</v>
      </c>
      <c r="N1656" s="5"/>
      <c r="P1656" s="5"/>
    </row>
    <row r="1657" spans="1:16" ht="14.25" customHeight="1">
      <c r="A1657" t="s">
        <v>2205</v>
      </c>
      <c r="B1657">
        <v>0</v>
      </c>
      <c r="C1657">
        <v>0</v>
      </c>
      <c r="E1657" s="5" t="s">
        <v>2571</v>
      </c>
      <c r="F1657">
        <v>12</v>
      </c>
      <c r="G1657" s="1" t="s">
        <v>2303</v>
      </c>
      <c r="H1657" s="16" t="s">
        <v>2115</v>
      </c>
      <c r="I1657" s="18"/>
      <c r="J1657" s="5" t="str">
        <f>IF(LEN(VLOOKUP(表1[[#This Row],[id]],数据引用!A:C,3,FALSE))&gt;0,VLOOKUP(表1[[#This Row],[id]],数据引用!A:C,3,FALSE),"")</f>
        <v>一切都结束了，我的女儿。但对于你和你的家人而言，并不是现在。</v>
      </c>
      <c r="K1657" t="s">
        <v>2178</v>
      </c>
      <c r="M165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font-size:12;"&gt;一切都结束了，我的女儿。但对于你和你的家人而言，并不是现在。&lt;/text&gt;&lt;text transform="matrix(1 0 0 1 0 10.3205)" style="fill:#FFFFFF; font-family:'FZXS12--GB1-0'; font-size:12;"&gt;一切都结束了，我的女儿。但对于你和你的家人而言，并不是现在。&lt;/text&gt;&lt;/svg&gt;</v>
      </c>
      <c r="N1657" s="5"/>
      <c r="P1657" s="5"/>
    </row>
    <row r="1658" spans="1:16" ht="14.25" customHeight="1">
      <c r="A1658" t="s">
        <v>2206</v>
      </c>
      <c r="B1658">
        <v>0</v>
      </c>
      <c r="C1658">
        <v>0</v>
      </c>
      <c r="E1658" s="5" t="s">
        <v>2571</v>
      </c>
      <c r="F1658">
        <v>12</v>
      </c>
      <c r="G1658" s="1" t="s">
        <v>2305</v>
      </c>
      <c r="H1658" s="16" t="s">
        <v>2116</v>
      </c>
      <c r="I1658" s="18"/>
      <c r="J1658" s="5" t="str">
        <f>IF(LEN(VLOOKUP(表1[[#This Row],[id]],数据引用!A:C,3,FALSE))&gt;0,VLOOKUP(表1[[#This Row],[id]],数据引用!A:C,3,FALSE),"")</f>
        <v>他们说我还太年轻。</v>
      </c>
      <c r="K1658" t="s">
        <v>2178</v>
      </c>
      <c r="M165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font-size:12;"&gt;他们说我还太年轻。&lt;/text&gt;&lt;text transform="matrix(1 0 0 1 0 10.3205)" style="fill:#FFFFFF; font-family:'FZXS12--GB1-0'; font-size:12;"&gt;他们说我还太年轻。&lt;/text&gt;&lt;/svg&gt;</v>
      </c>
      <c r="N1658" s="5"/>
      <c r="P1658" s="5"/>
    </row>
    <row r="1659" spans="1:16" ht="14.25" customHeight="1">
      <c r="A1659" t="s">
        <v>2207</v>
      </c>
      <c r="B1659">
        <v>0</v>
      </c>
      <c r="C1659">
        <v>0</v>
      </c>
      <c r="E1659" s="5" t="s">
        <v>2571</v>
      </c>
      <c r="F1659">
        <v>12</v>
      </c>
      <c r="G1659" s="1" t="s">
        <v>2307</v>
      </c>
      <c r="H1659" s="16" t="s">
        <v>2117</v>
      </c>
      <c r="I1659" s="18"/>
      <c r="J1659" s="5" t="str">
        <f>IF(LEN(VLOOKUP(表1[[#This Row],[id]],数据引用!A:C,3,FALSE))&gt;0,VLOOKUP(表1[[#This Row],[id]],数据引用!A:C,3,FALSE),"")</f>
        <v>他们说我还需要锻炼。</v>
      </c>
      <c r="K1659" t="s">
        <v>2178</v>
      </c>
      <c r="M165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font-size:12;"&gt;他们说我还需要锻炼。&lt;/text&gt;&lt;text transform="matrix(1 0 0 1 0 10.3205)" style="fill:#FFFFFF; font-family:'FZXS12--GB1-0'; font-size:12;"&gt;他们说我还需要锻炼。&lt;/text&gt;&lt;/svg&gt;</v>
      </c>
      <c r="N1659" s="5"/>
      <c r="P1659" s="5"/>
    </row>
    <row r="1660" spans="1:16" ht="14.25" customHeight="1">
      <c r="A1660" t="s">
        <v>2208</v>
      </c>
      <c r="B1660">
        <v>0</v>
      </c>
      <c r="C1660">
        <v>0</v>
      </c>
      <c r="E1660" s="5" t="s">
        <v>2571</v>
      </c>
      <c r="F1660">
        <v>12</v>
      </c>
      <c r="G1660" s="1" t="s">
        <v>2309</v>
      </c>
      <c r="H1660" s="16" t="s">
        <v>2118</v>
      </c>
      <c r="I1660" s="18"/>
      <c r="J1660" s="5" t="str">
        <f>IF(LEN(VLOOKUP(表1[[#This Row],[id]],数据引用!A:C,3,FALSE))&gt;0,VLOOKUP(表1[[#This Row],[id]],数据引用!A:C,3,FALSE),"")</f>
        <v>我告诉他们下地狱吧！</v>
      </c>
      <c r="K1660" t="s">
        <v>2178</v>
      </c>
      <c r="M166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font-size:12;"&gt;我告诉他们下地狱吧！&lt;/text&gt;&lt;text transform="matrix(1 0 0 1 0 10.3205)" style="fill:#FFFFFF; font-family:'FZXS12--GB1-0'; font-size:12;"&gt;我告诉他们下地狱吧！&lt;/text&gt;&lt;/svg&gt;</v>
      </c>
      <c r="N1660" s="5"/>
      <c r="P1660" s="5"/>
    </row>
    <row r="1661" spans="1:16" ht="14.25" customHeight="1">
      <c r="A1661" t="s">
        <v>2209</v>
      </c>
      <c r="B1661">
        <v>0</v>
      </c>
      <c r="C1661">
        <v>0</v>
      </c>
      <c r="E1661" s="5" t="s">
        <v>2571</v>
      </c>
      <c r="F1661">
        <v>12</v>
      </c>
      <c r="G1661" s="1" t="s">
        <v>2311</v>
      </c>
      <c r="H1661" s="16" t="s">
        <v>2119</v>
      </c>
      <c r="I1661" s="18"/>
      <c r="J1661" s="5" t="str">
        <f>IF(LEN(VLOOKUP(表1[[#This Row],[id]],数据引用!A:C,3,FALSE))&gt;0,VLOOKUP(表1[[#This Row],[id]],数据引用!A:C,3,FALSE),"")</f>
        <v>太讽刺了…</v>
      </c>
      <c r="K1661" t="s">
        <v>2178</v>
      </c>
      <c r="M166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font-size:12;"&gt;太讽刺了…&lt;/text&gt;&lt;text transform="matrix(1 0 0 1 0 10.3205)" style="fill:#FFFFFF; font-family:'FZXS12--GB1-0'; font-size:12;"&gt;太讽刺了…&lt;/text&gt;&lt;/svg&gt;</v>
      </c>
      <c r="N1661" s="5"/>
      <c r="P1661" s="5"/>
    </row>
    <row r="1662" spans="1:16" ht="14.25" customHeight="1">
      <c r="A1662" t="s">
        <v>2210</v>
      </c>
      <c r="B1662">
        <v>0</v>
      </c>
      <c r="C1662">
        <v>0</v>
      </c>
      <c r="E1662" s="5" t="s">
        <v>2571</v>
      </c>
      <c r="F1662">
        <v>12</v>
      </c>
      <c r="G1662" s="1" t="s">
        <v>2313</v>
      </c>
      <c r="H1662" s="16" t="s">
        <v>2120</v>
      </c>
      <c r="I1662" s="18"/>
      <c r="J1662" s="5" t="str">
        <f>IF(LEN(VLOOKUP(表1[[#This Row],[id]],数据引用!A:C,3,FALSE))&gt;0,VLOOKUP(表1[[#This Row],[id]],数据引用!A:C,3,FALSE),"")</f>
        <v>我不知道我掉下来之后是怎么活下来的…但肯定发生了一些奇怪的事情。</v>
      </c>
      <c r="K1662" t="s">
        <v>2178</v>
      </c>
      <c r="M166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font-size:12;"&gt;我不知道我掉下来之后是怎么活下来的…但肯定发生了一些奇怪的事情。&lt;/text&gt;&lt;text transform="matrix(1 0 0 1 0 10.3205)" style="fill:#FFFFFF; font-family:'FZXS12--GB1-0'; font-size:12;"&gt;我不知道我掉下来之后是怎么活下来的…但肯定发生了一些奇怪的事情。&lt;/text&gt;&lt;/svg&gt;</v>
      </c>
      <c r="N1662" s="5"/>
      <c r="P1662" s="5"/>
    </row>
    <row r="1663" spans="1:16" ht="14.25" customHeight="1">
      <c r="A1663" t="s">
        <v>2211</v>
      </c>
      <c r="B1663">
        <v>0</v>
      </c>
      <c r="C1663">
        <v>0</v>
      </c>
      <c r="E1663" s="5" t="s">
        <v>2571</v>
      </c>
      <c r="F1663">
        <v>12</v>
      </c>
      <c r="G1663" s="1" t="s">
        <v>2315</v>
      </c>
      <c r="H1663" s="16" t="s">
        <v>2121</v>
      </c>
      <c r="I1663" s="18"/>
      <c r="J1663" s="5" t="str">
        <f>IF(LEN(VLOOKUP(表1[[#This Row],[id]],数据引用!A:C,3,FALSE))&gt;0,VLOOKUP(表1[[#This Row],[id]],数据引用!A:C,3,FALSE),"")</f>
        <v>我的身体如火般跳动但是我的血液却逐渐变冷。</v>
      </c>
      <c r="K1663" t="s">
        <v>2178</v>
      </c>
      <c r="M166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font-size:12;"&gt;我的身体如火般跳动但是我的血液却逐渐变冷。&lt;/text&gt;&lt;text transform="matrix(1 0 0 1 0 10.3205)" style="fill:#FFFFFF; font-family:'FZXS12--GB1-0'; font-size:12;"&gt;我的身体如火般跳动但是我的血液却逐渐变冷。&lt;/text&gt;&lt;/svg&gt;</v>
      </c>
      <c r="N1663" s="5"/>
      <c r="P1663" s="5"/>
    </row>
    <row r="1664" spans="1:16" ht="14.25" customHeight="1">
      <c r="A1664" t="s">
        <v>2212</v>
      </c>
      <c r="B1664">
        <v>0</v>
      </c>
      <c r="C1664">
        <v>0</v>
      </c>
      <c r="E1664" s="5" t="s">
        <v>2571</v>
      </c>
      <c r="F1664">
        <v>12</v>
      </c>
      <c r="G1664" s="1" t="s">
        <v>2317</v>
      </c>
      <c r="H1664" s="16" t="s">
        <v>2122</v>
      </c>
      <c r="I1664" s="18"/>
      <c r="J1664" s="5" t="str">
        <f>IF(LEN(VLOOKUP(表1[[#This Row],[id]],数据引用!A:C,3,FALSE))&gt;0,VLOOKUP(表1[[#This Row],[id]],数据引用!A:C,3,FALSE),"")</f>
        <v>我不明白接下来将会发生什么，但是我带着我的问题而来。</v>
      </c>
      <c r="K1664" t="s">
        <v>2178</v>
      </c>
      <c r="M166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font-size:12;"&gt;我不明白接下来将会发生什么，但是我带着我的问题而来。&lt;/text&gt;&lt;text transform="matrix(1 0 0 1 0 10.3205)" style="fill:#FFFFFF; font-family:'FZXS12--GB1-0'; font-size:12;"&gt;我不明白接下来将会发生什么，但是我带着我的问题而来。&lt;/text&gt;&lt;/svg&gt;</v>
      </c>
      <c r="N1664" s="5"/>
      <c r="P1664" s="5"/>
    </row>
    <row r="1665" spans="1:16" ht="14.25" customHeight="1">
      <c r="A1665" t="s">
        <v>2213</v>
      </c>
      <c r="B1665">
        <v>0</v>
      </c>
      <c r="C1665">
        <v>0</v>
      </c>
      <c r="E1665" s="5" t="s">
        <v>2571</v>
      </c>
      <c r="F1665">
        <v>12</v>
      </c>
      <c r="G1665" s="1" t="s">
        <v>2319</v>
      </c>
      <c r="H1665" s="16" t="s">
        <v>2123</v>
      </c>
      <c r="I1665" s="18"/>
      <c r="J1665" s="5" t="str">
        <f>IF(LEN(VLOOKUP(表1[[#This Row],[id]],数据引用!A:C,3,FALSE))&gt;0,VLOOKUP(表1[[#This Row],[id]],数据引用!A:C,3,FALSE),"")</f>
        <v>就算因此而死，我也要找到我的答案。</v>
      </c>
      <c r="K1665" t="s">
        <v>2178</v>
      </c>
      <c r="M166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font-size:12;"&gt;就算因此而死，我也要找到我的答案。&lt;/text&gt;&lt;text transform="matrix(1 0 0 1 0 10.3205)" style="fill:#FFFFFF; font-family:'FZXS12--GB1-0'; font-size:12;"&gt;就算因此而死，我也要找到我的答案。&lt;/text&gt;&lt;/svg&gt;</v>
      </c>
      <c r="N1665" s="5"/>
      <c r="P1665" s="5"/>
    </row>
    <row r="1666" spans="1:16" ht="14.25" customHeight="1">
      <c r="A1666" t="s">
        <v>2214</v>
      </c>
      <c r="B1666">
        <v>0</v>
      </c>
      <c r="C1666">
        <v>0</v>
      </c>
      <c r="E1666" s="5" t="s">
        <v>2571</v>
      </c>
      <c r="F1666">
        <v>12</v>
      </c>
      <c r="G1666" s="1" t="s">
        <v>2321</v>
      </c>
      <c r="H1666" s="16" t="s">
        <v>2124</v>
      </c>
      <c r="I1666" s="18"/>
      <c r="J1666" s="5" t="str">
        <f>IF(LEN(VLOOKUP(表1[[#This Row],[id]],数据引用!A:C,3,FALSE))&gt;0,VLOOKUP(表1[[#This Row],[id]],数据引用!A:C,3,FALSE),"")</f>
        <v>父亲总是来往于他的探险旅途中，但这一次他看起来特别兴奋。</v>
      </c>
      <c r="K1666" t="s">
        <v>2178</v>
      </c>
      <c r="M166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font-size:12;"&gt;父亲总是来往于他的探险旅途中，但这一次他看起来特别兴奋。&lt;/text&gt;&lt;text transform="matrix(1 0 0 1 0 10.3205)" style="fill:#FFFFFF; font-family:'FZXS12--GB1-0'; font-size:12;"&gt;父亲总是来往于他的探险旅途中，但这一次他看起来特别兴奋。&lt;/text&gt;&lt;/svg&gt;</v>
      </c>
      <c r="N1666" s="5"/>
      <c r="P1666" s="5"/>
    </row>
    <row r="1667" spans="1:16" ht="14.25" customHeight="1">
      <c r="A1667" t="s">
        <v>2215</v>
      </c>
      <c r="B1667">
        <v>0</v>
      </c>
      <c r="C1667">
        <v>0</v>
      </c>
      <c r="E1667" s="5" t="s">
        <v>2571</v>
      </c>
      <c r="F1667">
        <v>12</v>
      </c>
      <c r="G1667" s="1" t="s">
        <v>2323</v>
      </c>
      <c r="H1667" s="16" t="s">
        <v>2125</v>
      </c>
      <c r="I1667" s="18"/>
      <c r="J1667" s="5" t="str">
        <f>IF(LEN(VLOOKUP(表1[[#This Row],[id]],数据引用!A:C,3,FALSE))&gt;0,VLOOKUP(表1[[#This Row],[id]],数据引用!A:C,3,FALSE),"")</f>
        <v>他说他已经找到了，一些很棒的宝藏。</v>
      </c>
      <c r="K1667" t="s">
        <v>2178</v>
      </c>
      <c r="M166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font-size:12;"&gt;他说他已经找到了，一些很棒的宝藏。&lt;/text&gt;&lt;text transform="matrix(1 0 0 1 0 10.3205)" style="fill:#FFFFFF; font-family:'FZXS12--GB1-0'; font-size:12;"&gt;他说他已经找到了，一些很棒的宝藏。&lt;/text&gt;&lt;/svg&gt;</v>
      </c>
      <c r="N1667" s="5"/>
      <c r="P1667" s="5"/>
    </row>
    <row r="1668" spans="1:16" ht="14.25" customHeight="1">
      <c r="A1668" t="s">
        <v>2216</v>
      </c>
      <c r="B1668">
        <v>0</v>
      </c>
      <c r="C1668">
        <v>0</v>
      </c>
      <c r="E1668" s="5" t="s">
        <v>2571</v>
      </c>
      <c r="F1668">
        <v>12</v>
      </c>
      <c r="G1668" s="1" t="s">
        <v>2325</v>
      </c>
      <c r="H1668" s="16" t="s">
        <v>2126</v>
      </c>
      <c r="I1668" s="18"/>
      <c r="J1668" s="5" t="str">
        <f>IF(LEN(VLOOKUP(表1[[#This Row],[id]],数据引用!A:C,3,FALSE))&gt;0,VLOOKUP(表1[[#This Row],[id]],数据引用!A:C,3,FALSE),"")</f>
        <v>当我长大之后，我找到了他留下来的那些笔记。是关于一个墓地的路线记载。</v>
      </c>
      <c r="K1668" t="s">
        <v>2178</v>
      </c>
      <c r="M166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font-size:12;"&gt;当我长大之后，我找到了他留下来的那些笔记。是关于一个墓地的路线记载。&lt;/text&gt;&lt;text transform="matrix(1 0 0 1 0 10.3205)" style="fill:#FFFFFF; font-family:'FZXS12--GB1-0'; font-size:12;"&gt;当我长大之后，我找到了他留下来的那些笔记。是关于一个墓地的路线记载。&lt;/text&gt;&lt;/svg&gt;</v>
      </c>
      <c r="N1668" s="5"/>
      <c r="P1668" s="5"/>
    </row>
    <row r="1669" spans="1:16" ht="14.25" customHeight="1">
      <c r="A1669" t="s">
        <v>2217</v>
      </c>
      <c r="B1669">
        <v>0</v>
      </c>
      <c r="C1669">
        <v>0</v>
      </c>
      <c r="E1669" s="5" t="s">
        <v>2571</v>
      </c>
      <c r="F1669">
        <v>12</v>
      </c>
      <c r="G1669" s="1" t="s">
        <v>2327</v>
      </c>
      <c r="H1669" s="16" t="s">
        <v>2127</v>
      </c>
      <c r="I1669" s="18"/>
      <c r="J1669" s="5" t="str">
        <f>IF(LEN(VLOOKUP(表1[[#This Row],[id]],数据引用!A:C,3,FALSE))&gt;0,VLOOKUP(表1[[#This Row],[id]],数据引用!A:C,3,FALSE),"")</f>
        <v>伯父Eli尝试着阻止我，但是父亲已经为此离开了两年了。我必须去找他。</v>
      </c>
      <c r="K1669" t="s">
        <v>2178</v>
      </c>
      <c r="M166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font-size:12;"&gt;伯父Eli尝试着阻止我，但是父亲已经为此离开了两年了。我必须去找他。&lt;/text&gt;&lt;text transform="matrix(1 0 0 1 0 10.3205)" style="fill:#FFFFFF; font-family:'FZXS12--GB1-0'; font-size:12;"&gt;伯父Eli尝试着阻止我，但是父亲已经为此离开了两年了。我必须去找他。&lt;/text&gt;&lt;/svg&gt;</v>
      </c>
      <c r="N1669" s="5"/>
      <c r="P1669" s="5"/>
    </row>
    <row r="1670" spans="1:16" ht="14.25" customHeight="1">
      <c r="A1670" t="s">
        <v>2218</v>
      </c>
      <c r="B1670">
        <v>0</v>
      </c>
      <c r="C1670">
        <v>0</v>
      </c>
      <c r="E1670" s="5" t="s">
        <v>2571</v>
      </c>
      <c r="F1670">
        <v>12</v>
      </c>
      <c r="G1670" s="1" t="s">
        <v>2329</v>
      </c>
      <c r="H1670" s="16" t="s">
        <v>2128</v>
      </c>
      <c r="I1670" s="18"/>
      <c r="J1670" s="5" t="str">
        <f>IF(LEN(VLOOKUP(表1[[#This Row],[id]],数据引用!A:C,3,FALSE))&gt;0,VLOOKUP(表1[[#This Row],[id]],数据引用!A:C,3,FALSE),"")</f>
        <v>母亲在我7岁时就去世了。我听到父亲与伯父在母亲的葬礼上争吵。</v>
      </c>
      <c r="K1670" t="s">
        <v>2178</v>
      </c>
      <c r="M167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font-size:12;"&gt;母亲在我7岁时就去世了。我听到父亲与伯父在母亲的葬礼上争吵。&lt;/text&gt;&lt;text transform="matrix(1 0 0 1 0 10.3205)" style="fill:#FFFFFF; font-family:'FZXS12--GB1-0'; font-size:12;"&gt;母亲在我7岁时就去世了。我听到父亲与伯父在母亲的葬礼上争吵。&lt;/text&gt;&lt;/svg&gt;</v>
      </c>
      <c r="N1670" s="5"/>
      <c r="P1670" s="5"/>
    </row>
    <row r="1671" spans="1:16" ht="14.25" customHeight="1">
      <c r="A1671" t="s">
        <v>2219</v>
      </c>
      <c r="B1671">
        <v>0</v>
      </c>
      <c r="C1671">
        <v>0</v>
      </c>
      <c r="E1671" s="5" t="s">
        <v>2571</v>
      </c>
      <c r="F1671">
        <v>12</v>
      </c>
      <c r="G1671" s="1" t="s">
        <v>2331</v>
      </c>
      <c r="H1671" s="16" t="s">
        <v>2129</v>
      </c>
      <c r="I1671" s="18"/>
      <c r="J1671" s="5" t="str">
        <f>IF(LEN(VLOOKUP(表1[[#This Row],[id]],数据引用!A:C,3,FALSE))&gt;0,VLOOKUP(表1[[#This Row],[id]],数据引用!A:C,3,FALSE),"")</f>
        <v>现在我别无选择了，Eli。我必须得去找到那把金鲁特琴。</v>
      </c>
      <c r="K1671" t="s">
        <v>2178</v>
      </c>
      <c r="M167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font-size:12;"&gt;现在我别无选择了，Eli。我必须得去找到那把金鲁特琴。&lt;/text&gt;&lt;text transform="matrix(1 0 0 1 0 10.3205)" style="fill:#FFFFFF; font-family:'FZXS12--GB1-0'; font-size:12;"&gt;现在我别无选择了，Eli。我必须得去找到那把金鲁特琴。&lt;/text&gt;&lt;/svg&gt;</v>
      </c>
      <c r="N1671" s="5"/>
      <c r="P1671" s="5"/>
    </row>
    <row r="1672" spans="1:16" ht="14.25" customHeight="1">
      <c r="A1672" t="s">
        <v>2220</v>
      </c>
      <c r="B1672">
        <v>0</v>
      </c>
      <c r="C1672">
        <v>0</v>
      </c>
      <c r="E1672" s="5" t="s">
        <v>2571</v>
      </c>
      <c r="F1672">
        <v>12</v>
      </c>
      <c r="G1672" s="1" t="s">
        <v>2333</v>
      </c>
      <c r="H1672" s="16" t="s">
        <v>2130</v>
      </c>
      <c r="I1672" s="18"/>
      <c r="J1672" s="5" t="str">
        <f>IF(LEN(VLOOKUP(表1[[#This Row],[id]],数据引用!A:C,3,FALSE))&gt;0,VLOOKUP(表1[[#This Row],[id]],数据引用!A:C,3,FALSE),"")</f>
        <v>然后丢下你的孩子不管？</v>
      </c>
      <c r="K1672" t="s">
        <v>2178</v>
      </c>
      <c r="M167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font-size:12;"&gt;然后丢下你的孩子不管？&lt;/text&gt;&lt;text transform="matrix(1 0 0 1 0 10.3205)" style="fill:#FFFFFF; font-family:'FZXS12--GB1-0'; font-size:12;"&gt;然后丢下你的孩子不管？&lt;/text&gt;&lt;/svg&gt;</v>
      </c>
      <c r="N1672" s="5"/>
      <c r="P1672" s="5"/>
    </row>
    <row r="1673" spans="1:16" ht="14.25" customHeight="1">
      <c r="A1673" t="s">
        <v>2221</v>
      </c>
      <c r="B1673">
        <v>0</v>
      </c>
      <c r="C1673">
        <v>0</v>
      </c>
      <c r="E1673" s="5" t="s">
        <v>2571</v>
      </c>
      <c r="F1673">
        <v>12</v>
      </c>
      <c r="G1673" s="1" t="s">
        <v>2335</v>
      </c>
      <c r="H1673" s="16" t="s">
        <v>2131</v>
      </c>
      <c r="I1673" s="18"/>
      <c r="J1673" s="5" t="str">
        <f>IF(LEN(VLOOKUP(表1[[#This Row],[id]],数据引用!A:C,3,FALSE))&gt;0,VLOOKUP(表1[[#This Row],[id]],数据引用!A:C,3,FALSE),"")</f>
        <v>有了这些记载上的东西，应该不会需要太长时间的…</v>
      </c>
      <c r="K1673" t="s">
        <v>2178</v>
      </c>
      <c r="M167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font-size:12;"&gt;有了这些记载上的东西，应该不会需要太长时间的…&lt;/text&gt;&lt;text transform="matrix(1 0 0 1 0 10.3205)" style="fill:#FFFFFF; font-family:'FZXS12--GB1-0'; font-size:12;"&gt;有了这些记载上的东西，应该不会需要太长时间的…&lt;/text&gt;&lt;/svg&gt;</v>
      </c>
      <c r="N1673" s="5"/>
      <c r="P1673" s="5"/>
    </row>
    <row r="1674" spans="1:16" ht="14.25" customHeight="1">
      <c r="A1674" t="s">
        <v>2222</v>
      </c>
      <c r="B1674">
        <v>0</v>
      </c>
      <c r="C1674">
        <v>0</v>
      </c>
      <c r="E1674" s="5" t="s">
        <v>2571</v>
      </c>
      <c r="F1674">
        <v>12</v>
      </c>
      <c r="G1674" s="1" t="s">
        <v>2337</v>
      </c>
      <c r="H1674" s="16" t="s">
        <v>2132</v>
      </c>
      <c r="I1674" s="18"/>
      <c r="J1674" s="5" t="str">
        <f>IF(LEN(VLOOKUP(表1[[#This Row],[id]],数据引用!A:C,3,FALSE))&gt;0,VLOOKUP(表1[[#This Row],[id]],数据引用!A:C,3,FALSE),"")</f>
        <v>为什么"金鲁特琴"对你这么重要？</v>
      </c>
      <c r="K1674" t="s">
        <v>2178</v>
      </c>
      <c r="M167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font-size:12;"&gt;为什么"金鲁特琴"对你这么重要？&lt;/text&gt;&lt;text transform="matrix(1 0 0 1 0 10.3205)" style="fill:#FFFFFF; font-family:'FZXS12--GB1-0'; font-size:12;"&gt;为什么"金鲁特琴"对你这么重要？&lt;/text&gt;&lt;/svg&gt;</v>
      </c>
      <c r="N1674" s="5"/>
      <c r="P1674" s="5"/>
    </row>
    <row r="1675" spans="1:16" ht="14.25" customHeight="1">
      <c r="A1675" t="s">
        <v>2223</v>
      </c>
      <c r="B1675">
        <v>0</v>
      </c>
      <c r="C1675">
        <v>0</v>
      </c>
      <c r="E1675" s="5" t="s">
        <v>2571</v>
      </c>
      <c r="F1675">
        <v>12</v>
      </c>
      <c r="G1675" s="1" t="s">
        <v>2339</v>
      </c>
      <c r="H1675" s="16" t="s">
        <v>2133</v>
      </c>
      <c r="I1675" s="18"/>
      <c r="J1675" s="5" t="str">
        <f>IF(LEN(VLOOKUP(表1[[#This Row],[id]],数据引用!A:C,3,FALSE))&gt;0,VLOOKUP(表1[[#This Row],[id]],数据引用!A:C,3,FALSE),"")</f>
        <v>我们在一起生活的非常幸福快乐，直到我的母亲患病之后…</v>
      </c>
      <c r="K1675" t="s">
        <v>2178</v>
      </c>
      <c r="M167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font-size:12;"&gt;我们在一起生活的非常幸福快乐，直到我的母亲患病之后…&lt;/text&gt;&lt;text transform="matrix(1 0 0 1 0 10.3205)" style="fill:#FFFFFF; font-family:'FZXS12--GB1-0'; font-size:12;"&gt;我们在一起生活的非常幸福快乐，直到我的母亲患病之后…&lt;/text&gt;&lt;/svg&gt;</v>
      </c>
      <c r="N1675" s="5"/>
      <c r="P1675" s="5"/>
    </row>
    <row r="1676" spans="1:16" ht="14.25" customHeight="1">
      <c r="A1676" t="s">
        <v>2224</v>
      </c>
      <c r="B1676">
        <v>0</v>
      </c>
      <c r="C1676">
        <v>0</v>
      </c>
      <c r="E1676" s="5" t="s">
        <v>2571</v>
      </c>
      <c r="F1676">
        <v>12</v>
      </c>
      <c r="G1676" s="1" t="s">
        <v>2341</v>
      </c>
      <c r="H1676" s="16" t="s">
        <v>2134</v>
      </c>
      <c r="I1676" s="18"/>
      <c r="J1676" s="5" t="str">
        <f>IF(LEN(VLOOKUP(表1[[#This Row],[id]],数据引用!A:C,3,FALSE))&gt;0,VLOOKUP(表1[[#This Row],[id]],数据引用!A:C,3,FALSE),"")</f>
        <v>我只是想帮你治好你的病，Melody。你知道吗？</v>
      </c>
      <c r="K1676" t="s">
        <v>2178</v>
      </c>
      <c r="M167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font-size:12;"&gt;我只是想帮你治好你的病，Melody。你知道吗？&lt;/text&gt;&lt;text transform="matrix(1 0 0 1 0 10.3205)" style="fill:#FFFFFF; font-family:'FZXS12--GB1-0'; font-size:12;"&gt;我只是想帮你治好你的病，Melody。你知道吗？&lt;/text&gt;&lt;/svg&gt;</v>
      </c>
      <c r="N1676" s="5"/>
      <c r="P1676" s="5"/>
    </row>
    <row r="1677" spans="1:16" ht="14.25" customHeight="1">
      <c r="A1677" t="s">
        <v>2225</v>
      </c>
      <c r="B1677">
        <v>0</v>
      </c>
      <c r="C1677">
        <v>0</v>
      </c>
      <c r="E1677" s="5" t="s">
        <v>2571</v>
      </c>
      <c r="F1677">
        <v>12</v>
      </c>
      <c r="G1677" s="1" t="s">
        <v>2343</v>
      </c>
      <c r="H1677" s="16" t="s">
        <v>2135</v>
      </c>
      <c r="I1677" s="18"/>
      <c r="J1677" s="5" t="str">
        <f>IF(LEN(VLOOKUP(表1[[#This Row],[id]],数据引用!A:C,3,FALSE))&gt;0,VLOOKUP(表1[[#This Row],[id]],数据引用!A:C,3,FALSE),"")</f>
        <v>这就是为什么我母亲带着那把琴离开了，Dorian。别去！</v>
      </c>
      <c r="K1677" t="s">
        <v>2178</v>
      </c>
      <c r="M167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font-size:12;"&gt;这就是为什么我母亲带着那把琴离开了，Dorian。别去！&lt;/text&gt;&lt;text transform="matrix(1 0 0 1 0 10.3205)" style="fill:#FFFFFF; font-family:'FZXS12--GB1-0'; font-size:12;"&gt;这就是为什么我母亲带着那把琴离开了，Dorian。别去！&lt;/text&gt;&lt;/svg&gt;</v>
      </c>
      <c r="N1677" s="5"/>
      <c r="P1677" s="5"/>
    </row>
    <row r="1678" spans="1:16" ht="14.25" customHeight="1">
      <c r="A1678" t="s">
        <v>2226</v>
      </c>
      <c r="B1678">
        <v>0</v>
      </c>
      <c r="C1678">
        <v>0</v>
      </c>
      <c r="E1678" s="5" t="s">
        <v>2571</v>
      </c>
      <c r="F1678">
        <v>12</v>
      </c>
      <c r="G1678" s="1" t="s">
        <v>2345</v>
      </c>
      <c r="H1678" s="16" t="s">
        <v>2136</v>
      </c>
      <c r="I1678" s="18"/>
      <c r="J1678" s="5" t="str">
        <f>IF(LEN(VLOOKUP(表1[[#This Row],[id]],数据引用!A:C,3,FALSE))&gt;0,VLOOKUP(表1[[#This Row],[id]],数据引用!A:C,3,FALSE),"")</f>
        <v>我必须找到它，我…我必须去冒这个险。</v>
      </c>
      <c r="K1678" t="s">
        <v>2178</v>
      </c>
      <c r="M167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font-size:12;"&gt;我必须找到它，我…我必须去冒这个险。&lt;/text&gt;&lt;text transform="matrix(1 0 0 1 0 10.3205)" style="fill:#FFFFFF; font-family:'FZXS12--GB1-0'; font-size:12;"&gt;我必须找到它，我…我必须去冒这个险。&lt;/text&gt;&lt;/svg&gt;</v>
      </c>
      <c r="N1678" s="5"/>
      <c r="P1678" s="5"/>
    </row>
    <row r="1679" spans="1:16" ht="14.25" customHeight="1">
      <c r="A1679" t="s">
        <v>2227</v>
      </c>
      <c r="B1679">
        <v>0</v>
      </c>
      <c r="C1679">
        <v>0</v>
      </c>
      <c r="E1679" s="5" t="s">
        <v>2571</v>
      </c>
      <c r="F1679">
        <v>12</v>
      </c>
      <c r="G1679" s="1" t="s">
        <v>2347</v>
      </c>
      <c r="H1679" s="16" t="s">
        <v>2137</v>
      </c>
      <c r="I1679" s="18"/>
      <c r="J1679" s="5" t="str">
        <f>IF(LEN(VLOOKUP(表1[[#This Row],[id]],数据引用!A:C,3,FALSE))&gt;0,VLOOKUP(表1[[#This Row],[id]],数据引用!A:C,3,FALSE),"")</f>
        <v>父亲？！</v>
      </c>
      <c r="K1679" t="s">
        <v>2178</v>
      </c>
      <c r="M167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font-size:12;"&gt;父亲？！&lt;/text&gt;&lt;text transform="matrix(1 0 0 1 0 10.3205)" style="fill:#FFFFFF; font-family:'FZXS12--GB1-0'; font-size:12;"&gt;父亲？！&lt;/text&gt;&lt;/svg&gt;</v>
      </c>
      <c r="N1679" s="5"/>
      <c r="P1679" s="5"/>
    </row>
    <row r="1680" spans="1:16" ht="14.25" customHeight="1">
      <c r="A1680" t="s">
        <v>2228</v>
      </c>
      <c r="B1680">
        <v>0</v>
      </c>
      <c r="C1680">
        <v>0</v>
      </c>
      <c r="E1680" s="5" t="s">
        <v>2571</v>
      </c>
      <c r="F1680">
        <v>12</v>
      </c>
      <c r="G1680" s="1" t="s">
        <v>2349</v>
      </c>
      <c r="H1680" s="16" t="s">
        <v>2138</v>
      </c>
      <c r="I1680" s="18"/>
      <c r="J1680" s="5" t="str">
        <f>IF(LEN(VLOOKUP(表1[[#This Row],[id]],数据引用!A:C,3,FALSE))&gt;0,VLOOKUP(表1[[#This Row],[id]],数据引用!A:C,3,FALSE),"")</f>
        <v>我很抱歉…我被法术迷惑了！</v>
      </c>
      <c r="K1680" t="s">
        <v>2178</v>
      </c>
      <c r="M168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font-size:12;"&gt;我很抱歉…我被法术迷惑了！&lt;/text&gt;&lt;text transform="matrix(1 0 0 1 0 10.3205)" style="fill:#FFFFFF; font-family:'FZXS12--GB1-0'; font-size:12;"&gt;我很抱歉…我被法术迷惑了！&lt;/text&gt;&lt;/svg&gt;</v>
      </c>
      <c r="N1680" s="5"/>
      <c r="P1680" s="5"/>
    </row>
    <row r="1681" spans="1:16" ht="14.25" customHeight="1">
      <c r="A1681" t="s">
        <v>2229</v>
      </c>
      <c r="B1681">
        <v>0</v>
      </c>
      <c r="C1681">
        <v>0</v>
      </c>
      <c r="E1681" s="5" t="s">
        <v>2571</v>
      </c>
      <c r="F1681">
        <v>12</v>
      </c>
      <c r="G1681" s="1" t="s">
        <v>2351</v>
      </c>
      <c r="H1681" s="16" t="s">
        <v>2139</v>
      </c>
      <c r="I1681" s="18"/>
      <c r="J1681" s="5" t="str">
        <f>IF(LEN(VLOOKUP(表1[[#This Row],[id]],数据引用!A:C,3,FALSE))&gt;0,VLOOKUP(表1[[#This Row],[id]],数据引用!A:C,3,FALSE),"")</f>
        <v>不久后就能离开这？我想你们根本就没有信心来面对我！</v>
      </c>
      <c r="K1681" t="s">
        <v>2178</v>
      </c>
      <c r="M168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font-size:12;"&gt;不久后就能离开这？我想你们根本就没有信心来面对我！&lt;/text&gt;&lt;text transform="matrix(1 0 0 1 0 10.3205)" style="fill:#FFFFFF; font-family:'FZXS12--GB1-0'; font-size:12;"&gt;不久后就能离开这？我想你们根本就没有信心来面对我！&lt;/text&gt;&lt;/svg&gt;</v>
      </c>
      <c r="N1681" s="5"/>
      <c r="P1681" s="5"/>
    </row>
    <row r="1682" spans="1:16" ht="14.25" customHeight="1">
      <c r="A1682" t="s">
        <v>2230</v>
      </c>
      <c r="B1682">
        <v>0</v>
      </c>
      <c r="C1682">
        <v>0</v>
      </c>
      <c r="E1682" s="5" t="s">
        <v>2571</v>
      </c>
      <c r="F1682">
        <v>12</v>
      </c>
      <c r="G1682" s="1" t="s">
        <v>2353</v>
      </c>
      <c r="H1682" s="16" t="s">
        <v>2140</v>
      </c>
      <c r="I1682" s="18"/>
      <c r="J1682" s="5" t="str">
        <f>IF(LEN(VLOOKUP(表1[[#This Row],[id]],数据引用!A:C,3,FALSE))&gt;0,VLOOKUP(表1[[#This Row],[id]],数据引用!A:C,3,FALSE),"")</f>
        <v>我觉得我知道应该如何击败他，Cadence。但是我们必须同心协力。来，听我指挥。</v>
      </c>
      <c r="K1682" t="s">
        <v>2178</v>
      </c>
      <c r="M168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font-size:12;"&gt;我觉得我知道应该如何击败他，Cadence。但是我们必须同心协力。来，听我指挥。&lt;/text&gt;&lt;text transform="matrix(1 0 0 1 0 10.3205)" style="fill:#FFFFFF; font-family:'FZXS12--GB1-0'; font-size:12;"&gt;我觉得我知道应该如何击败他，Cadence。但是我们必须同心协力。来，听我指挥。&lt;/text&gt;&lt;/svg&gt;</v>
      </c>
      <c r="N1682" s="5"/>
      <c r="P1682" s="5"/>
    </row>
    <row r="1683" spans="1:16" ht="14.25" customHeight="1">
      <c r="A1683" t="s">
        <v>2231</v>
      </c>
      <c r="B1683">
        <v>0</v>
      </c>
      <c r="C1683">
        <v>0</v>
      </c>
      <c r="E1683" s="5" t="s">
        <v>2571</v>
      </c>
      <c r="F1683">
        <v>12</v>
      </c>
      <c r="G1683" s="1" t="s">
        <v>2355</v>
      </c>
      <c r="H1683" s="16" t="s">
        <v>2141</v>
      </c>
      <c r="I1683" s="18"/>
      <c r="J1683" s="5" t="str">
        <f>IF(LEN(VLOOKUP(表1[[#This Row],[id]],数据引用!A:C,3,FALSE))&gt;0,VLOOKUP(表1[[#This Row],[id]],数据引用!A:C,3,FALSE),"")</f>
        <v>这就是你一直以来需找的金鲁特琴…但为什么？</v>
      </c>
      <c r="K1683" t="s">
        <v>2178</v>
      </c>
      <c r="M168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font-size:12;"&gt;这就是你一直以来需找的金鲁特琴…但为什么？&lt;/text&gt;&lt;text transform="matrix(1 0 0 1 0 10.3205)" style="fill:#FFFFFF; font-family:'FZXS12--GB1-0'; font-size:12;"&gt;这就是你一直以来需找的金鲁特琴…但为什么？&lt;/text&gt;&lt;/svg&gt;</v>
      </c>
      <c r="N1683" s="5"/>
      <c r="P1683" s="5"/>
    </row>
    <row r="1684" spans="1:16" ht="14.25" customHeight="1">
      <c r="A1684" t="s">
        <v>2232</v>
      </c>
      <c r="B1684">
        <v>0</v>
      </c>
      <c r="C1684">
        <v>0</v>
      </c>
      <c r="E1684" s="5" t="s">
        <v>2571</v>
      </c>
      <c r="F1684">
        <v>12</v>
      </c>
      <c r="G1684" s="1" t="s">
        <v>2357</v>
      </c>
      <c r="H1684" s="16" t="s">
        <v>2142</v>
      </c>
      <c r="I1684" s="18"/>
      <c r="J1684" s="5" t="str">
        <f>IF(LEN(VLOOKUP(表1[[#This Row],[id]],数据引用!A:C,3,FALSE))&gt;0,VLOOKUP(表1[[#This Row],[id]],数据引用!A:C,3,FALSE),"")</f>
        <v>你马上就会知道的。</v>
      </c>
      <c r="K1684" t="s">
        <v>2178</v>
      </c>
      <c r="M168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font-size:12;"&gt;你马上就会知道的。&lt;/text&gt;&lt;text transform="matrix(1 0 0 1 0 10.3205)" style="fill:#FFFFFF; font-family:'FZXS12--GB1-0'; font-size:12;"&gt;你马上就会知道的。&lt;/text&gt;&lt;/svg&gt;</v>
      </c>
      <c r="N1684" s="5"/>
      <c r="P1684" s="5"/>
    </row>
    <row r="1685" spans="1:16" ht="14.25" customHeight="1">
      <c r="A1685" t="s">
        <v>2233</v>
      </c>
      <c r="B1685">
        <v>0</v>
      </c>
      <c r="C1685">
        <v>0</v>
      </c>
      <c r="E1685" s="5" t="s">
        <v>2571</v>
      </c>
      <c r="F1685">
        <v>12</v>
      </c>
      <c r="G1685" s="1" t="s">
        <v>2359</v>
      </c>
      <c r="H1685" s="16" t="s">
        <v>2143</v>
      </c>
      <c r="I1685" s="18"/>
      <c r="J1685" s="5" t="str">
        <f>IF(LEN(VLOOKUP(表1[[#This Row],[id]],数据引用!A:C,3,FALSE))&gt;0,VLOOKUP(表1[[#This Row],[id]],数据引用!A:C,3,FALSE),"")</f>
        <v>他们用金鲁特琴的力量救活了我。</v>
      </c>
      <c r="K1685" t="s">
        <v>2178</v>
      </c>
      <c r="M168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font-size:12;"&gt;他们用金鲁特琴的力量救活了我。&lt;/text&gt;&lt;text transform="matrix(1 0 0 1 0 10.3205)" style="fill:#FFFFFF; font-family:'FZXS12--GB1-0'; font-size:12;"&gt;他们用金鲁特琴的力量救活了我。&lt;/text&gt;&lt;/svg&gt;</v>
      </c>
      <c r="N1685" s="5"/>
      <c r="P1685" s="5"/>
    </row>
    <row r="1686" spans="1:16" ht="14.25" customHeight="1">
      <c r="A1686" t="s">
        <v>2234</v>
      </c>
      <c r="B1686">
        <v>0</v>
      </c>
      <c r="C1686">
        <v>0</v>
      </c>
      <c r="E1686" s="5" t="s">
        <v>2571</v>
      </c>
      <c r="F1686">
        <v>12</v>
      </c>
      <c r="G1686" s="1" t="s">
        <v>2361</v>
      </c>
      <c r="H1686" s="16" t="s">
        <v>2144</v>
      </c>
      <c r="I1686" s="18"/>
      <c r="J1686" s="5" t="str">
        <f>IF(LEN(VLOOKUP(表1[[#This Row],[id]],数据引用!A:C,3,FALSE))&gt;0,VLOOKUP(表1[[#This Row],[id]],数据引用!A:C,3,FALSE),"")</f>
        <v>但我们很快就发现，鲁特琴的力量也不是万能的。</v>
      </c>
      <c r="K1686" t="s">
        <v>2178</v>
      </c>
      <c r="M168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font-size:12;"&gt;但我们很快就发现，鲁特琴的力量也不是万能的。&lt;/text&gt;&lt;text transform="matrix(1 0 0 1 0 10.3205)" style="fill:#FFFFFF; font-family:'FZXS12--GB1-0'; font-size:12;"&gt;但我们很快就发现，鲁特琴的力量也不是万能的。&lt;/text&gt;&lt;/svg&gt;</v>
      </c>
      <c r="N1686" s="5"/>
      <c r="P1686" s="5"/>
    </row>
    <row r="1687" spans="1:16" ht="14.25" customHeight="1">
      <c r="A1687" t="s">
        <v>2235</v>
      </c>
      <c r="B1687">
        <v>0</v>
      </c>
      <c r="C1687">
        <v>0</v>
      </c>
      <c r="E1687" s="5" t="s">
        <v>2571</v>
      </c>
      <c r="F1687">
        <v>12</v>
      </c>
      <c r="G1687" s="1" t="s">
        <v>2363</v>
      </c>
      <c r="H1687" s="16" t="s">
        <v>2145</v>
      </c>
      <c r="I1687" s="18"/>
      <c r="J1687" s="5" t="str">
        <f>IF(LEN(VLOOKUP(表1[[#This Row],[id]],数据引用!A:C,3,FALSE))&gt;0,VLOOKUP(表1[[#This Row],[id]],数据引用!A:C,3,FALSE),"")</f>
        <v>为了活下来，我必须不停的弹奏它。</v>
      </c>
      <c r="K1687" t="s">
        <v>2178</v>
      </c>
      <c r="M168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font-size:12;"&gt;为了活下来，我必须不停的弹奏它。&lt;/text&gt;&lt;text transform="matrix(1 0 0 1 0 10.3205)" style="fill:#FFFFFF; font-family:'FZXS12--GB1-0'; font-size:12;"&gt;为了活下来，我必须不停的弹奏它。&lt;/text&gt;&lt;/svg&gt;</v>
      </c>
      <c r="N1687" s="5"/>
      <c r="P1687" s="5"/>
    </row>
    <row r="1688" spans="1:16" ht="14.25" customHeight="1">
      <c r="A1688" t="s">
        <v>2236</v>
      </c>
      <c r="B1688">
        <v>0</v>
      </c>
      <c r="C1688">
        <v>0</v>
      </c>
      <c r="E1688" s="5" t="s">
        <v>2571</v>
      </c>
      <c r="F1688">
        <v>12</v>
      </c>
      <c r="G1688" s="1" t="s">
        <v>2365</v>
      </c>
      <c r="H1688" s="16" t="s">
        <v>2146</v>
      </c>
      <c r="I1688" s="18"/>
      <c r="J1688" s="5" t="str">
        <f>IF(LEN(VLOOKUP(表1[[#This Row],[id]],数据引用!A:C,3,FALSE))&gt;0,VLOOKUP(表1[[#This Row],[id]],数据引用!A:C,3,FALSE),"")</f>
        <v>但随着我们的弹奏，它会不断剥夺我们的人性。</v>
      </c>
      <c r="K1688" t="s">
        <v>2178</v>
      </c>
      <c r="M168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font-size:12;"&gt;但随着我们的弹奏，它会不断剥夺我们的人性。&lt;/text&gt;&lt;text transform="matrix(1 0 0 1 0 10.3205)" style="fill:#FFFFFF; font-family:'FZXS12--GB1-0'; font-size:12;"&gt;但随着我们的弹奏，它会不断剥夺我们的人性。&lt;/text&gt;&lt;/svg&gt;</v>
      </c>
      <c r="N1688" s="5"/>
      <c r="P1688" s="5"/>
    </row>
    <row r="1689" spans="1:16" ht="14.25" customHeight="1">
      <c r="A1689" t="s">
        <v>2237</v>
      </c>
      <c r="B1689">
        <v>0</v>
      </c>
      <c r="C1689">
        <v>0</v>
      </c>
      <c r="E1689" s="5" t="s">
        <v>2571</v>
      </c>
      <c r="F1689">
        <v>12</v>
      </c>
      <c r="G1689" s="1" t="s">
        <v>2367</v>
      </c>
      <c r="H1689" s="16" t="s">
        <v>2147</v>
      </c>
      <c r="I1689" s="18"/>
      <c r="J1689" s="5" t="str">
        <f>IF(LEN(VLOOKUP(表1[[#This Row],[id]],数据引用!A:C,3,FALSE))&gt;0,VLOOKUP(表1[[#This Row],[id]],数据引用!A:C,3,FALSE),"")</f>
        <v>但我知道关于这个地下城的一些他们父女俩不知道的事。所以现在我需要前去寻找答案。</v>
      </c>
      <c r="K1689" t="s">
        <v>2178</v>
      </c>
      <c r="M168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font-size:12;"&gt;但我知道关于这个地下城的一些他们父女俩不知道的事。所以现在我需要前去寻找答案。&lt;/text&gt;&lt;text transform="matrix(1 0 0 1 0 10.3205)" style="fill:#FFFFFF; font-family:'FZXS12--GB1-0'; font-size:12;"&gt;但我知道关于这个地下城的一些他们父女俩不知道的事。所以现在我需要前去寻找答案。&lt;/text&gt;&lt;/svg&gt;</v>
      </c>
      <c r="N1689" s="5"/>
      <c r="P1689" s="5"/>
    </row>
    <row r="1690" spans="1:16" ht="14.25" customHeight="1">
      <c r="A1690" t="s">
        <v>2238</v>
      </c>
      <c r="B1690">
        <v>0</v>
      </c>
      <c r="C1690">
        <v>0</v>
      </c>
      <c r="E1690" s="5" t="s">
        <v>2571</v>
      </c>
      <c r="F1690">
        <v>12</v>
      </c>
      <c r="G1690" s="1" t="s">
        <v>2369</v>
      </c>
      <c r="H1690" s="16" t="s">
        <v>2148</v>
      </c>
      <c r="I1690" s="18"/>
      <c r="J1690" s="5" t="str">
        <f>IF(LEN(VLOOKUP(表1[[#This Row],[id]],数据引用!A:C,3,FALSE))&gt;0,VLOOKUP(表1[[#This Row],[id]],数据引用!A:C,3,FALSE),"")</f>
        <v>当我还是个孩子的时候，同样的瘟疫曾席卷了整个村子。</v>
      </c>
      <c r="K1690" t="s">
        <v>2178</v>
      </c>
      <c r="M169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font-size:12;"&gt;当我还是个孩子的时候，同样的瘟疫曾席卷了整个村子。&lt;/text&gt;&lt;text transform="matrix(1 0 0 1 0 10.3205)" style="fill:#FFFFFF; font-family:'FZXS12--GB1-0'; font-size:12;"&gt;当我还是个孩子的时候，同样的瘟疫曾席卷了整个村子。&lt;/text&gt;&lt;/svg&gt;</v>
      </c>
      <c r="N1690" s="5"/>
      <c r="P1690" s="5"/>
    </row>
    <row r="1691" spans="1:16" ht="14.25" customHeight="1">
      <c r="A1691" t="s">
        <v>2239</v>
      </c>
      <c r="B1691">
        <v>0</v>
      </c>
      <c r="C1691">
        <v>0</v>
      </c>
      <c r="E1691" s="5" t="s">
        <v>2571</v>
      </c>
      <c r="F1691">
        <v>12</v>
      </c>
      <c r="G1691" s="1" t="s">
        <v>2371</v>
      </c>
      <c r="H1691" s="16" t="s">
        <v>2149</v>
      </c>
      <c r="I1691" s="18"/>
      <c r="J1691" s="5" t="str">
        <f>IF(LEN(VLOOKUP(表1[[#This Row],[id]],数据引用!A:C,3,FALSE))&gt;0,VLOOKUP(表1[[#This Row],[id]],数据引用!A:C,3,FALSE),"")</f>
        <v>Dorian知道这些事情。</v>
      </c>
      <c r="K1691" t="s">
        <v>2178</v>
      </c>
      <c r="M169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font-size:12;"&gt;Dorian知道这些事情。&lt;/text&gt;&lt;text transform="matrix(1 0 0 1 0 10.3205)" style="fill:#FFFFFF; font-family:'FZXS12--GB1-0'; font-size:12;"&gt;Dorian知道这些事情。&lt;/text&gt;&lt;/svg&gt;</v>
      </c>
      <c r="N1691" s="5"/>
      <c r="P1691" s="5"/>
    </row>
    <row r="1692" spans="1:16" ht="14.25" customHeight="1">
      <c r="A1692" t="s">
        <v>2240</v>
      </c>
      <c r="B1692">
        <v>0</v>
      </c>
      <c r="C1692">
        <v>0</v>
      </c>
      <c r="E1692" s="5" t="s">
        <v>2571</v>
      </c>
      <c r="F1692">
        <v>12</v>
      </c>
      <c r="G1692" s="1" t="s">
        <v>2373</v>
      </c>
      <c r="H1692" s="16" t="s">
        <v>2150</v>
      </c>
      <c r="I1692" s="18"/>
      <c r="J1692" s="5" t="str">
        <f>IF(LEN(VLOOKUP(表1[[#This Row],[id]],数据引用!A:C,3,FALSE))&gt;0,VLOOKUP(表1[[#This Row],[id]],数据引用!A:C,3,FALSE),"")</f>
        <v>只要找到了金鲁特琴，我就能拯救你！</v>
      </c>
      <c r="K1692" t="s">
        <v>2178</v>
      </c>
      <c r="M169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font-size:12;"&gt;只要找到了金鲁特琴，我就能拯救你！&lt;/text&gt;&lt;text transform="matrix(1 0 0 1 0 10.3205)" style="fill:#FFFFFF; font-family:'FZXS12--GB1-0'; font-size:12;"&gt;只要找到了金鲁特琴，我就能拯救你！&lt;/text&gt;&lt;/svg&gt;</v>
      </c>
      <c r="N1692" s="5"/>
      <c r="P1692" s="5"/>
    </row>
    <row r="1693" spans="1:16" ht="14.25" customHeight="1">
      <c r="A1693" t="s">
        <v>2241</v>
      </c>
      <c r="B1693">
        <v>0</v>
      </c>
      <c r="C1693">
        <v>0</v>
      </c>
      <c r="E1693" s="5" t="s">
        <v>2571</v>
      </c>
      <c r="F1693">
        <v>12</v>
      </c>
      <c r="G1693" s="1" t="s">
        <v>2375</v>
      </c>
      <c r="H1693" s="16" t="s">
        <v>2151</v>
      </c>
      <c r="I1693" s="18"/>
      <c r="J1693" s="5" t="str">
        <f>IF(LEN(VLOOKUP(表1[[#This Row],[id]],数据引用!A:C,3,FALSE))&gt;0,VLOOKUP(表1[[#This Row],[id]],数据引用!A:C,3,FALSE),"")</f>
        <v>我能看出他绝望的眼神中隐藏着贪婪，就像以前一样…</v>
      </c>
      <c r="K1693" t="s">
        <v>2178</v>
      </c>
      <c r="M169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font-size:12;"&gt;我能看出他绝望的眼神中隐藏着贪婪，就像以前一样…&lt;/text&gt;&lt;text transform="matrix(1 0 0 1 0 10.3205)" style="fill:#FFFFFF; font-family:'FZXS12--GB1-0'; font-size:12;"&gt;我能看出他绝望的眼神中隐藏着贪婪，就像以前一样…&lt;/text&gt;&lt;/svg&gt;</v>
      </c>
      <c r="N1693" s="5"/>
      <c r="P1693" s="5"/>
    </row>
    <row r="1694" spans="1:16" ht="14.25" customHeight="1">
      <c r="A1694" t="s">
        <v>2242</v>
      </c>
      <c r="B1694">
        <v>0</v>
      </c>
      <c r="C1694">
        <v>0</v>
      </c>
      <c r="E1694" s="5" t="s">
        <v>2571</v>
      </c>
      <c r="F1694">
        <v>12</v>
      </c>
      <c r="G1694" s="1" t="s">
        <v>2377</v>
      </c>
      <c r="H1694" s="16" t="s">
        <v>2152</v>
      </c>
      <c r="I1694" s="18"/>
      <c r="J1694" s="5" t="str">
        <f>IF(LEN(VLOOKUP(表1[[#This Row],[id]],数据引用!A:C,3,FALSE))&gt;0,VLOOKUP(表1[[#This Row],[id]],数据引用!A:C,3,FALSE),"")</f>
        <v>我的母亲带着琴离开了我们并让我们摆脱了这件事，就像她离开我们去找寻找鲁特琴一样。</v>
      </c>
      <c r="K1694" t="s">
        <v>2178</v>
      </c>
      <c r="M169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font-size:12;"&gt;我的母亲带着琴离开了我们并让我们摆脱了这件事，就像她离开我们去找寻找鲁特琴一样。&lt;/text&gt;&lt;text transform="matrix(1 0 0 1 0 10.3205)" style="fill:#FFFFFF; font-family:'FZXS12--GB1-0'; font-size:12;"&gt;我的母亲带着琴离开了我们并让我们摆脱了这件事，就像她离开我们去找寻找鲁特琴一样。&lt;/text&gt;&lt;/svg&gt;</v>
      </c>
      <c r="N1694" s="5"/>
      <c r="P1694" s="5"/>
    </row>
    <row r="1695" spans="1:16" ht="14.25" customHeight="1">
      <c r="A1695" t="s">
        <v>2243</v>
      </c>
      <c r="B1695">
        <v>0</v>
      </c>
      <c r="C1695">
        <v>0</v>
      </c>
      <c r="E1695" s="5" t="s">
        <v>2571</v>
      </c>
      <c r="F1695">
        <v>12</v>
      </c>
      <c r="G1695" s="1" t="s">
        <v>2379</v>
      </c>
      <c r="H1695" s="16" t="s">
        <v>2153</v>
      </c>
      <c r="I1695" s="18"/>
      <c r="J1695" s="5" t="str">
        <f>IF(LEN(VLOOKUP(表1[[#This Row],[id]],数据引用!A:C,3,FALSE))&gt;0,VLOOKUP(表1[[#This Row],[id]],数据引用!A:C,3,FALSE),"")</f>
        <v>而现在我已经继承了她身上的担子，但如果我把这个担子交给我的女儿，我将会背负着深深的罪恶感。</v>
      </c>
      <c r="K1695" t="s">
        <v>2178</v>
      </c>
      <c r="M169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font-size:12;"&gt;而现在我已经继承了她身上的担子，但如果我把这个担子交给我的女儿，我将会背负着深深的罪恶感。&lt;/text&gt;&lt;text transform="matrix(1 0 0 1 0 10.3205)" style="fill:#FFFFFF; font-family:'FZXS12--GB1-0'; font-size:12;"&gt;而现在我已经继承了她身上的担子，但如果我把这个担子交给我的女儿，我将会背负着深深的罪恶感。&lt;/text&gt;&lt;/svg&gt;</v>
      </c>
      <c r="N1695" s="5"/>
      <c r="P1695" s="5"/>
    </row>
    <row r="1696" spans="1:16" ht="14.25" customHeight="1">
      <c r="A1696" t="s">
        <v>2244</v>
      </c>
      <c r="B1696">
        <v>0</v>
      </c>
      <c r="C1696">
        <v>0</v>
      </c>
      <c r="E1696" s="5" t="s">
        <v>2571</v>
      </c>
      <c r="F1696">
        <v>12</v>
      </c>
      <c r="G1696" s="1" t="s">
        <v>2381</v>
      </c>
      <c r="H1696" s="16" t="s">
        <v>2154</v>
      </c>
      <c r="I1696" s="18"/>
      <c r="J1696" s="5" t="str">
        <f>IF(LEN(VLOOKUP(表1[[#This Row],[id]],数据引用!A:C,3,FALSE))&gt;0,VLOOKUP(表1[[#This Row],[id]],数据引用!A:C,3,FALSE),"")</f>
        <v>瘟疫在我小的时候就在村子里蔓延了。母亲能治愈那些因瘟疫将死之人。</v>
      </c>
      <c r="K1696" t="s">
        <v>2178</v>
      </c>
      <c r="M169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font-size:12;"&gt;瘟疫在我小的时候就在村子里蔓延了。母亲能治愈那些因瘟疫将死之人。&lt;/text&gt;&lt;text transform="matrix(1 0 0 1 0 10.3205)" style="fill:#FFFFFF; font-family:'FZXS12--GB1-0'; font-size:12;"&gt;瘟疫在我小的时候就在村子里蔓延了。母亲能治愈那些因瘟疫将死之人。&lt;/text&gt;&lt;/svg&gt;</v>
      </c>
      <c r="N1696" s="5"/>
      <c r="P1696" s="5"/>
    </row>
    <row r="1697" spans="1:16" ht="14.25" customHeight="1">
      <c r="A1697" t="s">
        <v>2245</v>
      </c>
      <c r="B1697">
        <v>0</v>
      </c>
      <c r="C1697">
        <v>0</v>
      </c>
      <c r="E1697" s="5" t="s">
        <v>2571</v>
      </c>
      <c r="F1697">
        <v>12</v>
      </c>
      <c r="G1697" s="1" t="s">
        <v>2383</v>
      </c>
      <c r="H1697" s="16" t="s">
        <v>2155</v>
      </c>
      <c r="I1697" s="18"/>
      <c r="J1697" s="5" t="str">
        <f>IF(LEN(VLOOKUP(表1[[#This Row],[id]],数据引用!A:C,3,FALSE))&gt;0,VLOOKUP(表1[[#This Row],[id]],数据引用!A:C,3,FALSE),"")</f>
        <v>但他们转过头来对付她。他们想夺取琴的力量。</v>
      </c>
      <c r="K1697" t="s">
        <v>2178</v>
      </c>
      <c r="M169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font-size:12;"&gt;但他们转过头来对付她。他们想夺取琴的力量。&lt;/text&gt;&lt;text transform="matrix(1 0 0 1 0 10.3205)" style="fill:#FFFFFF; font-family:'FZXS12--GB1-0'; font-size:12;"&gt;但他们转过头来对付她。他们想夺取琴的力量。&lt;/text&gt;&lt;/svg&gt;</v>
      </c>
      <c r="N1697" s="5"/>
      <c r="P1697" s="5"/>
    </row>
    <row r="1698" spans="1:16" ht="14.25" customHeight="1">
      <c r="A1698" t="s">
        <v>2246</v>
      </c>
      <c r="B1698">
        <v>0</v>
      </c>
      <c r="C1698">
        <v>0</v>
      </c>
      <c r="E1698" s="5" t="s">
        <v>2571</v>
      </c>
      <c r="F1698">
        <v>12</v>
      </c>
      <c r="G1698" s="1" t="s">
        <v>2385</v>
      </c>
      <c r="H1698" s="16" t="s">
        <v>2156</v>
      </c>
      <c r="I1698" s="18"/>
      <c r="J1698" s="5" t="str">
        <f>IF(LEN(VLOOKUP(表1[[#This Row],[id]],数据引用!A:C,3,FALSE))&gt;0,VLOOKUP(表1[[#This Row],[id]],数据引用!A:C,3,FALSE),"")</f>
        <v>这不是琴被诅咒了，而是我们。</v>
      </c>
      <c r="K1698" t="s">
        <v>2178</v>
      </c>
      <c r="M169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font-size:12;"&gt;这不是琴被诅咒了，而是我们。&lt;/text&gt;&lt;text transform="matrix(1 0 0 1 0 10.3205)" style="fill:#FFFFFF; font-family:'FZXS12--GB1-0'; font-size:12;"&gt;这不是琴被诅咒了，而是我们。&lt;/text&gt;&lt;/svg&gt;</v>
      </c>
      <c r="N1698" s="5"/>
      <c r="P1698" s="5"/>
    </row>
    <row r="1699" spans="1:16" ht="14.25" customHeight="1">
      <c r="A1699" t="s">
        <v>2247</v>
      </c>
      <c r="B1699">
        <v>0</v>
      </c>
      <c r="C1699">
        <v>0</v>
      </c>
      <c r="E1699" s="5" t="s">
        <v>2571</v>
      </c>
      <c r="F1699">
        <v>12</v>
      </c>
      <c r="G1699" s="1" t="s">
        <v>2387</v>
      </c>
      <c r="H1699" s="16" t="s">
        <v>2157</v>
      </c>
      <c r="I1699" s="18"/>
      <c r="J1699" s="5" t="str">
        <f>IF(LEN(VLOOKUP(表1[[#This Row],[id]],数据引用!A:C,3,FALSE))&gt;0,VLOOKUP(表1[[#This Row],[id]],数据引用!A:C,3,FALSE),"")</f>
        <v>你就是Octavian对吗？在很久以前寻求着不朽的吟游诗人。</v>
      </c>
      <c r="K1699" t="s">
        <v>2178</v>
      </c>
      <c r="M169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font-size:12;"&gt;你就是Octavian对吗？在很久以前寻求着不朽的吟游诗人。&lt;/text&gt;&lt;text transform="matrix(1 0 0 1 0 10.3205)" style="fill:#FFFFFF; font-family:'FZXS12--GB1-0'; font-size:12;"&gt;你就是Octavian对吗？在很久以前寻求着不朽的吟游诗人。&lt;/text&gt;&lt;/svg&gt;</v>
      </c>
      <c r="N1699" s="5"/>
      <c r="P1699" s="5"/>
    </row>
    <row r="1700" spans="1:16" ht="14.25" customHeight="1">
      <c r="A1700" t="s">
        <v>2248</v>
      </c>
      <c r="B1700">
        <v>0</v>
      </c>
      <c r="C1700">
        <v>0</v>
      </c>
      <c r="E1700" s="5" t="s">
        <v>2571</v>
      </c>
      <c r="F1700">
        <v>12</v>
      </c>
      <c r="G1700" s="1" t="s">
        <v>2389</v>
      </c>
      <c r="H1700" s="16" t="s">
        <v>2158</v>
      </c>
      <c r="I1700" s="18"/>
      <c r="J1700" s="5" t="str">
        <f>IF(LEN(VLOOKUP(表1[[#This Row],[id]],数据引用!A:C,3,FALSE))&gt;0,VLOOKUP(表1[[#This Row],[id]],数据引用!A:C,3,FALSE),"")</f>
        <v>是我，但你是谁…如果小偷不是你的名字</v>
      </c>
      <c r="K1700" t="s">
        <v>2178</v>
      </c>
      <c r="M170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font-size:12;"&gt;是我，但你是谁…如果小偷不是你的名字&lt;/text&gt;&lt;text transform="matrix(1 0 0 1 0 10.3205)" style="fill:#FFFFFF; font-family:'FZXS12--GB1-0'; font-size:12;"&gt;是我，但你是谁…如果小偷不是你的名字&lt;/text&gt;&lt;/svg&gt;</v>
      </c>
      <c r="N1700" s="5"/>
      <c r="P1700" s="5"/>
    </row>
    <row r="1701" spans="1:16" ht="14.25" customHeight="1">
      <c r="A1701" t="s">
        <v>2249</v>
      </c>
      <c r="B1701">
        <v>0</v>
      </c>
      <c r="C1701">
        <v>0</v>
      </c>
      <c r="E1701" s="5" t="s">
        <v>2571</v>
      </c>
      <c r="F1701">
        <v>12</v>
      </c>
      <c r="G1701" s="1" t="s">
        <v>2391</v>
      </c>
      <c r="H1701" s="16" t="s">
        <v>2159</v>
      </c>
      <c r="I1701" s="18"/>
      <c r="J1701" s="5" t="str">
        <f>IF(LEN(VLOOKUP(表1[[#This Row],[id]],数据引用!A:C,3,FALSE))&gt;0,VLOOKUP(表1[[#This Row],[id]],数据引用!A:C,3,FALSE),"")</f>
        <v>我叫Melody，和曾经的你一样，一个吟游诗人。我在试图毁掉这把该死的琴。</v>
      </c>
      <c r="K1701" t="s">
        <v>2178</v>
      </c>
      <c r="M170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font-size:12;"&gt;我叫Melody，和曾经的你一样，一个吟游诗人。我在试图毁掉这把该死的琴。&lt;/text&gt;&lt;text transform="matrix(1 0 0 1 0 10.3205)" style="fill:#FFFFFF; font-family:'FZXS12--GB1-0'; font-size:12;"&gt;我叫Melody，和曾经的你一样，一个吟游诗人。我在试图毁掉这把该死的琴。&lt;/text&gt;&lt;/svg&gt;</v>
      </c>
      <c r="N1701" s="5"/>
      <c r="P1701" s="5"/>
    </row>
    <row r="1702" spans="1:16" ht="14.25" customHeight="1">
      <c r="A1702" t="s">
        <v>2250</v>
      </c>
      <c r="B1702">
        <v>0</v>
      </c>
      <c r="C1702">
        <v>0</v>
      </c>
      <c r="E1702" s="5" t="s">
        <v>2571</v>
      </c>
      <c r="F1702">
        <v>12</v>
      </c>
      <c r="G1702" s="1" t="s">
        <v>2393</v>
      </c>
      <c r="H1702" s="16" t="s">
        <v>2160</v>
      </c>
      <c r="I1702" s="18"/>
      <c r="J1702" s="5" t="str">
        <f>IF(LEN(VLOOKUP(表1[[#This Row],[id]],数据引用!A:C,3,FALSE))&gt;0,VLOOKUP(表1[[#This Row],[id]],数据引用!A:C,3,FALSE),"")</f>
        <v>你想毁掉它？！琴是我的！</v>
      </c>
      <c r="K1702" t="s">
        <v>2178</v>
      </c>
      <c r="M170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font-size:12;"&gt;你想毁掉它？！琴是我的！&lt;/text&gt;&lt;text transform="matrix(1 0 0 1 0 10.3205)" style="fill:#FFFFFF; font-family:'FZXS12--GB1-0'; font-size:12;"&gt;你想毁掉它？！琴是我的！&lt;/text&gt;&lt;/svg&gt;</v>
      </c>
      <c r="N1702" s="5"/>
      <c r="P1702" s="5"/>
    </row>
    <row r="1703" spans="1:16" ht="14.25" customHeight="1">
      <c r="A1703" t="s">
        <v>2251</v>
      </c>
      <c r="B1703">
        <v>0</v>
      </c>
      <c r="C1703">
        <v>0</v>
      </c>
      <c r="E1703" s="5" t="s">
        <v>2571</v>
      </c>
      <c r="F1703">
        <v>12</v>
      </c>
      <c r="G1703" s="1" t="s">
        <v>2395</v>
      </c>
      <c r="H1703" s="16" t="s">
        <v>2161</v>
      </c>
      <c r="I1703" s="18"/>
      <c r="J1703" s="5" t="str">
        <f>IF(LEN(VLOOKUP(表1[[#This Row],[id]],数据引用!A:C,3,FALSE))&gt;0,VLOOKUP(表1[[#This Row],[id]],数据引用!A:C,3,FALSE),"")</f>
        <v>但是现在琴在我手上，Octavian，如果我停下演奏，我俩都会死掉。</v>
      </c>
      <c r="K1703" t="s">
        <v>2178</v>
      </c>
      <c r="M170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font-size:12;"&gt;但是现在琴在我手上，Octavian，如果我停下演奏，我俩都会死掉。&lt;/text&gt;&lt;text transform="matrix(1 0 0 1 0 10.3205)" style="fill:#FFFFFF; font-family:'FZXS12--GB1-0'; font-size:12;"&gt;但是现在琴在我手上，Octavian，如果我停下演奏，我俩都会死掉。&lt;/text&gt;&lt;/svg&gt;</v>
      </c>
      <c r="N1703" s="5"/>
      <c r="P1703" s="5"/>
    </row>
    <row r="1704" spans="1:16" ht="14.25" customHeight="1">
      <c r="A1704" t="s">
        <v>2252</v>
      </c>
      <c r="B1704">
        <v>0</v>
      </c>
      <c r="C1704">
        <v>0</v>
      </c>
      <c r="E1704" s="5" t="s">
        <v>2571</v>
      </c>
      <c r="F1704">
        <v>12</v>
      </c>
      <c r="G1704" s="1" t="s">
        <v>2397</v>
      </c>
      <c r="H1704" s="16" t="s">
        <v>2162</v>
      </c>
      <c r="I1704" s="18"/>
      <c r="J1704" s="5" t="str">
        <f>IF(LEN(VLOOKUP(表1[[#This Row],[id]],数据引用!A:C,3,FALSE))&gt;0,VLOOKUP(表1[[#This Row],[id]],数据引用!A:C,3,FALSE),"")</f>
        <v>告诉我你知道的一切！</v>
      </c>
      <c r="K1704" t="s">
        <v>2178</v>
      </c>
      <c r="M170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font-size:12;"&gt;告诉我你知道的一切！&lt;/text&gt;&lt;text transform="matrix(1 0 0 1 0 10.3205)" style="fill:#FFFFFF; font-family:'FZXS12--GB1-0'; font-size:12;"&gt;告诉我你知道的一切！&lt;/text&gt;&lt;/svg&gt;</v>
      </c>
      <c r="N1704" s="5"/>
      <c r="P1704" s="5"/>
    </row>
    <row r="1705" spans="1:16" ht="14.25" customHeight="1">
      <c r="A1705" t="s">
        <v>2253</v>
      </c>
      <c r="B1705">
        <v>0</v>
      </c>
      <c r="C1705">
        <v>0</v>
      </c>
      <c r="E1705" s="5" t="s">
        <v>2571</v>
      </c>
      <c r="F1705">
        <v>12</v>
      </c>
      <c r="G1705" s="1" t="s">
        <v>2399</v>
      </c>
      <c r="H1705" s="16" t="s">
        <v>2163</v>
      </c>
      <c r="I1705" s="18"/>
      <c r="J1705" s="5" t="str">
        <f>IF(LEN(VLOOKUP(表1[[#This Row],[id]],数据引用!A:C,3,FALSE))&gt;0,VLOOKUP(表1[[#This Row],[id]],数据引用!A:C,3,FALSE),"")</f>
        <v>绝…不！</v>
      </c>
      <c r="K1705" t="s">
        <v>2178</v>
      </c>
      <c r="M170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font-size:12;"&gt;绝…不！&lt;/text&gt;&lt;text transform="matrix(1 0 0 1 0 10.3205)" style="fill:#FFFFFF; font-family:'FZXS12--GB1-0'; font-size:12;"&gt;绝…不！&lt;/text&gt;&lt;/svg&gt;</v>
      </c>
      <c r="N1705" s="5"/>
      <c r="P1705" s="5"/>
    </row>
    <row r="1706" spans="1:16" ht="14.25" customHeight="1">
      <c r="A1706" t="s">
        <v>2254</v>
      </c>
      <c r="B1706">
        <v>0</v>
      </c>
      <c r="C1706">
        <v>0</v>
      </c>
      <c r="E1706" s="5" t="s">
        <v>2571</v>
      </c>
      <c r="F1706">
        <v>12</v>
      </c>
      <c r="G1706" s="1" t="s">
        <v>2401</v>
      </c>
      <c r="H1706" s="16" t="s">
        <v>2164</v>
      </c>
      <c r="I1706" s="18"/>
      <c r="J1706" s="5" t="str">
        <f>IF(LEN(VLOOKUP(表1[[#This Row],[id]],数据引用!A:C,3,FALSE))&gt;0,VLOOKUP(表1[[#This Row],[id]],数据引用!A:C,3,FALSE),"")</f>
        <v>不！离我远点！！</v>
      </c>
      <c r="K1706" t="s">
        <v>2178</v>
      </c>
      <c r="M170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font-size:12;"&gt;不！离我远点！！&lt;/text&gt;&lt;text transform="matrix(1 0 0 1 0 10.3205)" style="fill:#FFFFFF; font-family:'FZXS12--GB1-0'; font-size:12;"&gt;不！离我远点！！&lt;/text&gt;&lt;/svg&gt;</v>
      </c>
      <c r="N1706" s="5"/>
      <c r="P1706" s="5"/>
    </row>
    <row r="1707" spans="1:16" ht="14.25" customHeight="1">
      <c r="A1707" t="s">
        <v>2255</v>
      </c>
      <c r="B1707">
        <v>0</v>
      </c>
      <c r="C1707">
        <v>0</v>
      </c>
      <c r="E1707" s="5" t="s">
        <v>2571</v>
      </c>
      <c r="F1707">
        <v>12</v>
      </c>
      <c r="G1707" s="1" t="s">
        <v>2403</v>
      </c>
      <c r="H1707" s="16" t="s">
        <v>2165</v>
      </c>
      <c r="I1707" s="18"/>
      <c r="J1707" s="5" t="str">
        <f>IF(LEN(VLOOKUP(表1[[#This Row],[id]],数据引用!A:C,3,FALSE))&gt;0,VLOOKUP(表1[[#This Row],[id]],数据引用!A:C,3,FALSE),"")</f>
        <v>怎么回事？！</v>
      </c>
      <c r="K1707" t="s">
        <v>2178</v>
      </c>
      <c r="M170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font-size:12;"&gt;怎么回事？！&lt;/text&gt;&lt;text transform="matrix(1 0 0 1 0 10.3205)" style="fill:#FFFFFF; font-family:'FZXS12--GB1-0'; font-size:12;"&gt;怎么回事？！&lt;/text&gt;&lt;/svg&gt;</v>
      </c>
      <c r="N1707" s="5"/>
      <c r="P1707" s="5"/>
    </row>
    <row r="1708" spans="1:16" ht="14.25" customHeight="1">
      <c r="A1708" t="s">
        <v>2256</v>
      </c>
      <c r="B1708">
        <v>0</v>
      </c>
      <c r="C1708">
        <v>0</v>
      </c>
      <c r="E1708" s="5" t="s">
        <v>2571</v>
      </c>
      <c r="F1708">
        <v>12</v>
      </c>
      <c r="G1708" s="1" t="s">
        <v>2405</v>
      </c>
      <c r="H1708" s="16" t="s">
        <v>2166</v>
      </c>
      <c r="I1708" s="18"/>
      <c r="J1708" s="5" t="str">
        <f>IF(LEN(VLOOKUP(表1[[#This Row],[id]],数据引用!A:C,3,FALSE))&gt;0,VLOOKUP(表1[[#This Row],[id]],数据引用!A:C,3,FALSE),"")</f>
        <v>母亲…是你吗？！</v>
      </c>
      <c r="K1708" t="s">
        <v>2178</v>
      </c>
      <c r="M170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font-size:12;"&gt;母亲…是你吗？！&lt;/text&gt;&lt;text transform="matrix(1 0 0 1 0 10.3205)" style="fill:#FFFFFF; font-family:'FZXS12--GB1-0'; font-size:12;"&gt;母亲…是你吗？！&lt;/text&gt;&lt;/svg&gt;</v>
      </c>
      <c r="N1708" s="5"/>
      <c r="P1708" s="5"/>
    </row>
    <row r="1709" spans="1:16" ht="14.25" customHeight="1">
      <c r="A1709" t="s">
        <v>2257</v>
      </c>
      <c r="B1709">
        <v>0</v>
      </c>
      <c r="C1709">
        <v>0</v>
      </c>
      <c r="E1709" s="5" t="s">
        <v>2571</v>
      </c>
      <c r="F1709">
        <v>12</v>
      </c>
      <c r="G1709" s="1" t="s">
        <v>2407</v>
      </c>
      <c r="H1709" s="16" t="s">
        <v>2167</v>
      </c>
      <c r="I1709" s="18"/>
      <c r="J1709" s="5" t="str">
        <f>IF(LEN(VLOOKUP(表1[[#This Row],[id]],数据引用!A:C,3,FALSE))&gt;0,VLOOKUP(表1[[#This Row],[id]],数据引用!A:C,3,FALSE),"")</f>
        <v>诅咒你！</v>
      </c>
      <c r="K1709" t="s">
        <v>2178</v>
      </c>
      <c r="M170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font-size:12;"&gt;诅咒你！&lt;/text&gt;&lt;text transform="matrix(1 0 0 1 0 10.3205)" style="fill:#FFFFFF; font-family:'FZXS12--GB1-0'; font-size:12;"&gt;诅咒你！&lt;/text&gt;&lt;/svg&gt;</v>
      </c>
      <c r="N1709" s="5"/>
      <c r="P1709" s="5"/>
    </row>
    <row r="1710" spans="1:16" ht="14.25" customHeight="1">
      <c r="A1710" t="s">
        <v>2258</v>
      </c>
      <c r="B1710">
        <v>0</v>
      </c>
      <c r="C1710">
        <v>0</v>
      </c>
      <c r="E1710" s="5" t="s">
        <v>2571</v>
      </c>
      <c r="F1710">
        <v>12</v>
      </c>
      <c r="G1710" s="1" t="s">
        <v>2409</v>
      </c>
      <c r="H1710" s="16" t="s">
        <v>2168</v>
      </c>
      <c r="I1710" s="18"/>
      <c r="J1710" s="5" t="str">
        <f>IF(LEN(VLOOKUP(表1[[#This Row],[id]],数据引用!A:C,3,FALSE))&gt;0,VLOOKUP(表1[[#This Row],[id]],数据引用!A:C,3,FALSE),"")</f>
        <v>把琴给我！</v>
      </c>
      <c r="K1710" t="s">
        <v>2178</v>
      </c>
      <c r="M171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font-size:12;"&gt;把琴给我！&lt;/text&gt;&lt;text transform="matrix(1 0 0 1 0 10.3205)" style="fill:#FFFFFF; font-family:'FZXS12--GB1-0'; font-size:12;"&gt;把琴给我！&lt;/text&gt;&lt;/svg&gt;</v>
      </c>
      <c r="N1710" s="5"/>
      <c r="P1710" s="5"/>
    </row>
    <row r="1711" spans="1:16" ht="14.25" customHeight="1">
      <c r="A1711" t="s">
        <v>2259</v>
      </c>
      <c r="B1711">
        <v>0</v>
      </c>
      <c r="C1711">
        <v>0</v>
      </c>
      <c r="E1711" s="5" t="s">
        <v>2571</v>
      </c>
      <c r="F1711">
        <v>12</v>
      </c>
      <c r="G1711" s="1" t="s">
        <v>2411</v>
      </c>
      <c r="H1711" s="16" t="s">
        <v>2169</v>
      </c>
      <c r="I1711" s="18"/>
      <c r="J1711" s="5" t="str">
        <f>IF(LEN(VLOOKUP(表1[[#This Row],[id]],数据引用!A:C,3,FALSE))&gt;0,VLOOKUP(表1[[#This Row],[id]],数据引用!A:C,3,FALSE),"")</f>
        <v>它是我的！</v>
      </c>
      <c r="K1711" t="s">
        <v>2178</v>
      </c>
      <c r="M171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font-size:12;"&gt;它是我的！&lt;/text&gt;&lt;text transform="matrix(1 0 0 1 0 10.3205)" style="fill:#FFFFFF; font-family:'FZXS12--GB1-0'; font-size:12;"&gt;它是我的！&lt;/text&gt;&lt;/svg&gt;</v>
      </c>
      <c r="N1711" s="5"/>
      <c r="P1711" s="5"/>
    </row>
    <row r="1712" spans="1:16" ht="14.25" customHeight="1">
      <c r="A1712" t="s">
        <v>2260</v>
      </c>
      <c r="B1712">
        <v>0</v>
      </c>
      <c r="C1712">
        <v>0</v>
      </c>
      <c r="E1712" s="5" t="s">
        <v>2571</v>
      </c>
      <c r="F1712">
        <v>12</v>
      </c>
      <c r="G1712" s="1" t="s">
        <v>2413</v>
      </c>
      <c r="H1712" s="16" t="s">
        <v>2170</v>
      </c>
      <c r="I1712" s="18"/>
      <c r="J1712" s="5" t="str">
        <f>IF(LEN(VLOOKUP(表1[[#This Row],[id]],数据引用!A:C,3,FALSE))&gt;0,VLOOKUP(表1[[#This Row],[id]],数据引用!A:C,3,FALSE),"")</f>
        <v>再来！再来，我的宠物…我我觉得这非常有趣。</v>
      </c>
      <c r="K1712" t="s">
        <v>2178</v>
      </c>
      <c r="M171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font-size:12;"&gt;再来！再来，我的宠物…我我觉得这非常有趣。&lt;/text&gt;&lt;text transform="matrix(1 0 0 1 0 10.3205)" style="fill:#FFFFFF; font-family:'FZXS12--GB1-0'; font-size:12;"&gt;再来！再来，我的宠物…我我觉得这非常有趣。&lt;/text&gt;&lt;/svg&gt;</v>
      </c>
      <c r="N1712" s="5"/>
      <c r="P1712" s="5"/>
    </row>
    <row r="1713" spans="1:16" ht="14.25" customHeight="1">
      <c r="A1713" t="s">
        <v>2261</v>
      </c>
      <c r="B1713">
        <v>0</v>
      </c>
      <c r="C1713">
        <v>0</v>
      </c>
      <c r="E1713" s="5" t="s">
        <v>2571</v>
      </c>
      <c r="F1713">
        <v>12</v>
      </c>
      <c r="G1713" s="1" t="s">
        <v>2415</v>
      </c>
      <c r="H1713" s="16" t="s">
        <v>2171</v>
      </c>
      <c r="I1713" s="18"/>
      <c r="J1713" s="5" t="str">
        <f>IF(LEN(VLOOKUP(表1[[#This Row],[id]],数据引用!A:C,3,FALSE))&gt;0,VLOOKUP(表1[[#This Row],[id]],数据引用!A:C,3,FALSE),"")</f>
        <v>再来！我觉得这非常有趣。</v>
      </c>
      <c r="K1713" t="s">
        <v>2178</v>
      </c>
      <c r="M171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font-size:12;"&gt;再来！我觉得这非常有趣。&lt;/text&gt;&lt;text transform="matrix(1 0 0 1 0 10.3205)" style="fill:#FFFFFF; font-family:'FZXS12--GB1-0'; font-size:12;"&gt;再来！我觉得这非常有趣。&lt;/text&gt;&lt;/svg&gt;</v>
      </c>
      <c r="N1713" s="5"/>
      <c r="P1713" s="5"/>
    </row>
    <row r="1714" spans="1:16" ht="14.25" customHeight="1">
      <c r="A1714" t="s">
        <v>2262</v>
      </c>
      <c r="B1714">
        <v>0</v>
      </c>
      <c r="C1714">
        <v>0</v>
      </c>
      <c r="E1714" s="5" t="s">
        <v>2571</v>
      </c>
      <c r="F1714">
        <v>12</v>
      </c>
      <c r="G1714" s="1" t="s">
        <v>2417</v>
      </c>
      <c r="H1714" s="16" t="s">
        <v>2172</v>
      </c>
      <c r="I1714" s="18"/>
      <c r="J1714" s="5" t="str">
        <f>IF(LEN(VLOOKUP(表1[[#This Row],[id]],数据引用!A:C,3,FALSE))&gt;0,VLOOKUP(表1[[#This Row],[id]],数据引用!A:C,3,FALSE),"")</f>
        <v>如果我想在这里生存下来，我必须记住Eli叔叔教我的东西</v>
      </c>
      <c r="K1714" t="s">
        <v>2178</v>
      </c>
      <c r="M171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font-size:12;"&gt;如果我想在这里生存下来，我必须记住Eli叔叔教我的东西&lt;/text&gt;&lt;text transform="matrix(1 0 0 1 0 10.3205)" style="fill:#FFFFFF; font-family:'FZXS12--GB1-0'; font-size:12;"&gt;如果我想在这里生存下来，我必须记住Eli叔叔教我的东西&lt;/text&gt;&lt;/svg&gt;</v>
      </c>
      <c r="N1714" s="5"/>
      <c r="P1714" s="5"/>
    </row>
    <row r="1715" spans="1:16" ht="14.25" customHeight="1">
      <c r="A1715" t="s">
        <v>2263</v>
      </c>
      <c r="B1715">
        <v>0</v>
      </c>
      <c r="C1715">
        <v>0</v>
      </c>
      <c r="E1715" s="5" t="s">
        <v>2571</v>
      </c>
      <c r="F1715">
        <v>12</v>
      </c>
      <c r="G1715" s="1" t="s">
        <v>2419</v>
      </c>
      <c r="H1715" s="16" t="s">
        <v>2173</v>
      </c>
      <c r="I1715" s="18"/>
      <c r="J1715" s="5" t="str">
        <f>IF(LEN(VLOOKUP(表1[[#This Row],[id]],数据引用!A:C,3,FALSE))&gt;0,VLOOKUP(表1[[#This Row],[id]],数据引用!A:C,3,FALSE),"")</f>
        <v>他说每一个敌人的行为都有可预测的模式，熟知这种模式可以避免遭受攻击</v>
      </c>
      <c r="K1715" t="s">
        <v>2178</v>
      </c>
      <c r="M171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font-size:12;"&gt;他说每一个敌人的行为都有可预测的模式，熟知这种模式可以避免遭受攻击&lt;/text&gt;&lt;text transform="matrix(1 0 0 1 0 10.3205)" style="fill:#FFFFFF; font-family:'FZXS12--GB1-0'; font-size:12;"&gt;他说每一个敌人的行为都有可预测的模式，熟知这种模式可以避免遭受攻击&lt;/text&gt;&lt;/svg&gt;</v>
      </c>
      <c r="N1715" s="5"/>
      <c r="P1715" s="5"/>
    </row>
    <row r="1716" spans="1:16" ht="14.25" customHeight="1">
      <c r="A1716" t="s">
        <v>2264</v>
      </c>
      <c r="B1716">
        <v>0</v>
      </c>
      <c r="C1716">
        <v>0</v>
      </c>
      <c r="E1716" s="5" t="s">
        <v>2571</v>
      </c>
      <c r="F1716">
        <v>12</v>
      </c>
      <c r="G1716" s="1" t="s">
        <v>2421</v>
      </c>
      <c r="H1716" s="16" t="s">
        <v>2174</v>
      </c>
      <c r="I1716" s="18"/>
      <c r="J1716" s="5" t="str">
        <f>IF(LEN(VLOOKUP(表1[[#This Row],[id]],数据引用!A:C,3,FALSE))&gt;0,VLOOKUP(表1[[#This Row],[id]],数据引用!A:C,3,FALSE),"")</f>
        <v>那个绿色的家伙根本不会动，蓝色的家伙只会上下跳动。如果我从侧面攻击，他们根本伤不到我。</v>
      </c>
      <c r="K1716" t="s">
        <v>2178</v>
      </c>
      <c r="M171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font-size:12;"&gt;那个绿色的家伙根本不会动，蓝色的家伙只会上下跳动。如果我从侧面攻击，他们根本伤不到我。&lt;/text&gt;&lt;text transform="matrix(1 0 0 1 0 10.3205)" style="fill:#FFFFFF; font-family:'FZXS12--GB1-0'; font-size:12;"&gt;那个绿色的家伙根本不会动，蓝色的家伙只会上下跳动。如果我从侧面攻击，他们根本伤不到我。&lt;/text&gt;&lt;/svg&gt;</v>
      </c>
      <c r="N1716" s="5"/>
      <c r="P1716" s="5"/>
    </row>
    <row r="1717" spans="1:16" ht="14.25" customHeight="1">
      <c r="A1717" t="s">
        <v>2265</v>
      </c>
      <c r="B1717">
        <v>0</v>
      </c>
      <c r="C1717">
        <v>0</v>
      </c>
      <c r="E1717" s="5" t="s">
        <v>2571</v>
      </c>
      <c r="F1717">
        <v>12</v>
      </c>
      <c r="G1717" s="1" t="s">
        <v>2423</v>
      </c>
      <c r="H1717" s="16" t="s">
        <v>2175</v>
      </c>
      <c r="I1717" s="18"/>
      <c r="J1717" s="5" t="str">
        <f>IF(LEN(VLOOKUP(表1[[#This Row],[id]],数据引用!A:C,3,FALSE))&gt;0,VLOOKUP(表1[[#This Row],[id]],数据引用!A:C,3,FALSE),"")</f>
        <v>一把阔剑！虽然不如我以前用的锋利，但我打赌它仍然能一次带走3个敌人。</v>
      </c>
      <c r="K1717" t="s">
        <v>2178</v>
      </c>
      <c r="M171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font-size:12;"&gt;一把阔剑！虽然不如我以前用的锋利，但我打赌它仍然能一次带走3个敌人。&lt;/text&gt;&lt;text transform="matrix(1 0 0 1 0 10.3205)" style="fill:#FFFFFF; font-family:'FZXS12--GB1-0'; font-size:12;"&gt;一把阔剑！虽然不如我以前用的锋利，但我打赌它仍然能一次带走3个敌人。&lt;/text&gt;&lt;/svg&gt;</v>
      </c>
      <c r="N1717" s="5"/>
      <c r="P1717" s="5"/>
    </row>
    <row r="1718" spans="1:16" ht="14.25" customHeight="1">
      <c r="A1718" t="s">
        <v>2266</v>
      </c>
      <c r="B1718">
        <v>0</v>
      </c>
      <c r="C1718">
        <v>0</v>
      </c>
      <c r="E1718" s="5" t="s">
        <v>2571</v>
      </c>
      <c r="F1718">
        <v>12</v>
      </c>
      <c r="G1718" s="1" t="s">
        <v>2425</v>
      </c>
      <c r="H1718" s="16" t="s">
        <v>2176</v>
      </c>
      <c r="I1718" s="18"/>
      <c r="J1718" s="5" t="str">
        <f>IF(LEN(VLOOKUP(表1[[#This Row],[id]],数据引用!A:C,3,FALSE))&gt;0,VLOOKUP(表1[[#This Row],[id]],数据引用!A:C,3,FALSE),"")</f>
        <v>看起来那些骷髅在移动前会把手举起来，如果被他们撞上我会受到伤害。</v>
      </c>
      <c r="K1718" t="s">
        <v>2178</v>
      </c>
      <c r="M171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font-size:12;"&gt;看起来那些骷髅在移动前会把手举起来，如果被他们撞上我会受到伤害。&lt;/text&gt;&lt;text transform="matrix(1 0 0 1 0 10.3205)" style="fill:#FFFFFF; font-family:'FZXS12--GB1-0'; font-size:12;"&gt;看起来那些骷髅在移动前会把手举起来，如果被他们撞上我会受到伤害。&lt;/text&gt;&lt;/svg&gt;</v>
      </c>
      <c r="N1718" s="5"/>
      <c r="P1718" s="5"/>
    </row>
    <row r="1719" spans="1:16" ht="14.25" customHeight="1">
      <c r="A1719" t="s">
        <v>2267</v>
      </c>
      <c r="B1719">
        <v>0</v>
      </c>
      <c r="C1719">
        <v>0</v>
      </c>
      <c r="E1719" s="5" t="s">
        <v>2571</v>
      </c>
      <c r="F1719">
        <v>12</v>
      </c>
      <c r="G1719" s="1" t="s">
        <v>2427</v>
      </c>
      <c r="H1719" s="16" t="s">
        <v>2177</v>
      </c>
      <c r="I1719" s="18"/>
      <c r="J1719" s="5" t="str">
        <f>IF(LEN(VLOOKUP(表1[[#This Row],[id]],数据引用!A:C,3,FALSE))&gt;0,VLOOKUP(表1[[#This Row],[id]],数据引用!A:C,3,FALSE),"")</f>
        <v>这个陷阱基本上是无害的，但是Eli叔叔警告我终将会有更致命的陷阱。</v>
      </c>
      <c r="K1719" t="s">
        <v>2178</v>
      </c>
      <c r="M171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font-size:12;"&gt;这个陷阱基本上是无害的，但是Eli叔叔警告我终将会有更致命的陷阱。&lt;/text&gt;&lt;text transform="matrix(1 0 0 1 0 10.3205)" style="fill:#FFFFFF; font-family:'FZXS12--GB1-0'; font-size:12;"&gt;这个陷阱基本上是无害的，但是Eli叔叔警告我终将会有更致命的陷阱。&lt;/text&gt;&lt;/svg&gt;</v>
      </c>
      <c r="N1719" s="5"/>
      <c r="P1719" s="5"/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J2:J1719">
    <cfRule type="containsBlanks" dxfId="12" priority="3">
      <formula>LEN(TRIM(J2))=0</formula>
    </cfRule>
  </conditionalFormatting>
  <conditionalFormatting sqref="J1:J1048576">
    <cfRule type="containsBlanks" dxfId="11" priority="2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>
                  <from>
                    <xdr:col>6</xdr:col>
                    <xdr:colOff>1371600</xdr:colOff>
                    <xdr:row>0</xdr:row>
                    <xdr:rowOff>0</xdr:rowOff>
                  </from>
                  <to>
                    <xdr:col>6</xdr:col>
                    <xdr:colOff>2495550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按钮5_Click">
                <anchor>
                  <from>
                    <xdr:col>6</xdr:col>
                    <xdr:colOff>2552700</xdr:colOff>
                    <xdr:row>0</xdr:row>
                    <xdr:rowOff>0</xdr:rowOff>
                  </from>
                  <to>
                    <xdr:col>6</xdr:col>
                    <xdr:colOff>3448050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71"/>
  <sheetViews>
    <sheetView workbookViewId="0">
      <selection activeCell="J2" sqref="J2:L306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9" customWidth="1"/>
    <col min="11" max="12" width="9" style="9"/>
    <col min="13" max="13" width="11" style="9" bestFit="1" customWidth="1"/>
    <col min="14" max="14" width="9" style="9"/>
  </cols>
  <sheetData>
    <row r="1" spans="1:16">
      <c r="A1" t="s">
        <v>7</v>
      </c>
      <c r="B1" s="2" t="s">
        <v>1401</v>
      </c>
      <c r="E1" t="s">
        <v>1281</v>
      </c>
      <c r="G1" t="s">
        <v>1388</v>
      </c>
      <c r="J1" s="9" t="s">
        <v>1389</v>
      </c>
      <c r="K1" s="9" t="s">
        <v>1390</v>
      </c>
      <c r="L1" s="9" t="s">
        <v>1391</v>
      </c>
      <c r="M1" s="9" t="s">
        <v>1392</v>
      </c>
      <c r="N1" s="9" t="s">
        <v>1393</v>
      </c>
      <c r="O1" s="10" t="s">
        <v>1396</v>
      </c>
    </row>
    <row r="2" spans="1:16">
      <c r="B2" s="2"/>
      <c r="E2">
        <v>7</v>
      </c>
      <c r="G2" t="s">
        <v>148</v>
      </c>
      <c r="H2" t="s">
        <v>1394</v>
      </c>
      <c r="J2" s="9" t="s">
        <v>2739</v>
      </c>
      <c r="K2" s="9">
        <v>61</v>
      </c>
      <c r="L2" s="9">
        <v>13</v>
      </c>
      <c r="M2" s="9">
        <f t="shared" ref="M2" si="0">0.25*K2</f>
        <v>15.25</v>
      </c>
      <c r="N2" s="9">
        <f>L2*0.25</f>
        <v>3.25</v>
      </c>
      <c r="O2" t="str">
        <f>"copy "&amp;SUBSTITUTE(J2,"/","\") &amp;" E:\software\MediaInfo(获取media属性)\"&amp;SUBSTITUTE(J2,"/","\")</f>
        <v>copy localization\characterselect_allchars.png E:\software\MediaInfo(获取media属性)\localization\characterselect_allchars.png</v>
      </c>
      <c r="P2" t="s">
        <v>2633</v>
      </c>
    </row>
    <row r="3" spans="1:16">
      <c r="A3" t="s">
        <v>1220</v>
      </c>
      <c r="B3" t="s">
        <v>680</v>
      </c>
      <c r="E3">
        <v>8</v>
      </c>
      <c r="G3" t="s">
        <v>271</v>
      </c>
      <c r="H3" t="s">
        <v>1395</v>
      </c>
      <c r="J3" s="9" t="s">
        <v>2747</v>
      </c>
      <c r="K3" s="9">
        <v>109</v>
      </c>
      <c r="L3" s="9">
        <v>13</v>
      </c>
      <c r="M3" s="9">
        <f t="shared" ref="M3:M66" si="1">0.25*K3</f>
        <v>27.25</v>
      </c>
      <c r="N3" s="9">
        <f t="shared" ref="N3:N66" si="2">L3*0.25</f>
        <v>3.25</v>
      </c>
      <c r="O3" t="str">
        <f t="shared" ref="O3:O66" si="3">"copy "&amp;SUBSTITUTE(J3,"/","\") &amp;" E:\software\MediaInfo(获取media属性)\"&amp;SUBSTITUTE(J3,"/","\")</f>
        <v>copy localization\characterselect_choosenext.png E:\software\MediaInfo(获取media属性)\localization\characterselect_choosenext.png</v>
      </c>
      <c r="P3" t="s">
        <v>2633</v>
      </c>
    </row>
    <row r="4" spans="1:16">
      <c r="B4" t="s">
        <v>1207</v>
      </c>
      <c r="E4">
        <v>31</v>
      </c>
      <c r="J4" s="9" t="s">
        <v>2741</v>
      </c>
      <c r="K4" s="9">
        <v>49</v>
      </c>
      <c r="L4" s="9">
        <v>13</v>
      </c>
      <c r="M4" s="9">
        <f t="shared" si="1"/>
        <v>12.25</v>
      </c>
      <c r="N4" s="9">
        <f t="shared" si="2"/>
        <v>3.25</v>
      </c>
      <c r="O4" t="str">
        <f t="shared" si="3"/>
        <v>copy localization\characterselect_deathless.png E:\software\MediaInfo(获取media属性)\localization\characterselect_deathless.png</v>
      </c>
      <c r="P4" t="s">
        <v>2633</v>
      </c>
    </row>
    <row r="5" spans="1:16">
      <c r="B5" t="s">
        <v>674</v>
      </c>
      <c r="E5">
        <v>32</v>
      </c>
      <c r="J5" s="9" t="s">
        <v>2740</v>
      </c>
      <c r="K5" s="9">
        <v>61</v>
      </c>
      <c r="L5" s="9">
        <v>13</v>
      </c>
      <c r="M5" s="9">
        <f t="shared" si="1"/>
        <v>15.25</v>
      </c>
      <c r="N5" s="9">
        <f t="shared" si="2"/>
        <v>3.25</v>
      </c>
      <c r="O5" t="str">
        <f t="shared" si="3"/>
        <v>copy localization\characterselect_exceptcoda.png E:\software\MediaInfo(获取media属性)\localization\characterselect_exceptcoda.png</v>
      </c>
      <c r="P5" t="s">
        <v>2633</v>
      </c>
    </row>
    <row r="6" spans="1:16">
      <c r="B6" t="s">
        <v>759</v>
      </c>
      <c r="E6">
        <v>148</v>
      </c>
      <c r="J6" s="9" t="s">
        <v>2745</v>
      </c>
      <c r="K6" s="9">
        <v>139</v>
      </c>
      <c r="L6" s="9">
        <v>13</v>
      </c>
      <c r="M6" s="9">
        <f t="shared" si="1"/>
        <v>34.75</v>
      </c>
      <c r="N6" s="9">
        <f t="shared" si="2"/>
        <v>3.25</v>
      </c>
      <c r="O6" t="str">
        <f t="shared" si="3"/>
        <v>copy localization\characterselect_hint1.png E:\software\MediaInfo(获取media属性)\localization\characterselect_hint1.png</v>
      </c>
      <c r="P6" t="s">
        <v>2633</v>
      </c>
    </row>
    <row r="7" spans="1:16">
      <c r="B7" t="s">
        <v>1209</v>
      </c>
      <c r="E7">
        <v>149</v>
      </c>
      <c r="J7" s="9" t="s">
        <v>2746</v>
      </c>
      <c r="K7" s="9">
        <v>229</v>
      </c>
      <c r="L7" s="9">
        <v>13</v>
      </c>
      <c r="M7" s="9">
        <f t="shared" si="1"/>
        <v>57.25</v>
      </c>
      <c r="N7" s="9">
        <f t="shared" si="2"/>
        <v>3.25</v>
      </c>
      <c r="O7" t="str">
        <f t="shared" si="3"/>
        <v>copy localization\characterselect_hint2.png E:\software\MediaInfo(获取media属性)\localization\characterselect_hint2.png</v>
      </c>
      <c r="P7" t="s">
        <v>2633</v>
      </c>
    </row>
    <row r="8" spans="1:16">
      <c r="B8" t="s">
        <v>1221</v>
      </c>
      <c r="E8">
        <v>150</v>
      </c>
      <c r="J8" s="9" t="s">
        <v>2737</v>
      </c>
      <c r="K8" s="9">
        <v>73</v>
      </c>
      <c r="L8" s="9">
        <v>13</v>
      </c>
      <c r="M8" s="9">
        <f t="shared" si="1"/>
        <v>18.25</v>
      </c>
      <c r="N8" s="9">
        <f t="shared" si="2"/>
        <v>3.25</v>
      </c>
      <c r="O8" t="str">
        <f t="shared" si="3"/>
        <v>copy localization\characterselect_random.png E:\software\MediaInfo(获取media属性)\localization\characterselect_random.png</v>
      </c>
      <c r="P8" t="s">
        <v>2633</v>
      </c>
    </row>
    <row r="9" spans="1:16">
      <c r="B9" t="s">
        <v>1204</v>
      </c>
      <c r="E9">
        <v>151</v>
      </c>
      <c r="J9" s="9" t="s">
        <v>2743</v>
      </c>
      <c r="K9" s="9">
        <v>49</v>
      </c>
      <c r="L9" s="9">
        <v>13</v>
      </c>
      <c r="M9" s="9">
        <f t="shared" si="1"/>
        <v>12.25</v>
      </c>
      <c r="N9" s="9">
        <f t="shared" si="2"/>
        <v>3.25</v>
      </c>
      <c r="O9" t="str">
        <f t="shared" si="3"/>
        <v>copy localization\characterselect_story.png E:\software\MediaInfo(获取media属性)\localization\characterselect_story.png</v>
      </c>
      <c r="P9" t="s">
        <v>2633</v>
      </c>
    </row>
    <row r="10" spans="1:16">
      <c r="B10" s="7" t="s">
        <v>684</v>
      </c>
      <c r="E10">
        <v>152</v>
      </c>
      <c r="J10" s="9" t="s">
        <v>2794</v>
      </c>
      <c r="K10" s="9">
        <v>37</v>
      </c>
      <c r="L10" s="9">
        <v>13</v>
      </c>
      <c r="M10" s="9">
        <f t="shared" si="1"/>
        <v>9.25</v>
      </c>
      <c r="N10" s="9">
        <f t="shared" si="2"/>
        <v>3.25</v>
      </c>
      <c r="O10" t="str">
        <f t="shared" si="3"/>
        <v>copy localization\character_allchars.png E:\software\MediaInfo(获取media属性)\localization\character_allchars.png</v>
      </c>
      <c r="P10" t="s">
        <v>2633</v>
      </c>
    </row>
    <row r="11" spans="1:16">
      <c r="B11" t="s">
        <v>672</v>
      </c>
      <c r="E11">
        <v>153</v>
      </c>
      <c r="J11" s="9" t="s">
        <v>2795</v>
      </c>
      <c r="K11" s="9">
        <v>49</v>
      </c>
      <c r="L11" s="9">
        <v>13</v>
      </c>
      <c r="M11" s="9">
        <f t="shared" si="1"/>
        <v>12.25</v>
      </c>
      <c r="N11" s="9">
        <f t="shared" si="2"/>
        <v>3.25</v>
      </c>
      <c r="O11" t="str">
        <f t="shared" si="3"/>
        <v>copy localization\character_storymode.png E:\software\MediaInfo(获取media属性)\localization\character_storymode.png</v>
      </c>
      <c r="P11" t="s">
        <v>2633</v>
      </c>
    </row>
    <row r="12" spans="1:16">
      <c r="B12" t="s">
        <v>1201</v>
      </c>
      <c r="E12">
        <v>154</v>
      </c>
      <c r="J12" s="9" t="s">
        <v>2764</v>
      </c>
      <c r="K12" s="9">
        <v>73</v>
      </c>
      <c r="L12" s="9">
        <v>13</v>
      </c>
      <c r="M12" s="9">
        <f t="shared" si="1"/>
        <v>18.25</v>
      </c>
      <c r="N12" s="9">
        <f t="shared" si="2"/>
        <v>3.25</v>
      </c>
      <c r="O12" t="str">
        <f t="shared" si="3"/>
        <v>copy localization\game_allchars1.png E:\software\MediaInfo(获取media属性)\localization\game_allchars1.png</v>
      </c>
      <c r="P12" t="s">
        <v>2633</v>
      </c>
    </row>
    <row r="13" spans="1:16">
      <c r="B13" t="s">
        <v>742</v>
      </c>
      <c r="E13">
        <v>155</v>
      </c>
      <c r="J13" s="9" t="s">
        <v>2765</v>
      </c>
      <c r="K13" s="9">
        <v>121</v>
      </c>
      <c r="L13" s="9">
        <v>13</v>
      </c>
      <c r="M13" s="9">
        <f t="shared" si="1"/>
        <v>30.25</v>
      </c>
      <c r="N13" s="9">
        <f t="shared" si="2"/>
        <v>3.25</v>
      </c>
      <c r="O13" t="str">
        <f t="shared" si="3"/>
        <v>copy localization\game_allchars2.png E:\software\MediaInfo(获取media属性)\localization\game_allchars2.png</v>
      </c>
      <c r="P13" t="s">
        <v>2633</v>
      </c>
    </row>
    <row r="14" spans="1:16">
      <c r="B14" t="s">
        <v>675</v>
      </c>
      <c r="E14">
        <v>156</v>
      </c>
      <c r="J14" s="9" t="s">
        <v>2766</v>
      </c>
      <c r="K14" s="9">
        <v>49</v>
      </c>
      <c r="L14" s="9">
        <v>13</v>
      </c>
      <c r="M14" s="9">
        <f t="shared" si="1"/>
        <v>12.25</v>
      </c>
      <c r="N14" s="9">
        <f t="shared" si="2"/>
        <v>3.25</v>
      </c>
      <c r="O14" t="str">
        <f t="shared" si="3"/>
        <v>copy localization\game_allchars3.png E:\software\MediaInfo(获取media属性)\localization\game_allchars3.png</v>
      </c>
      <c r="P14" t="s">
        <v>2633</v>
      </c>
    </row>
    <row r="15" spans="1:16">
      <c r="B15" t="s">
        <v>1208</v>
      </c>
      <c r="E15">
        <v>157</v>
      </c>
      <c r="J15" s="9" t="s">
        <v>2770</v>
      </c>
      <c r="K15" s="9">
        <v>121</v>
      </c>
      <c r="L15" s="9">
        <v>13</v>
      </c>
      <c r="M15" s="9">
        <f t="shared" si="1"/>
        <v>30.25</v>
      </c>
      <c r="N15" s="9">
        <f t="shared" si="2"/>
        <v>3.25</v>
      </c>
      <c r="O15" t="str">
        <f t="shared" si="3"/>
        <v>copy localization\game_allzones1.png E:\software\MediaInfo(获取media属性)\localization\game_allzones1.png</v>
      </c>
      <c r="P15" t="s">
        <v>2633</v>
      </c>
    </row>
    <row r="16" spans="1:16">
      <c r="B16" t="s">
        <v>673</v>
      </c>
      <c r="E16">
        <v>158</v>
      </c>
      <c r="J16" s="9" t="s">
        <v>2771</v>
      </c>
      <c r="K16" s="9">
        <v>109</v>
      </c>
      <c r="L16" s="9">
        <v>13</v>
      </c>
      <c r="M16" s="9">
        <f t="shared" si="1"/>
        <v>27.25</v>
      </c>
      <c r="N16" s="9">
        <f t="shared" si="2"/>
        <v>3.25</v>
      </c>
      <c r="O16" t="str">
        <f t="shared" si="3"/>
        <v>copy localization\game_allzones2.png E:\software\MediaInfo(获取media属性)\localization\game_allzones2.png</v>
      </c>
      <c r="P16" t="s">
        <v>2633</v>
      </c>
    </row>
    <row r="17" spans="1:16">
      <c r="B17" t="s">
        <v>875</v>
      </c>
      <c r="E17">
        <v>159</v>
      </c>
      <c r="J17" s="9" t="s">
        <v>2772</v>
      </c>
      <c r="K17" s="9">
        <v>109</v>
      </c>
      <c r="L17" s="9">
        <v>13</v>
      </c>
      <c r="M17" s="9">
        <f t="shared" si="1"/>
        <v>27.25</v>
      </c>
      <c r="N17" s="9">
        <f t="shared" si="2"/>
        <v>3.25</v>
      </c>
      <c r="O17" t="str">
        <f t="shared" si="3"/>
        <v>copy localization\game_allzones3.png E:\software\MediaInfo(获取media属性)\localization\game_allzones3.png</v>
      </c>
      <c r="P17" t="s">
        <v>2633</v>
      </c>
    </row>
    <row r="18" spans="1:16">
      <c r="E18">
        <v>160</v>
      </c>
      <c r="J18" s="9" t="s">
        <v>2635</v>
      </c>
      <c r="K18" s="9">
        <v>73</v>
      </c>
      <c r="L18" s="9">
        <v>13</v>
      </c>
      <c r="M18" s="9">
        <f t="shared" si="1"/>
        <v>18.25</v>
      </c>
      <c r="N18" s="9">
        <f t="shared" si="2"/>
        <v>3.25</v>
      </c>
      <c r="O18" t="str">
        <f t="shared" si="3"/>
        <v>copy localization\game_coinmultiplierlost.png E:\software\MediaInfo(获取media属性)\localization\game_coinmultiplierlost.png</v>
      </c>
      <c r="P18" t="s">
        <v>2633</v>
      </c>
    </row>
    <row r="19" spans="1:16">
      <c r="E19">
        <v>701</v>
      </c>
      <c r="J19" s="9" t="s">
        <v>2773</v>
      </c>
      <c r="K19" s="9">
        <v>97</v>
      </c>
      <c r="L19" s="9">
        <v>13</v>
      </c>
      <c r="M19" s="9">
        <f t="shared" si="1"/>
        <v>24.25</v>
      </c>
      <c r="N19" s="9">
        <f t="shared" si="2"/>
        <v>3.25</v>
      </c>
      <c r="O19" t="str">
        <f t="shared" si="3"/>
        <v>copy localization\game_daily1.png E:\software\MediaInfo(获取media属性)\localization\game_daily1.png</v>
      </c>
      <c r="P19" t="s">
        <v>2633</v>
      </c>
    </row>
    <row r="20" spans="1:16">
      <c r="E20">
        <v>702</v>
      </c>
      <c r="J20" s="9" t="s">
        <v>2774</v>
      </c>
      <c r="K20" s="9">
        <v>169</v>
      </c>
      <c r="L20" s="9">
        <v>13</v>
      </c>
      <c r="M20" s="9">
        <f t="shared" si="1"/>
        <v>42.25</v>
      </c>
      <c r="N20" s="9">
        <f t="shared" si="2"/>
        <v>3.25</v>
      </c>
      <c r="O20" t="str">
        <f t="shared" si="3"/>
        <v>copy localization\game_daily2.png E:\software\MediaInfo(获取media属性)\localization\game_daily2.png</v>
      </c>
      <c r="P20" t="s">
        <v>2633</v>
      </c>
    </row>
    <row r="21" spans="1:16">
      <c r="E21">
        <v>703</v>
      </c>
      <c r="J21" s="9" t="s">
        <v>2775</v>
      </c>
      <c r="K21" s="9">
        <v>127</v>
      </c>
      <c r="L21" s="9">
        <v>13</v>
      </c>
      <c r="M21" s="9">
        <f t="shared" si="1"/>
        <v>31.75</v>
      </c>
      <c r="N21" s="9">
        <f t="shared" si="2"/>
        <v>3.25</v>
      </c>
      <c r="O21" t="str">
        <f t="shared" si="3"/>
        <v>copy localization\game_daily3.png E:\software\MediaInfo(获取media属性)\localization\game_daily3.png</v>
      </c>
      <c r="P21" t="s">
        <v>2633</v>
      </c>
    </row>
    <row r="22" spans="1:16">
      <c r="E22">
        <v>704</v>
      </c>
      <c r="J22" s="9" t="s">
        <v>2758</v>
      </c>
      <c r="K22" s="9">
        <v>145</v>
      </c>
      <c r="L22" s="9">
        <v>13</v>
      </c>
      <c r="M22" s="9">
        <f t="shared" si="1"/>
        <v>36.25</v>
      </c>
      <c r="N22" s="9">
        <f t="shared" si="2"/>
        <v>3.25</v>
      </c>
      <c r="O22" t="str">
        <f t="shared" si="3"/>
        <v>copy localization\game_dancepad1.png E:\software\MediaInfo(获取media属性)\localization\game_dancepad1.png</v>
      </c>
      <c r="P22" t="s">
        <v>2633</v>
      </c>
    </row>
    <row r="23" spans="1:16">
      <c r="E23">
        <v>705</v>
      </c>
      <c r="J23" s="9" t="s">
        <v>2759</v>
      </c>
      <c r="K23" s="9">
        <v>85</v>
      </c>
      <c r="L23" s="9">
        <v>13</v>
      </c>
      <c r="M23" s="9">
        <f t="shared" si="1"/>
        <v>21.25</v>
      </c>
      <c r="N23" s="9">
        <f t="shared" si="2"/>
        <v>3.25</v>
      </c>
      <c r="O23" t="str">
        <f t="shared" si="3"/>
        <v>copy localization\game_dancepad2.png E:\software\MediaInfo(获取media属性)\localization\game_dancepad2.png</v>
      </c>
      <c r="P23" t="s">
        <v>2633</v>
      </c>
    </row>
    <row r="24" spans="1:16">
      <c r="E24">
        <v>712</v>
      </c>
      <c r="J24" s="9" t="s">
        <v>2760</v>
      </c>
      <c r="K24" s="9">
        <v>145</v>
      </c>
      <c r="L24" s="9">
        <v>13</v>
      </c>
      <c r="M24" s="9">
        <f t="shared" si="1"/>
        <v>36.25</v>
      </c>
      <c r="N24" s="9">
        <f t="shared" si="2"/>
        <v>3.25</v>
      </c>
      <c r="O24" t="str">
        <f t="shared" si="3"/>
        <v>copy localization\game_dancepad3.png E:\software\MediaInfo(获取media属性)\localization\game_dancepad3.png</v>
      </c>
      <c r="P24" t="s">
        <v>2633</v>
      </c>
    </row>
    <row r="25" spans="1:16">
      <c r="E25">
        <v>907</v>
      </c>
      <c r="J25" s="9" t="s">
        <v>2761</v>
      </c>
      <c r="K25" s="9">
        <v>61</v>
      </c>
      <c r="L25" s="9">
        <v>13</v>
      </c>
      <c r="M25" s="9">
        <f t="shared" si="1"/>
        <v>15.25</v>
      </c>
      <c r="N25" s="9">
        <f t="shared" si="2"/>
        <v>3.25</v>
      </c>
      <c r="O25" t="str">
        <f t="shared" si="3"/>
        <v>copy localization\game_deathless1.png E:\software\MediaInfo(获取media属性)\localization\game_deathless1.png</v>
      </c>
      <c r="P25" t="s">
        <v>2633</v>
      </c>
    </row>
    <row r="26" spans="1:16">
      <c r="E26">
        <v>908</v>
      </c>
      <c r="J26" s="9" t="s">
        <v>2762</v>
      </c>
      <c r="K26" s="9">
        <v>169</v>
      </c>
      <c r="L26" s="9">
        <v>13</v>
      </c>
      <c r="M26" s="9">
        <f t="shared" si="1"/>
        <v>42.25</v>
      </c>
      <c r="N26" s="9">
        <f t="shared" si="2"/>
        <v>3.25</v>
      </c>
      <c r="O26" t="str">
        <f t="shared" si="3"/>
        <v>copy localization\game_deathless2.png E:\software\MediaInfo(获取media属性)\localization\game_deathless2.png</v>
      </c>
      <c r="P26" t="s">
        <v>2633</v>
      </c>
    </row>
    <row r="27" spans="1:16">
      <c r="E27">
        <v>912</v>
      </c>
      <c r="J27" s="9" t="s">
        <v>2763</v>
      </c>
      <c r="K27" s="9">
        <v>121</v>
      </c>
      <c r="L27" s="9">
        <v>13</v>
      </c>
      <c r="M27" s="9">
        <f t="shared" si="1"/>
        <v>30.25</v>
      </c>
      <c r="N27" s="9">
        <f t="shared" si="2"/>
        <v>3.25</v>
      </c>
      <c r="O27" t="str">
        <f t="shared" si="3"/>
        <v>copy localization\game_deathless3.png E:\software\MediaInfo(获取media属性)\localization\game_deathless3.png</v>
      </c>
      <c r="P27" t="s">
        <v>2633</v>
      </c>
    </row>
    <row r="28" spans="1:16">
      <c r="E28">
        <v>913</v>
      </c>
      <c r="J28" s="9" t="s">
        <v>2753</v>
      </c>
      <c r="K28" s="9">
        <v>49</v>
      </c>
      <c r="L28" s="9">
        <v>13</v>
      </c>
      <c r="M28" s="9">
        <f t="shared" si="1"/>
        <v>12.25</v>
      </c>
      <c r="N28" s="9">
        <f t="shared" si="2"/>
        <v>3.25</v>
      </c>
      <c r="O28" t="str">
        <f t="shared" si="3"/>
        <v>copy localization\game_goodluck.png E:\software\MediaInfo(获取media属性)\localization\game_goodluck.png</v>
      </c>
      <c r="P28" t="s">
        <v>2633</v>
      </c>
    </row>
    <row r="29" spans="1:16">
      <c r="E29">
        <v>969</v>
      </c>
      <c r="J29" s="9" t="s">
        <v>2651</v>
      </c>
      <c r="K29" s="9">
        <v>229</v>
      </c>
      <c r="L29" s="9">
        <v>13</v>
      </c>
      <c r="M29" s="9">
        <f t="shared" si="1"/>
        <v>57.25</v>
      </c>
      <c r="N29" s="9">
        <f t="shared" si="2"/>
        <v>3.25</v>
      </c>
      <c r="O29" t="str">
        <f t="shared" si="3"/>
        <v>copy localization\game_replayshowing.png E:\software\MediaInfo(获取media属性)\localization\game_replayshowing.png</v>
      </c>
      <c r="P29" t="s">
        <v>2633</v>
      </c>
    </row>
    <row r="30" spans="1:16">
      <c r="A30" t="s">
        <v>1399</v>
      </c>
      <c r="B30" t="s">
        <v>1202</v>
      </c>
      <c r="E30">
        <v>1000</v>
      </c>
      <c r="J30" s="9" t="s">
        <v>2767</v>
      </c>
      <c r="K30" s="9">
        <v>61</v>
      </c>
      <c r="L30" s="9">
        <v>13</v>
      </c>
      <c r="M30" s="9">
        <f t="shared" si="1"/>
        <v>15.25</v>
      </c>
      <c r="N30" s="9">
        <f t="shared" si="2"/>
        <v>3.25</v>
      </c>
      <c r="O30" t="str">
        <f t="shared" si="3"/>
        <v>copy localization\game_story1.png E:\software\MediaInfo(获取media属性)\localization\game_story1.png</v>
      </c>
      <c r="P30" t="s">
        <v>2633</v>
      </c>
    </row>
    <row r="31" spans="1:16">
      <c r="E31">
        <v>1001</v>
      </c>
      <c r="J31" s="9" t="s">
        <v>2768</v>
      </c>
      <c r="K31" s="9">
        <v>175</v>
      </c>
      <c r="L31" s="9">
        <v>13</v>
      </c>
      <c r="M31" s="9">
        <f t="shared" si="1"/>
        <v>43.75</v>
      </c>
      <c r="N31" s="9">
        <f t="shared" si="2"/>
        <v>3.25</v>
      </c>
      <c r="O31" t="str">
        <f t="shared" si="3"/>
        <v>copy localization\game_story2.png E:\software\MediaInfo(获取media属性)\localization\game_story2.png</v>
      </c>
      <c r="P31" t="s">
        <v>2633</v>
      </c>
    </row>
    <row r="32" spans="1:16">
      <c r="E32">
        <v>1002</v>
      </c>
      <c r="J32" s="9" t="s">
        <v>2769</v>
      </c>
      <c r="K32" s="9">
        <v>49</v>
      </c>
      <c r="L32" s="9">
        <v>13</v>
      </c>
      <c r="M32" s="9">
        <f t="shared" si="1"/>
        <v>12.25</v>
      </c>
      <c r="N32" s="9">
        <f t="shared" si="2"/>
        <v>3.25</v>
      </c>
      <c r="O32" t="str">
        <f t="shared" si="3"/>
        <v>copy localization\game_story3.png E:\software\MediaInfo(获取media属性)\localization\game_story3.png</v>
      </c>
      <c r="P32" t="s">
        <v>2633</v>
      </c>
    </row>
    <row r="33" spans="5:16">
      <c r="E33">
        <v>1003</v>
      </c>
      <c r="J33" s="9" t="s">
        <v>2825</v>
      </c>
      <c r="K33" s="9">
        <v>61</v>
      </c>
      <c r="L33" s="9">
        <v>13</v>
      </c>
      <c r="M33" s="9">
        <f t="shared" si="1"/>
        <v>15.25</v>
      </c>
      <c r="N33" s="9">
        <f t="shared" si="2"/>
        <v>3.25</v>
      </c>
      <c r="O33" t="str">
        <f t="shared" si="3"/>
        <v>copy localization\hint_alreadycomplete.png E:\software\MediaInfo(获取media属性)\localization\hint_alreadycomplete.png</v>
      </c>
      <c r="P33" t="s">
        <v>2633</v>
      </c>
    </row>
    <row r="34" spans="5:16">
      <c r="E34">
        <v>1004</v>
      </c>
      <c r="J34" s="9" t="s">
        <v>2828</v>
      </c>
      <c r="K34" s="9">
        <v>73</v>
      </c>
      <c r="L34" s="9">
        <v>13</v>
      </c>
      <c r="M34" s="9">
        <f t="shared" si="1"/>
        <v>18.25</v>
      </c>
      <c r="N34" s="9">
        <f t="shared" si="2"/>
        <v>3.25</v>
      </c>
      <c r="O34" t="str">
        <f t="shared" si="3"/>
        <v>copy localization\hint_ariaonly.png E:\software\MediaInfo(获取media属性)\localization\hint_ariaonly.png</v>
      </c>
      <c r="P34" t="s">
        <v>2633</v>
      </c>
    </row>
    <row r="35" spans="5:16">
      <c r="E35">
        <v>1005</v>
      </c>
      <c r="J35" s="9" t="s">
        <v>2923</v>
      </c>
      <c r="K35" s="9">
        <v>73</v>
      </c>
      <c r="L35" s="9">
        <v>13</v>
      </c>
      <c r="M35" s="9">
        <f t="shared" si="1"/>
        <v>18.25</v>
      </c>
      <c r="N35" s="9">
        <f t="shared" si="2"/>
        <v>3.25</v>
      </c>
      <c r="O35" t="str">
        <f t="shared" si="3"/>
        <v>copy localization\hint_bloodmagic.png E:\software\MediaInfo(获取media属性)\localization\hint_bloodmagic.png</v>
      </c>
      <c r="P35" t="s">
        <v>2633</v>
      </c>
    </row>
    <row r="36" spans="5:16">
      <c r="E36">
        <v>1006</v>
      </c>
      <c r="J36" s="9" t="s">
        <v>2917</v>
      </c>
      <c r="K36" s="9">
        <v>25</v>
      </c>
      <c r="L36" s="9">
        <v>13</v>
      </c>
      <c r="M36" s="9">
        <f t="shared" si="1"/>
        <v>6.25</v>
      </c>
      <c r="N36" s="9">
        <f t="shared" si="2"/>
        <v>3.25</v>
      </c>
      <c r="O36" t="str">
        <f t="shared" si="3"/>
        <v>copy localization\hint_bomb.png E:\software\MediaInfo(获取media属性)\localization\hint_bomb.png</v>
      </c>
      <c r="P36" t="s">
        <v>2633</v>
      </c>
    </row>
    <row r="37" spans="5:16">
      <c r="E37">
        <v>1007</v>
      </c>
      <c r="J37" s="9" t="s">
        <v>2844</v>
      </c>
      <c r="K37" s="9">
        <v>121</v>
      </c>
      <c r="L37" s="9">
        <v>13</v>
      </c>
      <c r="M37" s="9">
        <f t="shared" si="1"/>
        <v>30.25</v>
      </c>
      <c r="N37" s="9">
        <f t="shared" si="2"/>
        <v>3.25</v>
      </c>
      <c r="O37" t="str">
        <f t="shared" si="3"/>
        <v>copy localization\hint_bringglasskey.png E:\software\MediaInfo(获取media属性)\localization\hint_bringglasskey.png</v>
      </c>
      <c r="P37" t="s">
        <v>2633</v>
      </c>
    </row>
    <row r="38" spans="5:16">
      <c r="E38">
        <v>1051</v>
      </c>
      <c r="J38" s="9" t="s">
        <v>2872</v>
      </c>
      <c r="K38" s="9">
        <v>85</v>
      </c>
      <c r="L38" s="9">
        <v>13</v>
      </c>
      <c r="M38" s="9">
        <f t="shared" si="1"/>
        <v>21.25</v>
      </c>
      <c r="N38" s="9">
        <f t="shared" si="2"/>
        <v>3.25</v>
      </c>
      <c r="O38" t="str">
        <f t="shared" si="3"/>
        <v>copy localization\hint_brokerreject.png E:\software\MediaInfo(获取media属性)\localization\hint_brokerreject.png</v>
      </c>
      <c r="P38" t="s">
        <v>2633</v>
      </c>
    </row>
    <row r="39" spans="5:16">
      <c r="E39">
        <v>1052</v>
      </c>
      <c r="J39" s="9" t="s">
        <v>2826</v>
      </c>
      <c r="K39" s="9">
        <v>91</v>
      </c>
      <c r="L39" s="9">
        <v>13</v>
      </c>
      <c r="M39" s="9">
        <f t="shared" si="1"/>
        <v>22.75</v>
      </c>
      <c r="N39" s="9">
        <f t="shared" si="2"/>
        <v>3.25</v>
      </c>
      <c r="O39" t="str">
        <f t="shared" si="3"/>
        <v>copy localization\hint_cadenceonly.png E:\software\MediaInfo(获取media属性)\localization\hint_cadenceonly.png</v>
      </c>
      <c r="P39" t="s">
        <v>2633</v>
      </c>
    </row>
    <row r="40" spans="5:16">
      <c r="E40">
        <v>1053</v>
      </c>
      <c r="J40" s="9" t="s">
        <v>2861</v>
      </c>
      <c r="K40" s="9">
        <v>121</v>
      </c>
      <c r="L40" s="9">
        <v>13</v>
      </c>
      <c r="M40" s="9">
        <f t="shared" si="1"/>
        <v>30.25</v>
      </c>
      <c r="N40" s="9">
        <f t="shared" si="2"/>
        <v>3.25</v>
      </c>
      <c r="O40" t="str">
        <f t="shared" si="3"/>
        <v>copy localization\hint_chancelose.png E:\software\MediaInfo(获取media属性)\localization\hint_chancelose.png</v>
      </c>
      <c r="P40" t="s">
        <v>2633</v>
      </c>
    </row>
    <row r="41" spans="5:16">
      <c r="E41">
        <v>1054</v>
      </c>
      <c r="J41" s="9" t="s">
        <v>2860</v>
      </c>
      <c r="K41" s="9">
        <v>61</v>
      </c>
      <c r="L41" s="9">
        <v>13</v>
      </c>
      <c r="M41" s="9">
        <f t="shared" si="1"/>
        <v>15.25</v>
      </c>
      <c r="N41" s="9">
        <f t="shared" si="2"/>
        <v>3.25</v>
      </c>
      <c r="O41" t="str">
        <f t="shared" si="3"/>
        <v>copy localization\hint_chancewin.png E:\software\MediaInfo(获取media属性)\localization\hint_chancewin.png</v>
      </c>
      <c r="P41" t="s">
        <v>2633</v>
      </c>
    </row>
    <row r="42" spans="5:16">
      <c r="E42">
        <v>1055</v>
      </c>
      <c r="J42" s="9" t="s">
        <v>2904</v>
      </c>
      <c r="K42" s="9">
        <v>25</v>
      </c>
      <c r="L42" s="9">
        <v>13</v>
      </c>
      <c r="M42" s="9">
        <f t="shared" si="1"/>
        <v>6.25</v>
      </c>
      <c r="N42" s="9">
        <f t="shared" si="2"/>
        <v>3.25</v>
      </c>
      <c r="O42" t="str">
        <f t="shared" si="3"/>
        <v>copy localization\hint_charm.png E:\software\MediaInfo(获取media属性)\localization\hint_charm.png</v>
      </c>
      <c r="P42" t="s">
        <v>2633</v>
      </c>
    </row>
    <row r="43" spans="5:16">
      <c r="E43">
        <v>1056</v>
      </c>
      <c r="J43" s="9" t="s">
        <v>2894</v>
      </c>
      <c r="K43" s="9">
        <v>49</v>
      </c>
      <c r="L43" s="9">
        <v>13</v>
      </c>
      <c r="M43" s="9">
        <f t="shared" si="1"/>
        <v>12.25</v>
      </c>
      <c r="N43" s="9">
        <f t="shared" si="2"/>
        <v>3.25</v>
      </c>
      <c r="O43" t="str">
        <f t="shared" si="3"/>
        <v>copy localization\hint_charmshattered.png E:\software\MediaInfo(获取media属性)\localization\hint_charmshattered.png</v>
      </c>
      <c r="P43" t="s">
        <v>2633</v>
      </c>
    </row>
    <row r="44" spans="5:16">
      <c r="E44">
        <v>1057</v>
      </c>
      <c r="J44" s="9" t="s">
        <v>2899</v>
      </c>
      <c r="K44" s="9">
        <v>25</v>
      </c>
      <c r="L44" s="9">
        <v>13</v>
      </c>
      <c r="M44" s="9">
        <f t="shared" si="1"/>
        <v>6.25</v>
      </c>
      <c r="N44" s="9">
        <f t="shared" si="2"/>
        <v>3.25</v>
      </c>
      <c r="O44" t="str">
        <f t="shared" si="3"/>
        <v>copy localization\hint_cleaned.png E:\software\MediaInfo(获取media属性)\localization\hint_cleaned.png</v>
      </c>
      <c r="P44" t="s">
        <v>2633</v>
      </c>
    </row>
    <row r="45" spans="5:16">
      <c r="E45">
        <v>1058</v>
      </c>
      <c r="J45" s="9" t="s">
        <v>2867</v>
      </c>
      <c r="K45" s="9">
        <v>25</v>
      </c>
      <c r="L45" s="9">
        <v>13</v>
      </c>
      <c r="M45" s="9">
        <f t="shared" si="1"/>
        <v>6.25</v>
      </c>
      <c r="N45" s="9">
        <f t="shared" si="2"/>
        <v>3.25</v>
      </c>
      <c r="O45" t="str">
        <f t="shared" si="3"/>
        <v>copy localization\hint_coins1.png E:\software\MediaInfo(获取media属性)\localization\hint_coins1.png</v>
      </c>
      <c r="P45" t="s">
        <v>2633</v>
      </c>
    </row>
    <row r="46" spans="5:16">
      <c r="E46">
        <v>1059</v>
      </c>
      <c r="J46" s="9" t="s">
        <v>2823</v>
      </c>
      <c r="K46" s="9">
        <v>241</v>
      </c>
      <c r="L46" s="9">
        <v>13</v>
      </c>
      <c r="M46" s="9">
        <f t="shared" si="1"/>
        <v>60.25</v>
      </c>
      <c r="N46" s="9">
        <f t="shared" si="2"/>
        <v>3.25</v>
      </c>
      <c r="O46" t="str">
        <f t="shared" si="3"/>
        <v>copy localization\hint_completeallchars.png E:\software\MediaInfo(获取media属性)\localization\hint_completeallchars.png</v>
      </c>
      <c r="P46" t="s">
        <v>2633</v>
      </c>
    </row>
    <row r="47" spans="5:16">
      <c r="E47">
        <v>1060</v>
      </c>
      <c r="J47" s="9" t="s">
        <v>2818</v>
      </c>
      <c r="K47" s="9">
        <v>169</v>
      </c>
      <c r="L47" s="9">
        <v>13</v>
      </c>
      <c r="M47" s="9">
        <f t="shared" si="1"/>
        <v>42.25</v>
      </c>
      <c r="N47" s="9">
        <f t="shared" si="2"/>
        <v>3.25</v>
      </c>
      <c r="O47" t="str">
        <f t="shared" si="3"/>
        <v>copy localization\hint_completebomblore.png E:\software\MediaInfo(获取media属性)\localization\hint_completebomblore.png</v>
      </c>
      <c r="P47" t="s">
        <v>2633</v>
      </c>
    </row>
    <row r="48" spans="5:16">
      <c r="E48">
        <v>1101</v>
      </c>
      <c r="J48" s="9" t="s">
        <v>2822</v>
      </c>
      <c r="K48" s="9">
        <v>151</v>
      </c>
      <c r="L48" s="9">
        <v>13</v>
      </c>
      <c r="M48" s="9">
        <f t="shared" si="1"/>
        <v>37.75</v>
      </c>
      <c r="N48" s="9">
        <f t="shared" si="2"/>
        <v>3.25</v>
      </c>
      <c r="O48" t="str">
        <f t="shared" si="3"/>
        <v>copy localization\hint_completecadence.png E:\software\MediaInfo(获取media属性)\localization\hint_completecadence.png</v>
      </c>
      <c r="P48" t="s">
        <v>2633</v>
      </c>
    </row>
    <row r="49" spans="5:16">
      <c r="E49">
        <v>1102</v>
      </c>
      <c r="J49" s="9" t="s">
        <v>2816</v>
      </c>
      <c r="K49" s="9">
        <v>145</v>
      </c>
      <c r="L49" s="9">
        <v>13</v>
      </c>
      <c r="M49" s="9">
        <f t="shared" si="1"/>
        <v>36.25</v>
      </c>
      <c r="N49" s="9">
        <f t="shared" si="2"/>
        <v>3.25</v>
      </c>
      <c r="O49" t="str">
        <f t="shared" si="3"/>
        <v>copy localization\hint_completedragonlore.png E:\software\MediaInfo(获取media属性)\localization\hint_completedragonlore.png</v>
      </c>
      <c r="P49" t="s">
        <v>2633</v>
      </c>
    </row>
    <row r="50" spans="5:16">
      <c r="E50">
        <v>1103</v>
      </c>
      <c r="J50" s="9" t="s">
        <v>2820</v>
      </c>
      <c r="K50" s="9">
        <v>145</v>
      </c>
      <c r="L50" s="9">
        <v>13</v>
      </c>
      <c r="M50" s="9">
        <f t="shared" si="1"/>
        <v>36.25</v>
      </c>
      <c r="N50" s="9">
        <f t="shared" si="2"/>
        <v>3.25</v>
      </c>
      <c r="O50" t="str">
        <f t="shared" si="3"/>
        <v>copy localization\hint_completemelody.png E:\software\MediaInfo(获取media属性)\localization\hint_completemelody.png</v>
      </c>
      <c r="P50" t="s">
        <v>2633</v>
      </c>
    </row>
    <row r="51" spans="5:16">
      <c r="E51">
        <v>1501</v>
      </c>
      <c r="J51" s="9" t="s">
        <v>2819</v>
      </c>
      <c r="K51" s="9">
        <v>133</v>
      </c>
      <c r="L51" s="9">
        <v>13</v>
      </c>
      <c r="M51" s="9">
        <f t="shared" si="1"/>
        <v>33.25</v>
      </c>
      <c r="N51" s="9">
        <f t="shared" si="2"/>
        <v>3.25</v>
      </c>
      <c r="O51" t="str">
        <f t="shared" si="3"/>
        <v>copy localization\hint_completemonk.png E:\software\MediaInfo(获取media属性)\localization\hint_completemonk.png</v>
      </c>
      <c r="P51" t="s">
        <v>2633</v>
      </c>
    </row>
    <row r="52" spans="5:16">
      <c r="E52">
        <v>1502</v>
      </c>
      <c r="J52" s="9" t="s">
        <v>2817</v>
      </c>
      <c r="K52" s="9">
        <v>169</v>
      </c>
      <c r="L52" s="9">
        <v>13</v>
      </c>
      <c r="M52" s="9">
        <f t="shared" si="1"/>
        <v>42.25</v>
      </c>
      <c r="N52" s="9">
        <f t="shared" si="2"/>
        <v>3.25</v>
      </c>
      <c r="O52" t="str">
        <f t="shared" si="3"/>
        <v>copy localization\hint_completetraplore.png E:\software\MediaInfo(获取media属性)\localization\hint_completetraplore.png</v>
      </c>
      <c r="P52" t="s">
        <v>2633</v>
      </c>
    </row>
    <row r="53" spans="5:16">
      <c r="E53">
        <v>1503</v>
      </c>
      <c r="J53" s="9" t="s">
        <v>2812</v>
      </c>
      <c r="K53" s="9">
        <v>115</v>
      </c>
      <c r="L53" s="9">
        <v>13</v>
      </c>
      <c r="M53" s="9">
        <f t="shared" si="1"/>
        <v>28.75</v>
      </c>
      <c r="N53" s="9">
        <f t="shared" si="2"/>
        <v>3.25</v>
      </c>
      <c r="O53" t="str">
        <f t="shared" si="3"/>
        <v>copy localization\hint_completezone1.png E:\software\MediaInfo(获取media属性)\localization\hint_completezone1.png</v>
      </c>
      <c r="P53" t="s">
        <v>2633</v>
      </c>
    </row>
    <row r="54" spans="5:16">
      <c r="E54">
        <v>1514</v>
      </c>
      <c r="J54" s="9" t="s">
        <v>2813</v>
      </c>
      <c r="K54" s="9">
        <v>115</v>
      </c>
      <c r="L54" s="9">
        <v>13</v>
      </c>
      <c r="M54" s="9">
        <f t="shared" si="1"/>
        <v>28.75</v>
      </c>
      <c r="N54" s="9">
        <f t="shared" si="2"/>
        <v>3.25</v>
      </c>
      <c r="O54" t="str">
        <f t="shared" si="3"/>
        <v>copy localization\hint_completezone2.png E:\software\MediaInfo(获取media属性)\localization\hint_completezone2.png</v>
      </c>
      <c r="P54" t="s">
        <v>2633</v>
      </c>
    </row>
    <row r="55" spans="5:16">
      <c r="E55">
        <v>1515</v>
      </c>
      <c r="J55" s="9" t="s">
        <v>2814</v>
      </c>
      <c r="K55" s="9">
        <v>115</v>
      </c>
      <c r="L55" s="9">
        <v>13</v>
      </c>
      <c r="M55" s="9">
        <f t="shared" si="1"/>
        <v>28.75</v>
      </c>
      <c r="N55" s="9">
        <f t="shared" si="2"/>
        <v>3.25</v>
      </c>
      <c r="O55" t="str">
        <f t="shared" si="3"/>
        <v>copy localization\hint_completezone3.png E:\software\MediaInfo(获取media属性)\localization\hint_completezone3.png</v>
      </c>
      <c r="P55" t="s">
        <v>2633</v>
      </c>
    </row>
    <row r="56" spans="5:16">
      <c r="E56">
        <v>1516</v>
      </c>
      <c r="J56" s="9" t="s">
        <v>2815</v>
      </c>
      <c r="K56" s="9">
        <v>115</v>
      </c>
      <c r="L56" s="9">
        <v>13</v>
      </c>
      <c r="M56" s="9">
        <f t="shared" si="1"/>
        <v>28.75</v>
      </c>
      <c r="N56" s="9">
        <f t="shared" si="2"/>
        <v>3.25</v>
      </c>
      <c r="O56" t="str">
        <f t="shared" si="3"/>
        <v>copy localization\hint_completezone4.png E:\software\MediaInfo(获取media属性)\localization\hint_completezone4.png</v>
      </c>
      <c r="P56" t="s">
        <v>2633</v>
      </c>
    </row>
    <row r="57" spans="5:16">
      <c r="E57">
        <v>1601</v>
      </c>
      <c r="J57" s="9" t="s">
        <v>2821</v>
      </c>
      <c r="K57" s="9">
        <v>181</v>
      </c>
      <c r="L57" s="9">
        <v>13</v>
      </c>
      <c r="M57" s="9">
        <f t="shared" si="1"/>
        <v>45.25</v>
      </c>
      <c r="N57" s="9">
        <f t="shared" si="2"/>
        <v>3.25</v>
      </c>
      <c r="O57" t="str">
        <f t="shared" si="3"/>
        <v>copy localization\hint_completezone4cadence.png E:\software\MediaInfo(获取media属性)\localization\hint_completezone4cadence.png</v>
      </c>
      <c r="P57" t="s">
        <v>2633</v>
      </c>
    </row>
    <row r="58" spans="5:16">
      <c r="E58">
        <v>1602</v>
      </c>
      <c r="J58" s="9" t="s">
        <v>2839</v>
      </c>
      <c r="K58" s="9">
        <v>49</v>
      </c>
      <c r="L58" s="9">
        <v>13</v>
      </c>
      <c r="M58" s="9">
        <f t="shared" si="1"/>
        <v>12.25</v>
      </c>
      <c r="N58" s="9">
        <f t="shared" si="2"/>
        <v>3.25</v>
      </c>
      <c r="O58" t="str">
        <f t="shared" si="3"/>
        <v>copy localization\hint_confused.png E:\software\MediaInfo(获取media属性)\localization\hint_confused.png</v>
      </c>
      <c r="P58" t="s">
        <v>2633</v>
      </c>
    </row>
    <row r="59" spans="5:16">
      <c r="E59">
        <v>1603</v>
      </c>
      <c r="J59" s="9" t="s">
        <v>2835</v>
      </c>
      <c r="K59" s="9">
        <v>37</v>
      </c>
      <c r="L59" s="9">
        <v>13</v>
      </c>
      <c r="M59" s="9">
        <f t="shared" si="1"/>
        <v>9.25</v>
      </c>
      <c r="N59" s="9">
        <f t="shared" si="2"/>
        <v>3.25</v>
      </c>
      <c r="O59" t="str">
        <f t="shared" si="3"/>
        <v>copy localization\hint_confusionspell.png E:\software\MediaInfo(获取media属性)\localization\hint_confusionspell.png</v>
      </c>
      <c r="P59" t="s">
        <v>2633</v>
      </c>
    </row>
    <row r="60" spans="5:16">
      <c r="E60">
        <v>1604</v>
      </c>
      <c r="J60" s="9" t="s">
        <v>2870</v>
      </c>
      <c r="K60" s="9">
        <v>49</v>
      </c>
      <c r="L60" s="9">
        <v>13</v>
      </c>
      <c r="M60" s="9">
        <f t="shared" si="1"/>
        <v>12.25</v>
      </c>
      <c r="N60" s="9">
        <f t="shared" si="2"/>
        <v>3.25</v>
      </c>
      <c r="O60" t="str">
        <f t="shared" si="3"/>
        <v>copy localization\hint_conjuringfail.png E:\software\MediaInfo(获取media属性)\localization\hint_conjuringfail.png</v>
      </c>
      <c r="P60" t="s">
        <v>2633</v>
      </c>
    </row>
    <row r="61" spans="5:16">
      <c r="E61">
        <v>1606</v>
      </c>
      <c r="J61" s="9" t="s">
        <v>2883</v>
      </c>
      <c r="K61" s="9">
        <v>61</v>
      </c>
      <c r="L61" s="9">
        <v>16</v>
      </c>
      <c r="M61" s="9">
        <f t="shared" si="1"/>
        <v>15.25</v>
      </c>
      <c r="N61" s="9">
        <f t="shared" si="2"/>
        <v>4</v>
      </c>
      <c r="O61" t="str">
        <f t="shared" si="3"/>
        <v>copy localization\hint_coupon.png E:\software\MediaInfo(获取media属性)\localization\hint_coupon.png</v>
      </c>
      <c r="P61" t="s">
        <v>2633</v>
      </c>
    </row>
    <row r="62" spans="5:16">
      <c r="E62">
        <v>1607</v>
      </c>
      <c r="J62" s="9" t="s">
        <v>2888</v>
      </c>
      <c r="K62" s="9">
        <v>25</v>
      </c>
      <c r="L62" s="9">
        <v>13</v>
      </c>
      <c r="M62" s="9">
        <f t="shared" si="1"/>
        <v>6.25</v>
      </c>
      <c r="N62" s="9">
        <f t="shared" si="2"/>
        <v>3.25</v>
      </c>
      <c r="O62" t="str">
        <f t="shared" si="3"/>
        <v>copy localization\hint_courage.png E:\software\MediaInfo(获取media属性)\localization\hint_courage.png</v>
      </c>
      <c r="P62" t="s">
        <v>2633</v>
      </c>
    </row>
    <row r="63" spans="5:16">
      <c r="E63">
        <v>1608</v>
      </c>
      <c r="J63" s="9" t="s">
        <v>2893</v>
      </c>
      <c r="K63" s="9">
        <v>49</v>
      </c>
      <c r="L63" s="9">
        <v>13</v>
      </c>
      <c r="M63" s="9">
        <f t="shared" si="1"/>
        <v>12.25</v>
      </c>
      <c r="N63" s="9">
        <f t="shared" si="2"/>
        <v>3.25</v>
      </c>
      <c r="O63" t="str">
        <f t="shared" si="3"/>
        <v>copy localization\hint_crownshattered.png E:\software\MediaInfo(获取media属性)\localization\hint_crownshattered.png</v>
      </c>
      <c r="P63" t="s">
        <v>2633</v>
      </c>
    </row>
    <row r="64" spans="5:16">
      <c r="E64">
        <v>1609</v>
      </c>
      <c r="J64" s="9" t="s">
        <v>2881</v>
      </c>
      <c r="K64" s="9">
        <v>109</v>
      </c>
      <c r="L64" s="9">
        <v>13</v>
      </c>
      <c r="M64" s="9">
        <f t="shared" si="1"/>
        <v>27.25</v>
      </c>
      <c r="N64" s="9">
        <f t="shared" si="2"/>
        <v>3.25</v>
      </c>
      <c r="O64" t="str">
        <f t="shared" si="3"/>
        <v>copy localization\hint_damageenemies.png E:\software\MediaInfo(获取media属性)\localization\hint_damageenemies.png</v>
      </c>
      <c r="P64" t="s">
        <v>2633</v>
      </c>
    </row>
    <row r="65" spans="5:16">
      <c r="E65">
        <v>1610</v>
      </c>
      <c r="J65" s="9" t="s">
        <v>2830</v>
      </c>
      <c r="K65" s="9">
        <v>37</v>
      </c>
      <c r="L65" s="9">
        <v>13</v>
      </c>
      <c r="M65" s="9">
        <f t="shared" si="1"/>
        <v>9.25</v>
      </c>
      <c r="N65" s="9">
        <f t="shared" si="2"/>
        <v>3.25</v>
      </c>
      <c r="O65" t="str">
        <f t="shared" si="3"/>
        <v>copy localization\hint_deafened.png E:\software\MediaInfo(获取media属性)\localization\hint_deafened.png</v>
      </c>
      <c r="P65" t="s">
        <v>2633</v>
      </c>
    </row>
    <row r="66" spans="5:16">
      <c r="E66">
        <v>1611</v>
      </c>
      <c r="J66" s="9" t="s">
        <v>2829</v>
      </c>
      <c r="K66" s="9">
        <v>73</v>
      </c>
      <c r="L66" s="9">
        <v>13</v>
      </c>
      <c r="M66" s="9">
        <f t="shared" si="1"/>
        <v>18.25</v>
      </c>
      <c r="N66" s="9">
        <f t="shared" si="2"/>
        <v>3.25</v>
      </c>
      <c r="O66" t="str">
        <f t="shared" si="3"/>
        <v>copy localization\hint_defeatminiboss.png E:\software\MediaInfo(获取media属性)\localization\hint_defeatminiboss.png</v>
      </c>
      <c r="P66" t="s">
        <v>2633</v>
      </c>
    </row>
    <row r="67" spans="5:16">
      <c r="E67">
        <v>1612</v>
      </c>
      <c r="J67" s="9" t="s">
        <v>2907</v>
      </c>
      <c r="K67" s="9">
        <v>25</v>
      </c>
      <c r="L67" s="9">
        <v>13</v>
      </c>
      <c r="M67" s="9">
        <f t="shared" ref="M67:M130" si="4">0.25*K67</f>
        <v>6.25</v>
      </c>
      <c r="N67" s="9">
        <f t="shared" ref="N67:N130" si="5">L67*0.25</f>
        <v>3.25</v>
      </c>
      <c r="O67" t="str">
        <f t="shared" ref="O67:O130" si="6">"copy "&amp;SUBSTITUTE(J67,"/","\") &amp;" E:\software\MediaInfo(获取media属性)\"&amp;SUBSTITUTE(J67,"/","\")</f>
        <v>copy localization\hint_descend.png E:\software\MediaInfo(获取media属性)\localization\hint_descend.png</v>
      </c>
      <c r="P67" t="s">
        <v>2633</v>
      </c>
    </row>
    <row r="68" spans="5:16">
      <c r="E68">
        <v>1613</v>
      </c>
      <c r="J68" s="9" t="s">
        <v>2811</v>
      </c>
      <c r="K68" s="9">
        <v>49</v>
      </c>
      <c r="L68" s="9">
        <v>13</v>
      </c>
      <c r="M68" s="9">
        <f t="shared" si="4"/>
        <v>12.25</v>
      </c>
      <c r="N68" s="9">
        <f t="shared" si="5"/>
        <v>3.25</v>
      </c>
      <c r="O68" t="str">
        <f t="shared" si="6"/>
        <v>copy localization\hint_destroysarcophagus.png E:\software\MediaInfo(获取media属性)\localization\hint_destroysarcophagus.png</v>
      </c>
      <c r="P68" t="s">
        <v>2633</v>
      </c>
    </row>
    <row r="69" spans="5:16">
      <c r="E69">
        <v>1614</v>
      </c>
      <c r="J69" s="9" t="s">
        <v>2921</v>
      </c>
      <c r="K69" s="9">
        <v>49</v>
      </c>
      <c r="L69" s="9">
        <v>13</v>
      </c>
      <c r="M69" s="9">
        <f t="shared" si="4"/>
        <v>12.25</v>
      </c>
      <c r="N69" s="9">
        <f t="shared" si="5"/>
        <v>3.25</v>
      </c>
      <c r="O69" t="str">
        <f t="shared" si="6"/>
        <v>copy localization\hint_enchantweapon2.png E:\software\MediaInfo(获取media属性)\localization\hint_enchantweapon2.png</v>
      </c>
      <c r="P69" t="s">
        <v>2633</v>
      </c>
    </row>
    <row r="70" spans="5:16">
      <c r="E70">
        <v>1615</v>
      </c>
      <c r="J70" s="9" t="s">
        <v>2887</v>
      </c>
      <c r="K70" s="9">
        <v>49</v>
      </c>
      <c r="L70" s="9">
        <v>13</v>
      </c>
      <c r="M70" s="9">
        <f t="shared" si="4"/>
        <v>12.25</v>
      </c>
      <c r="N70" s="9">
        <f t="shared" si="5"/>
        <v>3.25</v>
      </c>
      <c r="O70" t="str">
        <f t="shared" si="6"/>
        <v>copy localization\hint_exitlocked.png E:\software\MediaInfo(获取media属性)\localization\hint_exitlocked.png</v>
      </c>
      <c r="P70" t="s">
        <v>2633</v>
      </c>
    </row>
    <row r="71" spans="5:16">
      <c r="E71">
        <v>1616</v>
      </c>
      <c r="J71" s="9" t="s">
        <v>2864</v>
      </c>
      <c r="K71" s="9">
        <v>61</v>
      </c>
      <c r="L71" s="9">
        <v>13</v>
      </c>
      <c r="M71" s="9">
        <f t="shared" si="4"/>
        <v>15.25</v>
      </c>
      <c r="N71" s="9">
        <f t="shared" si="5"/>
        <v>3.25</v>
      </c>
      <c r="O71" t="str">
        <f t="shared" si="6"/>
        <v>copy localization\hint_exitunlocked.png E:\software\MediaInfo(获取media属性)\localization\hint_exitunlocked.png</v>
      </c>
      <c r="P71" t="s">
        <v>2633</v>
      </c>
    </row>
    <row r="72" spans="5:16">
      <c r="E72">
        <v>1617</v>
      </c>
      <c r="J72" s="9" t="s">
        <v>2911</v>
      </c>
      <c r="K72" s="9">
        <v>25</v>
      </c>
      <c r="L72" s="9">
        <v>13</v>
      </c>
      <c r="M72" s="9">
        <f t="shared" si="4"/>
        <v>6.25</v>
      </c>
      <c r="N72" s="9">
        <f t="shared" si="5"/>
        <v>3.25</v>
      </c>
      <c r="O72" t="str">
        <f t="shared" si="6"/>
        <v>copy localization\hint_fear.png E:\software\MediaInfo(获取media属性)\localization\hint_fear.png</v>
      </c>
      <c r="P72" t="s">
        <v>2633</v>
      </c>
    </row>
    <row r="73" spans="5:16">
      <c r="E73">
        <v>1618</v>
      </c>
      <c r="J73" s="9" t="s">
        <v>2913</v>
      </c>
      <c r="K73" s="9">
        <v>37</v>
      </c>
      <c r="L73" s="9">
        <v>13</v>
      </c>
      <c r="M73" s="9">
        <f t="shared" si="4"/>
        <v>9.25</v>
      </c>
      <c r="N73" s="9">
        <f t="shared" si="5"/>
        <v>3.25</v>
      </c>
      <c r="O73" t="str">
        <f t="shared" si="6"/>
        <v>copy localization\hint_fireball.png E:\software\MediaInfo(获取media属性)\localization\hint_fireball.png</v>
      </c>
      <c r="P73" t="s">
        <v>2633</v>
      </c>
    </row>
    <row r="74" spans="5:16">
      <c r="E74">
        <v>1619</v>
      </c>
      <c r="J74" s="9" t="s">
        <v>2874</v>
      </c>
      <c r="K74" s="9">
        <v>61</v>
      </c>
      <c r="L74" s="9">
        <v>13</v>
      </c>
      <c r="M74" s="9">
        <f t="shared" si="4"/>
        <v>15.25</v>
      </c>
      <c r="N74" s="9">
        <f t="shared" si="5"/>
        <v>3.25</v>
      </c>
      <c r="O74" t="str">
        <f t="shared" si="6"/>
        <v>copy localization\hint_flawlessvictory.png E:\software\MediaInfo(获取media属性)\localization\hint_flawlessvictory.png</v>
      </c>
      <c r="P74" t="s">
        <v>2633</v>
      </c>
    </row>
    <row r="75" spans="5:16">
      <c r="E75">
        <v>1620</v>
      </c>
      <c r="J75" s="9" t="s">
        <v>2915</v>
      </c>
      <c r="K75" s="9">
        <v>37</v>
      </c>
      <c r="L75" s="9">
        <v>13</v>
      </c>
      <c r="M75" s="9">
        <f t="shared" si="4"/>
        <v>9.25</v>
      </c>
      <c r="N75" s="9">
        <f t="shared" si="5"/>
        <v>3.25</v>
      </c>
      <c r="O75" t="str">
        <f t="shared" si="6"/>
        <v>copy localization\hint_freeze.png E:\software\MediaInfo(获取media属性)\localization\hint_freeze.png</v>
      </c>
      <c r="P75" t="s">
        <v>2633</v>
      </c>
    </row>
    <row r="76" spans="5:16">
      <c r="E76">
        <v>1621</v>
      </c>
      <c r="J76" s="9" t="s">
        <v>2896</v>
      </c>
      <c r="K76" s="9">
        <v>25</v>
      </c>
      <c r="L76" s="9">
        <v>13</v>
      </c>
      <c r="M76" s="9">
        <f t="shared" si="4"/>
        <v>6.25</v>
      </c>
      <c r="N76" s="9">
        <f t="shared" si="5"/>
        <v>3.25</v>
      </c>
      <c r="O76" t="str">
        <f t="shared" si="6"/>
        <v>copy localization\hint_frostmelted.png E:\software\MediaInfo(获取media属性)\localization\hint_frostmelted.png</v>
      </c>
      <c r="P76" t="s">
        <v>2633</v>
      </c>
    </row>
    <row r="77" spans="5:16">
      <c r="E77">
        <v>1801</v>
      </c>
      <c r="J77" s="9" t="s">
        <v>2918</v>
      </c>
      <c r="K77" s="9">
        <v>25</v>
      </c>
      <c r="L77" s="9">
        <v>13</v>
      </c>
      <c r="M77" s="9">
        <f t="shared" si="4"/>
        <v>6.25</v>
      </c>
      <c r="N77" s="9">
        <f t="shared" si="5"/>
        <v>3.25</v>
      </c>
      <c r="O77" t="str">
        <f t="shared" si="6"/>
        <v>copy localization\hint_gigantism.png E:\software\MediaInfo(获取media属性)\localization\hint_gigantism.png</v>
      </c>
      <c r="P77" t="s">
        <v>2633</v>
      </c>
    </row>
    <row r="78" spans="5:16">
      <c r="E78">
        <v>1802</v>
      </c>
      <c r="J78" s="9" t="s">
        <v>2884</v>
      </c>
      <c r="K78" s="9">
        <v>61</v>
      </c>
      <c r="L78" s="9">
        <v>13</v>
      </c>
      <c r="M78" s="9">
        <f t="shared" si="4"/>
        <v>15.25</v>
      </c>
      <c r="N78" s="9">
        <f t="shared" si="5"/>
        <v>3.25</v>
      </c>
      <c r="O78" t="str">
        <f t="shared" si="6"/>
        <v>copy localization\hint_glass.png E:\software\MediaInfo(获取media属性)\localization\hint_glass.png</v>
      </c>
      <c r="P78" t="s">
        <v>2633</v>
      </c>
    </row>
    <row r="79" spans="5:16">
      <c r="E79">
        <v>1803</v>
      </c>
      <c r="J79" s="9" t="s">
        <v>2892</v>
      </c>
      <c r="K79" s="9">
        <v>49</v>
      </c>
      <c r="L79" s="9">
        <v>13</v>
      </c>
      <c r="M79" s="9">
        <f t="shared" si="4"/>
        <v>12.25</v>
      </c>
      <c r="N79" s="9">
        <f t="shared" si="5"/>
        <v>3.25</v>
      </c>
      <c r="O79" t="str">
        <f t="shared" si="6"/>
        <v>copy localization\hint_glassarmorshattered.png E:\software\MediaInfo(获取media属性)\localization\hint_glassarmorshattered.png</v>
      </c>
      <c r="P79" t="s">
        <v>2633</v>
      </c>
    </row>
    <row r="80" spans="5:16">
      <c r="E80">
        <v>1804</v>
      </c>
      <c r="J80" s="9" t="s">
        <v>2902</v>
      </c>
      <c r="K80" s="9">
        <v>25</v>
      </c>
      <c r="L80" s="9">
        <v>13</v>
      </c>
      <c r="M80" s="9">
        <f t="shared" si="4"/>
        <v>6.25</v>
      </c>
      <c r="N80" s="9">
        <f t="shared" si="5"/>
        <v>3.25</v>
      </c>
      <c r="O80" t="str">
        <f t="shared" si="6"/>
        <v>copy localization\hint_glassshattered.png E:\software\MediaInfo(获取media属性)\localization\hint_glassshattered.png</v>
      </c>
      <c r="P80" t="s">
        <v>2633</v>
      </c>
    </row>
    <row r="81" spans="5:16">
      <c r="E81">
        <v>1805</v>
      </c>
      <c r="J81" s="9" t="s">
        <v>2875</v>
      </c>
      <c r="K81" s="9">
        <v>61</v>
      </c>
      <c r="L81" s="9">
        <v>13</v>
      </c>
      <c r="M81" s="9">
        <f t="shared" si="4"/>
        <v>15.25</v>
      </c>
      <c r="N81" s="9">
        <f t="shared" si="5"/>
        <v>3.25</v>
      </c>
      <c r="O81" t="str">
        <f t="shared" si="6"/>
        <v>copy localization\hint_gluttony.png E:\software\MediaInfo(获取media属性)\localization\hint_gluttony.png</v>
      </c>
      <c r="P81" t="s">
        <v>2633</v>
      </c>
    </row>
    <row r="82" spans="5:16">
      <c r="E82">
        <v>1806</v>
      </c>
      <c r="J82" s="9" t="s">
        <v>2845</v>
      </c>
      <c r="K82" s="9">
        <v>73</v>
      </c>
      <c r="L82" s="9">
        <v>13</v>
      </c>
      <c r="M82" s="9">
        <f t="shared" si="4"/>
        <v>18.25</v>
      </c>
      <c r="N82" s="9">
        <f t="shared" si="5"/>
        <v>3.25</v>
      </c>
      <c r="O82" t="str">
        <f t="shared" si="6"/>
        <v>copy localization\hint_goldenkeybuy.png E:\software\MediaInfo(获取media属性)\localization\hint_goldenkeybuy.png</v>
      </c>
      <c r="P82" t="s">
        <v>2633</v>
      </c>
    </row>
    <row r="83" spans="5:16">
      <c r="E83">
        <v>1807</v>
      </c>
      <c r="J83" s="9" t="s">
        <v>2843</v>
      </c>
      <c r="K83" s="9">
        <v>73</v>
      </c>
      <c r="L83" s="9">
        <v>13</v>
      </c>
      <c r="M83" s="9">
        <f t="shared" si="4"/>
        <v>18.25</v>
      </c>
      <c r="N83" s="9">
        <f t="shared" si="5"/>
        <v>3.25</v>
      </c>
      <c r="O83" t="str">
        <f t="shared" si="6"/>
        <v>copy localization\hint_goldenkeydig.png E:\software\MediaInfo(获取media属性)\localization\hint_goldenkeydig.png</v>
      </c>
      <c r="P83" t="s">
        <v>2633</v>
      </c>
    </row>
    <row r="84" spans="5:16">
      <c r="E84">
        <v>1808</v>
      </c>
      <c r="J84" s="9" t="s">
        <v>2912</v>
      </c>
      <c r="K84" s="9">
        <v>37</v>
      </c>
      <c r="L84" s="9">
        <v>13</v>
      </c>
      <c r="M84" s="9">
        <f t="shared" si="4"/>
        <v>9.25</v>
      </c>
      <c r="N84" s="9">
        <f t="shared" si="5"/>
        <v>3.25</v>
      </c>
      <c r="O84" t="str">
        <f t="shared" si="6"/>
        <v>copy localization\hint_greaterfireball.png E:\software\MediaInfo(获取media属性)\localization\hint_greaterfireball.png</v>
      </c>
      <c r="P84" t="s">
        <v>2633</v>
      </c>
    </row>
    <row r="85" spans="5:16">
      <c r="E85">
        <v>1809</v>
      </c>
      <c r="J85" s="9" t="s">
        <v>2914</v>
      </c>
      <c r="K85" s="9">
        <v>49</v>
      </c>
      <c r="L85" s="9">
        <v>13</v>
      </c>
      <c r="M85" s="9">
        <f t="shared" si="4"/>
        <v>12.25</v>
      </c>
      <c r="N85" s="9">
        <f t="shared" si="5"/>
        <v>3.25</v>
      </c>
      <c r="O85" t="str">
        <f t="shared" si="6"/>
        <v>copy localization\hint_greaterfreeze.png E:\software\MediaInfo(获取media属性)\localization\hint_greaterfreeze.png</v>
      </c>
      <c r="P85" t="s">
        <v>2633</v>
      </c>
    </row>
    <row r="86" spans="5:16">
      <c r="E86">
        <v>1810</v>
      </c>
      <c r="J86" s="9" t="s">
        <v>2919</v>
      </c>
      <c r="K86" s="9">
        <v>49</v>
      </c>
      <c r="L86" s="9">
        <v>13</v>
      </c>
      <c r="M86" s="9">
        <f t="shared" si="4"/>
        <v>12.25</v>
      </c>
      <c r="N86" s="9">
        <f t="shared" si="5"/>
        <v>3.25</v>
      </c>
      <c r="O86" t="str">
        <f t="shared" si="6"/>
        <v>copy localization\hint_greatershield.png E:\software\MediaInfo(获取media属性)\localization\hint_greatershield.png</v>
      </c>
      <c r="P86" t="s">
        <v>2633</v>
      </c>
    </row>
    <row r="87" spans="5:16">
      <c r="E87">
        <v>1811</v>
      </c>
      <c r="J87" s="9" t="s">
        <v>2905</v>
      </c>
      <c r="K87" s="9">
        <v>49</v>
      </c>
      <c r="L87" s="9">
        <v>13</v>
      </c>
      <c r="M87" s="9">
        <f t="shared" si="4"/>
        <v>12.25</v>
      </c>
      <c r="N87" s="9">
        <f t="shared" si="5"/>
        <v>3.25</v>
      </c>
      <c r="O87" t="str">
        <f t="shared" si="6"/>
        <v>copy localization\hint_greatertransmute.png E:\software\MediaInfo(获取media属性)\localization\hint_greatertransmute.png</v>
      </c>
      <c r="P87" t="s">
        <v>2633</v>
      </c>
    </row>
    <row r="88" spans="5:16">
      <c r="E88">
        <v>1901</v>
      </c>
      <c r="J88" s="9" t="s">
        <v>2916</v>
      </c>
      <c r="K88" s="9">
        <v>37</v>
      </c>
      <c r="L88" s="9">
        <v>13</v>
      </c>
      <c r="M88" s="9">
        <f t="shared" si="4"/>
        <v>9.25</v>
      </c>
      <c r="N88" s="9">
        <f t="shared" si="5"/>
        <v>3.25</v>
      </c>
      <c r="O88" t="str">
        <f t="shared" si="6"/>
        <v>copy localization\hint_heal.png E:\software\MediaInfo(获取media属性)\localization\hint_heal.png</v>
      </c>
      <c r="P88" t="s">
        <v>2633</v>
      </c>
    </row>
    <row r="89" spans="5:16">
      <c r="E89">
        <v>1902</v>
      </c>
      <c r="J89" s="9" t="s">
        <v>2841</v>
      </c>
      <c r="K89" s="9">
        <v>37</v>
      </c>
      <c r="L89" s="9">
        <v>13</v>
      </c>
      <c r="M89" s="9">
        <f t="shared" si="4"/>
        <v>9.25</v>
      </c>
      <c r="N89" s="9">
        <f t="shared" si="5"/>
        <v>3.25</v>
      </c>
      <c r="O89" t="str">
        <f t="shared" si="6"/>
        <v>copy localization\hint_helpme.png E:\software\MediaInfo(获取media属性)\localization\hint_helpme.png</v>
      </c>
      <c r="P89" t="s">
        <v>2633</v>
      </c>
    </row>
    <row r="90" spans="5:16">
      <c r="E90">
        <v>1903</v>
      </c>
      <c r="J90" s="9" t="s">
        <v>2840</v>
      </c>
      <c r="K90" s="9">
        <v>37</v>
      </c>
      <c r="L90" s="9">
        <v>13</v>
      </c>
      <c r="M90" s="9">
        <f t="shared" si="4"/>
        <v>9.25</v>
      </c>
      <c r="N90" s="9">
        <f t="shared" si="5"/>
        <v>3.25</v>
      </c>
      <c r="O90" t="str">
        <f t="shared" si="6"/>
        <v>copy localization\hint_immune.png E:\software\MediaInfo(获取media属性)\localization\hint_immune.png</v>
      </c>
      <c r="P90" t="s">
        <v>2633</v>
      </c>
    </row>
    <row r="91" spans="5:16">
      <c r="E91">
        <v>1904</v>
      </c>
      <c r="J91" s="9" t="s">
        <v>2878</v>
      </c>
      <c r="K91" s="9">
        <v>49</v>
      </c>
      <c r="L91" s="9">
        <v>13</v>
      </c>
      <c r="M91" s="9">
        <f t="shared" si="4"/>
        <v>12.25</v>
      </c>
      <c r="N91" s="9">
        <f t="shared" si="5"/>
        <v>3.25</v>
      </c>
      <c r="O91" t="str">
        <f t="shared" si="6"/>
        <v>copy localization\hint_infernalfire.png E:\software\MediaInfo(获取media属性)\localization\hint_infernalfire.png</v>
      </c>
      <c r="P91" t="s">
        <v>2633</v>
      </c>
    </row>
    <row r="92" spans="5:16">
      <c r="E92">
        <v>1905</v>
      </c>
      <c r="J92" s="9" t="s">
        <v>2831</v>
      </c>
      <c r="K92" s="9">
        <v>37</v>
      </c>
      <c r="L92" s="9">
        <v>13</v>
      </c>
      <c r="M92" s="9">
        <f t="shared" si="4"/>
        <v>9.25</v>
      </c>
      <c r="N92" s="9">
        <f t="shared" si="5"/>
        <v>3.25</v>
      </c>
      <c r="O92" t="str">
        <f t="shared" si="6"/>
        <v>copy localization\hint_invincible.png E:\software\MediaInfo(获取media属性)\localization\hint_invincible.png</v>
      </c>
      <c r="P92" t="s">
        <v>2633</v>
      </c>
    </row>
    <row r="93" spans="5:16">
      <c r="E93">
        <v>1906</v>
      </c>
      <c r="J93" s="9" t="s">
        <v>2836</v>
      </c>
      <c r="K93" s="9">
        <v>109</v>
      </c>
      <c r="L93" s="9">
        <v>13</v>
      </c>
      <c r="M93" s="9">
        <f t="shared" si="4"/>
        <v>27.25</v>
      </c>
      <c r="N93" s="9">
        <f t="shared" si="5"/>
        <v>3.25</v>
      </c>
      <c r="O93" t="str">
        <f t="shared" si="6"/>
        <v>copy localization\hint_invinciblenecrodancer1.png E:\software\MediaInfo(获取media属性)\localization\hint_invinciblenecrodancer1.png</v>
      </c>
      <c r="P93" t="s">
        <v>2633</v>
      </c>
    </row>
    <row r="94" spans="5:16">
      <c r="E94">
        <v>1907</v>
      </c>
      <c r="J94" s="9" t="s">
        <v>2837</v>
      </c>
      <c r="K94" s="9">
        <v>37</v>
      </c>
      <c r="L94" s="9">
        <v>13</v>
      </c>
      <c r="M94" s="9">
        <f t="shared" si="4"/>
        <v>9.25</v>
      </c>
      <c r="N94" s="9">
        <f t="shared" si="5"/>
        <v>3.25</v>
      </c>
      <c r="O94" t="str">
        <f t="shared" si="6"/>
        <v>copy localization\hint_invinciblenecrodancer2.png E:\software\MediaInfo(获取media属性)\localization\hint_invinciblenecrodancer2.png</v>
      </c>
      <c r="P94" t="s">
        <v>2633</v>
      </c>
    </row>
    <row r="95" spans="5:16">
      <c r="E95">
        <v>2001</v>
      </c>
      <c r="J95" s="9" t="s">
        <v>2879</v>
      </c>
      <c r="K95" s="9">
        <v>25</v>
      </c>
      <c r="L95" s="9">
        <v>13</v>
      </c>
      <c r="M95" s="9">
        <f t="shared" si="4"/>
        <v>6.25</v>
      </c>
      <c r="N95" s="9">
        <f t="shared" si="5"/>
        <v>3.25</v>
      </c>
      <c r="O95" t="str">
        <f t="shared" si="6"/>
        <v>copy localization\hint_lunge.png E:\software\MediaInfo(获取media属性)\localization\hint_lunge.png</v>
      </c>
      <c r="P95" t="s">
        <v>2633</v>
      </c>
    </row>
    <row r="96" spans="5:16">
      <c r="E96">
        <v>2002</v>
      </c>
      <c r="J96" s="9" t="s">
        <v>2827</v>
      </c>
      <c r="K96" s="9">
        <v>85</v>
      </c>
      <c r="L96" s="9">
        <v>13</v>
      </c>
      <c r="M96" s="9">
        <f t="shared" si="4"/>
        <v>21.25</v>
      </c>
      <c r="N96" s="9">
        <f t="shared" si="5"/>
        <v>3.25</v>
      </c>
      <c r="O96" t="str">
        <f t="shared" si="6"/>
        <v>copy localization\hint_melodyonly.png E:\software\MediaInfo(获取media属性)\localization\hint_melodyonly.png</v>
      </c>
      <c r="P96" t="s">
        <v>2633</v>
      </c>
    </row>
    <row r="97" spans="5:16">
      <c r="E97">
        <v>2003</v>
      </c>
      <c r="J97" s="9" t="s">
        <v>2866</v>
      </c>
      <c r="K97" s="9">
        <v>25</v>
      </c>
      <c r="L97" s="9">
        <v>13</v>
      </c>
      <c r="M97" s="9">
        <f t="shared" si="4"/>
        <v>6.25</v>
      </c>
      <c r="N97" s="9">
        <f t="shared" si="5"/>
        <v>3.25</v>
      </c>
      <c r="O97" t="str">
        <f t="shared" si="6"/>
        <v>copy localization\hint_need.png E:\software\MediaInfo(获取media属性)\localization\hint_need.png</v>
      </c>
      <c r="P97" t="s">
        <v>2633</v>
      </c>
    </row>
    <row r="98" spans="5:16">
      <c r="E98">
        <v>2004</v>
      </c>
      <c r="J98" s="9" t="s">
        <v>2922</v>
      </c>
      <c r="K98" s="9">
        <v>25</v>
      </c>
      <c r="L98" s="9">
        <v>13</v>
      </c>
      <c r="M98" s="9">
        <f t="shared" si="4"/>
        <v>6.25</v>
      </c>
      <c r="N98" s="9">
        <f t="shared" si="5"/>
        <v>3.25</v>
      </c>
      <c r="O98" t="str">
        <f t="shared" si="6"/>
        <v>copy localization\hint_need2.png E:\software\MediaInfo(获取media属性)\localization\hint_need2.png</v>
      </c>
      <c r="P98" t="s">
        <v>2633</v>
      </c>
    </row>
    <row r="99" spans="5:16">
      <c r="E99">
        <v>2005</v>
      </c>
      <c r="J99" s="9" t="s">
        <v>2876</v>
      </c>
      <c r="K99" s="9">
        <v>73</v>
      </c>
      <c r="L99" s="9">
        <v>13</v>
      </c>
      <c r="M99" s="9">
        <f t="shared" si="4"/>
        <v>18.25</v>
      </c>
      <c r="N99" s="9">
        <f t="shared" si="5"/>
        <v>3.25</v>
      </c>
      <c r="O99" t="str">
        <f t="shared" si="6"/>
        <v>copy localization\hint_needglasskey.png E:\software\MediaInfo(获取media属性)\localization\hint_needglasskey.png</v>
      </c>
      <c r="P99" t="s">
        <v>2633</v>
      </c>
    </row>
    <row r="100" spans="5:16">
      <c r="E100">
        <v>2006</v>
      </c>
      <c r="J100" s="9" t="s">
        <v>2877</v>
      </c>
      <c r="K100" s="9">
        <v>61</v>
      </c>
      <c r="L100" s="9">
        <v>13</v>
      </c>
      <c r="M100" s="9">
        <f t="shared" si="4"/>
        <v>15.25</v>
      </c>
      <c r="N100" s="9">
        <f t="shared" si="5"/>
        <v>3.25</v>
      </c>
      <c r="O100" t="str">
        <f t="shared" si="6"/>
        <v>copy localization\hint_needgoldkey.png E:\software\MediaInfo(获取media属性)\localization\hint_needgoldkey.png</v>
      </c>
      <c r="P100" t="s">
        <v>2633</v>
      </c>
    </row>
    <row r="101" spans="5:16">
      <c r="E101">
        <v>2007</v>
      </c>
      <c r="J101" s="9" t="s">
        <v>2865</v>
      </c>
      <c r="K101" s="9">
        <v>121</v>
      </c>
      <c r="L101" s="9">
        <v>13</v>
      </c>
      <c r="M101" s="9">
        <f t="shared" si="4"/>
        <v>30.25</v>
      </c>
      <c r="N101" s="9">
        <f t="shared" si="5"/>
        <v>3.25</v>
      </c>
      <c r="O101" t="str">
        <f t="shared" si="6"/>
        <v>copy localization\hint_noitem1.png E:\software\MediaInfo(获取media属性)\localization\hint_noitem1.png</v>
      </c>
      <c r="P101" t="s">
        <v>2633</v>
      </c>
    </row>
    <row r="102" spans="5:16">
      <c r="E102">
        <v>2008</v>
      </c>
      <c r="J102" s="9" t="s">
        <v>2871</v>
      </c>
      <c r="K102" s="9">
        <v>145</v>
      </c>
      <c r="L102" s="9">
        <v>13</v>
      </c>
      <c r="M102" s="9">
        <f t="shared" si="4"/>
        <v>36.25</v>
      </c>
      <c r="N102" s="9">
        <f t="shared" si="5"/>
        <v>3.25</v>
      </c>
      <c r="O102" t="str">
        <f t="shared" si="6"/>
        <v>copy localization\hint_noitem2.png E:\software\MediaInfo(获取media属性)\localization\hint_noitem2.png</v>
      </c>
      <c r="P102" t="s">
        <v>2633</v>
      </c>
    </row>
    <row r="103" spans="5:16">
      <c r="E103">
        <v>2009</v>
      </c>
      <c r="J103" s="9" t="s">
        <v>2842</v>
      </c>
      <c r="K103" s="9">
        <v>49</v>
      </c>
      <c r="L103" s="9">
        <v>13</v>
      </c>
      <c r="M103" s="9">
        <f t="shared" si="4"/>
        <v>12.25</v>
      </c>
      <c r="N103" s="9">
        <f t="shared" si="5"/>
        <v>3.25</v>
      </c>
      <c r="O103" t="str">
        <f t="shared" si="6"/>
        <v>copy localization\hint_npcsaved1.png E:\software\MediaInfo(获取media属性)\localization\hint_npcsaved1.png</v>
      </c>
      <c r="P103" t="s">
        <v>2633</v>
      </c>
    </row>
    <row r="104" spans="5:16">
      <c r="E104">
        <v>2010</v>
      </c>
      <c r="J104" s="9" t="s">
        <v>2846</v>
      </c>
      <c r="K104" s="9">
        <v>37</v>
      </c>
      <c r="L104" s="9">
        <v>13</v>
      </c>
      <c r="M104" s="9">
        <f t="shared" si="4"/>
        <v>9.25</v>
      </c>
      <c r="N104" s="9">
        <f t="shared" si="5"/>
        <v>3.25</v>
      </c>
      <c r="O104" t="str">
        <f t="shared" si="6"/>
        <v>copy localization\hint_npcsaved2.png E:\software\MediaInfo(获取media属性)\localization\hint_npcsaved2.png</v>
      </c>
      <c r="P104" t="s">
        <v>2633</v>
      </c>
    </row>
    <row r="105" spans="5:16">
      <c r="E105">
        <v>2011</v>
      </c>
      <c r="J105" s="9" t="s">
        <v>2898</v>
      </c>
      <c r="K105" s="9">
        <v>61</v>
      </c>
      <c r="L105" s="9">
        <v>13</v>
      </c>
      <c r="M105" s="9">
        <f t="shared" si="4"/>
        <v>15.25</v>
      </c>
      <c r="N105" s="9">
        <f t="shared" si="5"/>
        <v>3.25</v>
      </c>
      <c r="O105" t="str">
        <f t="shared" si="6"/>
        <v>copy localization\hint_oldweaponholstered.png E:\software\MediaInfo(获取media属性)\localization\hint_oldweaponholstered.png</v>
      </c>
      <c r="P105" t="s">
        <v>2633</v>
      </c>
    </row>
    <row r="106" spans="5:16">
      <c r="E106">
        <v>2012</v>
      </c>
      <c r="J106" s="9" t="s">
        <v>2880</v>
      </c>
      <c r="K106" s="9">
        <v>25</v>
      </c>
      <c r="L106" s="9">
        <v>13</v>
      </c>
      <c r="M106" s="9">
        <f t="shared" si="4"/>
        <v>6.25</v>
      </c>
      <c r="N106" s="9">
        <f t="shared" si="5"/>
        <v>3.25</v>
      </c>
      <c r="O106" t="str">
        <f t="shared" si="6"/>
        <v>copy localization\hint_pain.png E:\software\MediaInfo(获取media属性)\localization\hint_pain.png</v>
      </c>
      <c r="P106" t="s">
        <v>2633</v>
      </c>
    </row>
    <row r="107" spans="5:16">
      <c r="E107">
        <v>2013</v>
      </c>
      <c r="J107" s="9" t="s">
        <v>2833</v>
      </c>
      <c r="K107" s="9">
        <v>37</v>
      </c>
      <c r="L107" s="9">
        <v>13</v>
      </c>
      <c r="M107" s="9">
        <f t="shared" si="4"/>
        <v>9.25</v>
      </c>
      <c r="N107" s="9">
        <f t="shared" si="5"/>
        <v>3.25</v>
      </c>
      <c r="O107" t="str">
        <f t="shared" si="6"/>
        <v>copy localization\hint_parried.png E:\software\MediaInfo(获取media属性)\localization\hint_parried.png</v>
      </c>
      <c r="P107" t="s">
        <v>2633</v>
      </c>
    </row>
    <row r="108" spans="5:16">
      <c r="E108">
        <v>2014</v>
      </c>
      <c r="J108" s="9" t="s">
        <v>2882</v>
      </c>
      <c r="K108" s="9">
        <v>49</v>
      </c>
      <c r="L108" s="9">
        <v>13</v>
      </c>
      <c r="M108" s="9">
        <f t="shared" si="4"/>
        <v>12.25</v>
      </c>
      <c r="N108" s="9">
        <f t="shared" si="5"/>
        <v>3.25</v>
      </c>
      <c r="O108" t="str">
        <f t="shared" si="6"/>
        <v>copy localization\hint_potion.png E:\software\MediaInfo(获取media属性)\localization\hint_potion.png</v>
      </c>
      <c r="P108" t="s">
        <v>2633</v>
      </c>
    </row>
    <row r="109" spans="5:16">
      <c r="E109">
        <v>2015</v>
      </c>
      <c r="J109" s="9" t="s">
        <v>2889</v>
      </c>
      <c r="K109" s="9">
        <v>25</v>
      </c>
      <c r="L109" s="9">
        <v>13</v>
      </c>
      <c r="M109" s="9">
        <f t="shared" si="4"/>
        <v>6.25</v>
      </c>
      <c r="N109" s="9">
        <f t="shared" si="5"/>
        <v>3.25</v>
      </c>
      <c r="O109" t="str">
        <f t="shared" si="6"/>
        <v>copy localization\hint_protected.png E:\software\MediaInfo(获取media属性)\localization\hint_protected.png</v>
      </c>
      <c r="P109" t="s">
        <v>2633</v>
      </c>
    </row>
    <row r="110" spans="5:16">
      <c r="E110">
        <v>2016</v>
      </c>
      <c r="J110" s="9" t="s">
        <v>2900</v>
      </c>
      <c r="K110" s="9">
        <v>25</v>
      </c>
      <c r="L110" s="9">
        <v>13</v>
      </c>
      <c r="M110" s="9">
        <f t="shared" si="4"/>
        <v>6.25</v>
      </c>
      <c r="N110" s="9">
        <f t="shared" si="5"/>
        <v>3.25</v>
      </c>
      <c r="O110" t="str">
        <f t="shared" si="6"/>
        <v>copy localization\hint_purchased.png E:\software\MediaInfo(获取media属性)\localization\hint_purchased.png</v>
      </c>
      <c r="P110" t="s">
        <v>2633</v>
      </c>
    </row>
    <row r="111" spans="5:16">
      <c r="E111">
        <v>2017</v>
      </c>
      <c r="J111" s="9" t="s">
        <v>2897</v>
      </c>
      <c r="K111" s="9">
        <v>49</v>
      </c>
      <c r="L111" s="9">
        <v>13</v>
      </c>
      <c r="M111" s="9">
        <f t="shared" si="4"/>
        <v>12.25</v>
      </c>
      <c r="N111" s="9">
        <f t="shared" si="5"/>
        <v>3.25</v>
      </c>
      <c r="O111" t="str">
        <f t="shared" si="6"/>
        <v>copy localization\hint_quaffedpotion.png E:\software\MediaInfo(获取media属性)\localization\hint_quaffedpotion.png</v>
      </c>
      <c r="P111" t="s">
        <v>2633</v>
      </c>
    </row>
    <row r="112" spans="5:16">
      <c r="E112">
        <v>2018</v>
      </c>
      <c r="J112" s="9" t="s">
        <v>2903</v>
      </c>
      <c r="K112" s="9">
        <v>25</v>
      </c>
      <c r="L112" s="9">
        <v>13</v>
      </c>
      <c r="M112" s="9">
        <f t="shared" si="4"/>
        <v>6.25</v>
      </c>
      <c r="N112" s="9">
        <f t="shared" si="5"/>
        <v>3.25</v>
      </c>
      <c r="O112" t="str">
        <f t="shared" si="6"/>
        <v>copy localization\hint_quake.png E:\software\MediaInfo(获取media属性)\localization\hint_quake.png</v>
      </c>
      <c r="P112" t="s">
        <v>2633</v>
      </c>
    </row>
    <row r="113" spans="5:16">
      <c r="E113">
        <v>2019</v>
      </c>
      <c r="J113" s="9" t="s">
        <v>2891</v>
      </c>
      <c r="K113" s="9">
        <v>49</v>
      </c>
      <c r="L113" s="9">
        <v>13</v>
      </c>
      <c r="M113" s="9">
        <f t="shared" si="4"/>
        <v>12.25</v>
      </c>
      <c r="N113" s="9">
        <f t="shared" si="5"/>
        <v>3.25</v>
      </c>
      <c r="O113" t="str">
        <f t="shared" si="6"/>
        <v>copy localization\hint_ringshattered.png E:\software\MediaInfo(获取media属性)\localization\hint_ringshattered.png</v>
      </c>
      <c r="P113" t="s">
        <v>2633</v>
      </c>
    </row>
    <row r="114" spans="5:16">
      <c r="E114">
        <v>2020</v>
      </c>
      <c r="J114" s="9" t="s">
        <v>2920</v>
      </c>
      <c r="K114" s="9">
        <v>37</v>
      </c>
      <c r="L114" s="9">
        <v>13</v>
      </c>
      <c r="M114" s="9">
        <f t="shared" si="4"/>
        <v>9.25</v>
      </c>
      <c r="N114" s="9">
        <f t="shared" si="5"/>
        <v>3.25</v>
      </c>
      <c r="O114" t="str">
        <f t="shared" si="6"/>
        <v>copy localization\hint_shield.png E:\software\MediaInfo(获取media属性)\localization\hint_shield.png</v>
      </c>
      <c r="P114" t="s">
        <v>2633</v>
      </c>
    </row>
    <row r="115" spans="5:16">
      <c r="E115">
        <v>2050</v>
      </c>
      <c r="J115" s="9" t="s">
        <v>2832</v>
      </c>
      <c r="K115" s="9">
        <v>73</v>
      </c>
      <c r="L115" s="9">
        <v>13</v>
      </c>
      <c r="M115" s="9">
        <f t="shared" si="4"/>
        <v>18.25</v>
      </c>
      <c r="N115" s="9">
        <f t="shared" si="5"/>
        <v>3.25</v>
      </c>
      <c r="O115" t="str">
        <f t="shared" si="6"/>
        <v>copy localization\hint_shieldblock.png E:\software\MediaInfo(获取media属性)\localization\hint_shieldblock.png</v>
      </c>
      <c r="P115" t="s">
        <v>2633</v>
      </c>
    </row>
    <row r="116" spans="5:16">
      <c r="E116">
        <v>2051</v>
      </c>
      <c r="J116" s="9" t="s">
        <v>2890</v>
      </c>
      <c r="K116" s="9">
        <v>25</v>
      </c>
      <c r="L116" s="9">
        <v>13</v>
      </c>
      <c r="M116" s="9">
        <f t="shared" si="4"/>
        <v>6.25</v>
      </c>
      <c r="N116" s="9">
        <f t="shared" si="5"/>
        <v>3.25</v>
      </c>
      <c r="O116" t="str">
        <f t="shared" si="6"/>
        <v>copy localization\hint_shielded.png E:\software\MediaInfo(获取media属性)\localization\hint_shielded.png</v>
      </c>
      <c r="P116" t="s">
        <v>2633</v>
      </c>
    </row>
    <row r="117" spans="5:16">
      <c r="E117">
        <v>2052</v>
      </c>
      <c r="J117" s="9" t="s">
        <v>2847</v>
      </c>
      <c r="K117" s="9">
        <v>49</v>
      </c>
      <c r="L117" s="9">
        <v>13</v>
      </c>
      <c r="M117" s="9">
        <f t="shared" si="4"/>
        <v>12.25</v>
      </c>
      <c r="N117" s="9">
        <f t="shared" si="5"/>
        <v>3.25</v>
      </c>
      <c r="O117" t="str">
        <f t="shared" si="6"/>
        <v>copy localization\hint_shrineofblood1.png E:\software\MediaInfo(获取media属性)\localization\hint_shrineofblood1.png</v>
      </c>
      <c r="P117" t="s">
        <v>2633</v>
      </c>
    </row>
    <row r="118" spans="5:16">
      <c r="E118">
        <v>2053</v>
      </c>
      <c r="J118" s="9" t="s">
        <v>2859</v>
      </c>
      <c r="K118" s="9">
        <v>49</v>
      </c>
      <c r="L118" s="9">
        <v>13</v>
      </c>
      <c r="M118" s="9">
        <f t="shared" si="4"/>
        <v>12.25</v>
      </c>
      <c r="N118" s="9">
        <f t="shared" si="5"/>
        <v>3.25</v>
      </c>
      <c r="O118" t="str">
        <f t="shared" si="6"/>
        <v>copy localization\hint_shrineofchance1.png E:\software\MediaInfo(获取media属性)\localization\hint_shrineofchance1.png</v>
      </c>
      <c r="P118" t="s">
        <v>2633</v>
      </c>
    </row>
    <row r="119" spans="5:16">
      <c r="E119">
        <v>2054</v>
      </c>
      <c r="J119" s="9" t="s">
        <v>2848</v>
      </c>
      <c r="K119" s="9">
        <v>49</v>
      </c>
      <c r="L119" s="9">
        <v>13</v>
      </c>
      <c r="M119" s="9">
        <f t="shared" si="4"/>
        <v>12.25</v>
      </c>
      <c r="N119" s="9">
        <f t="shared" si="5"/>
        <v>3.25</v>
      </c>
      <c r="O119" t="str">
        <f t="shared" si="6"/>
        <v>copy localization\hint_shrineofdarkness1.png E:\software\MediaInfo(获取media属性)\localization\hint_shrineofdarkness1.png</v>
      </c>
      <c r="P119" t="s">
        <v>2633</v>
      </c>
    </row>
    <row r="120" spans="5:16">
      <c r="E120">
        <v>2055</v>
      </c>
      <c r="J120" s="9" t="s">
        <v>2849</v>
      </c>
      <c r="K120" s="9">
        <v>49</v>
      </c>
      <c r="L120" s="9">
        <v>13</v>
      </c>
      <c r="M120" s="9">
        <f t="shared" si="4"/>
        <v>12.25</v>
      </c>
      <c r="N120" s="9">
        <f t="shared" si="5"/>
        <v>3.25</v>
      </c>
      <c r="O120" t="str">
        <f t="shared" si="6"/>
        <v>copy localization\hint_shrineofglass1.png E:\software\MediaInfo(获取media属性)\localization\hint_shrineofglass1.png</v>
      </c>
      <c r="P120" t="s">
        <v>2633</v>
      </c>
    </row>
    <row r="121" spans="5:16">
      <c r="E121">
        <v>2056</v>
      </c>
      <c r="J121" s="9" t="s">
        <v>2856</v>
      </c>
      <c r="K121" s="9">
        <v>49</v>
      </c>
      <c r="L121" s="9">
        <v>13</v>
      </c>
      <c r="M121" s="9">
        <f t="shared" si="4"/>
        <v>12.25</v>
      </c>
      <c r="N121" s="9">
        <f t="shared" si="5"/>
        <v>3.25</v>
      </c>
      <c r="O121" t="str">
        <f t="shared" si="6"/>
        <v>copy localization\hint_shrineofnoreturn1.png E:\software\MediaInfo(获取media属性)\localization\hint_shrineofnoreturn1.png</v>
      </c>
      <c r="P121" t="s">
        <v>2633</v>
      </c>
    </row>
    <row r="122" spans="5:16">
      <c r="E122">
        <v>2057</v>
      </c>
      <c r="J122" s="9" t="s">
        <v>2858</v>
      </c>
      <c r="K122" s="9">
        <v>49</v>
      </c>
      <c r="L122" s="9">
        <v>13</v>
      </c>
      <c r="M122" s="9">
        <f t="shared" si="4"/>
        <v>12.25</v>
      </c>
      <c r="N122" s="9">
        <f t="shared" si="5"/>
        <v>3.25</v>
      </c>
      <c r="O122" t="str">
        <f t="shared" si="6"/>
        <v>copy localization\hint_shrineofpace1.png E:\software\MediaInfo(获取media属性)\localization\hint_shrineofpace1.png</v>
      </c>
      <c r="P122" t="s">
        <v>2633</v>
      </c>
    </row>
    <row r="123" spans="5:16">
      <c r="E123">
        <v>2058</v>
      </c>
      <c r="J123" s="9" t="s">
        <v>2850</v>
      </c>
      <c r="K123" s="9">
        <v>49</v>
      </c>
      <c r="L123" s="9">
        <v>13</v>
      </c>
      <c r="M123" s="9">
        <f t="shared" si="4"/>
        <v>12.25</v>
      </c>
      <c r="N123" s="9">
        <f t="shared" si="5"/>
        <v>3.25</v>
      </c>
      <c r="O123" t="str">
        <f t="shared" si="6"/>
        <v>copy localization\hint_shrineofpeace1.png E:\software\MediaInfo(获取media属性)\localization\hint_shrineofpeace1.png</v>
      </c>
      <c r="P123" t="s">
        <v>2633</v>
      </c>
    </row>
    <row r="124" spans="5:16">
      <c r="E124">
        <v>2059</v>
      </c>
      <c r="J124" s="9" t="s">
        <v>2857</v>
      </c>
      <c r="K124" s="9">
        <v>49</v>
      </c>
      <c r="L124" s="9">
        <v>13</v>
      </c>
      <c r="M124" s="9">
        <f t="shared" si="4"/>
        <v>12.25</v>
      </c>
      <c r="N124" s="9">
        <f t="shared" si="5"/>
        <v>3.25</v>
      </c>
      <c r="O124" t="str">
        <f t="shared" si="6"/>
        <v>copy localization\hint_shrineofphasing1.png E:\software\MediaInfo(获取media属性)\localization\hint_shrineofphasing1.png</v>
      </c>
      <c r="P124" t="s">
        <v>2633</v>
      </c>
    </row>
    <row r="125" spans="5:16">
      <c r="E125">
        <v>2060</v>
      </c>
      <c r="J125" s="9" t="s">
        <v>2851</v>
      </c>
      <c r="K125" s="9">
        <v>49</v>
      </c>
      <c r="L125" s="9">
        <v>13</v>
      </c>
      <c r="M125" s="9">
        <f t="shared" si="4"/>
        <v>12.25</v>
      </c>
      <c r="N125" s="9">
        <f t="shared" si="5"/>
        <v>3.25</v>
      </c>
      <c r="O125" t="str">
        <f t="shared" si="6"/>
        <v>copy localization\hint_shrineofrhythm1.png E:\software\MediaInfo(获取media属性)\localization\hint_shrineofrhythm1.png</v>
      </c>
      <c r="P125" t="s">
        <v>2633</v>
      </c>
    </row>
    <row r="126" spans="5:16">
      <c r="E126">
        <v>2101</v>
      </c>
      <c r="J126" s="9" t="s">
        <v>2852</v>
      </c>
      <c r="K126" s="9">
        <v>49</v>
      </c>
      <c r="L126" s="9">
        <v>13</v>
      </c>
      <c r="M126" s="9">
        <f t="shared" si="4"/>
        <v>12.25</v>
      </c>
      <c r="N126" s="9">
        <f t="shared" si="5"/>
        <v>3.25</v>
      </c>
      <c r="O126" t="str">
        <f t="shared" si="6"/>
        <v>copy localization\hint_shrineofrisk1.png E:\software\MediaInfo(获取media属性)\localization\hint_shrineofrisk1.png</v>
      </c>
      <c r="P126" t="s">
        <v>2633</v>
      </c>
    </row>
    <row r="127" spans="5:16">
      <c r="E127">
        <v>2102</v>
      </c>
      <c r="J127" s="9" t="s">
        <v>2853</v>
      </c>
      <c r="K127" s="9">
        <v>49</v>
      </c>
      <c r="L127" s="9">
        <v>13</v>
      </c>
      <c r="M127" s="9">
        <f t="shared" si="4"/>
        <v>12.25</v>
      </c>
      <c r="N127" s="9">
        <f t="shared" si="5"/>
        <v>3.25</v>
      </c>
      <c r="O127" t="str">
        <f t="shared" si="6"/>
        <v>copy localization\hint_shrineofsacrifice1.png E:\software\MediaInfo(获取media属性)\localization\hint_shrineofsacrifice1.png</v>
      </c>
      <c r="P127" t="s">
        <v>2633</v>
      </c>
    </row>
    <row r="128" spans="5:16">
      <c r="E128">
        <v>2103</v>
      </c>
      <c r="J128" s="9" t="s">
        <v>2854</v>
      </c>
      <c r="K128" s="9">
        <v>49</v>
      </c>
      <c r="L128" s="9">
        <v>13</v>
      </c>
      <c r="M128" s="9">
        <f t="shared" si="4"/>
        <v>12.25</v>
      </c>
      <c r="N128" s="9">
        <f t="shared" si="5"/>
        <v>3.25</v>
      </c>
      <c r="O128" t="str">
        <f t="shared" si="6"/>
        <v>copy localization\hint_shrineofspace1.png E:\software\MediaInfo(获取media属性)\localization\hint_shrineofspace1.png</v>
      </c>
      <c r="P128" t="s">
        <v>2633</v>
      </c>
    </row>
    <row r="129" spans="5:16">
      <c r="E129">
        <v>2104</v>
      </c>
      <c r="J129" s="9" t="s">
        <v>2855</v>
      </c>
      <c r="K129" s="9">
        <v>49</v>
      </c>
      <c r="L129" s="9">
        <v>13</v>
      </c>
      <c r="M129" s="9">
        <f t="shared" si="4"/>
        <v>12.25</v>
      </c>
      <c r="N129" s="9">
        <f t="shared" si="5"/>
        <v>3.25</v>
      </c>
      <c r="O129" t="str">
        <f t="shared" si="6"/>
        <v>copy localization\hint_shrineofwar1.png E:\software\MediaInfo(获取media属性)\localization\hint_shrineofwar1.png</v>
      </c>
      <c r="P129" t="s">
        <v>2633</v>
      </c>
    </row>
    <row r="130" spans="5:16">
      <c r="E130">
        <v>2105</v>
      </c>
      <c r="J130" s="9" t="s">
        <v>2886</v>
      </c>
      <c r="K130" s="9">
        <v>25</v>
      </c>
      <c r="L130" s="9">
        <v>13</v>
      </c>
      <c r="M130" s="9">
        <f t="shared" si="4"/>
        <v>6.25</v>
      </c>
      <c r="N130" s="9">
        <f t="shared" si="5"/>
        <v>3.25</v>
      </c>
      <c r="O130" t="str">
        <f t="shared" si="6"/>
        <v>copy localization\hint_shrunk.png E:\software\MediaInfo(获取media属性)\localization\hint_shrunk.png</v>
      </c>
      <c r="P130" t="s">
        <v>2633</v>
      </c>
    </row>
    <row r="131" spans="5:16">
      <c r="E131">
        <v>2106</v>
      </c>
      <c r="J131" s="9" t="s">
        <v>2885</v>
      </c>
      <c r="K131" s="9">
        <v>85</v>
      </c>
      <c r="L131" s="9">
        <v>13</v>
      </c>
      <c r="M131" s="9">
        <f t="shared" ref="M131:M194" si="7">0.25*K131</f>
        <v>21.25</v>
      </c>
      <c r="N131" s="9">
        <f t="shared" ref="N131:N194" si="8">L131*0.25</f>
        <v>3.25</v>
      </c>
      <c r="O131" t="str">
        <f t="shared" ref="O131:O194" si="9">"copy "&amp;SUBSTITUTE(J131,"/","\") &amp;" E:\software\MediaInfo(获取media属性)\"&amp;SUBSTITUTE(J131,"/","\")</f>
        <v>copy localization\hint_sloth.png E:\software\MediaInfo(获取media属性)\localization\hint_sloth.png</v>
      </c>
      <c r="P131" t="s">
        <v>2633</v>
      </c>
    </row>
    <row r="132" spans="5:16">
      <c r="E132">
        <v>2107</v>
      </c>
      <c r="J132" s="9" t="s">
        <v>2869</v>
      </c>
      <c r="K132" s="9">
        <v>25</v>
      </c>
      <c r="L132" s="9">
        <v>13</v>
      </c>
      <c r="M132" s="9">
        <f t="shared" si="7"/>
        <v>6.25</v>
      </c>
      <c r="N132" s="9">
        <f t="shared" si="8"/>
        <v>3.25</v>
      </c>
      <c r="O132" t="str">
        <f t="shared" si="9"/>
        <v>copy localization\hint_success.png E:\software\MediaInfo(获取media属性)\localization\hint_success.png</v>
      </c>
      <c r="P132" t="s">
        <v>2633</v>
      </c>
    </row>
    <row r="133" spans="5:16">
      <c r="E133">
        <v>2108</v>
      </c>
      <c r="J133" s="9" t="s">
        <v>2838</v>
      </c>
      <c r="K133" s="9">
        <v>49</v>
      </c>
      <c r="L133" s="9">
        <v>13</v>
      </c>
      <c r="M133" s="9">
        <f t="shared" si="7"/>
        <v>12.25</v>
      </c>
      <c r="N133" s="9">
        <f t="shared" si="8"/>
        <v>3.25</v>
      </c>
      <c r="O133" t="str">
        <f t="shared" si="9"/>
        <v>copy localization\hint_teleported.png E:\software\MediaInfo(获取media属性)\localization\hint_teleported.png</v>
      </c>
      <c r="P133" t="s">
        <v>2633</v>
      </c>
    </row>
    <row r="134" spans="5:16">
      <c r="E134">
        <v>2109</v>
      </c>
      <c r="J134" s="9" t="s">
        <v>2863</v>
      </c>
      <c r="K134" s="9">
        <v>25</v>
      </c>
      <c r="L134" s="9">
        <v>13</v>
      </c>
      <c r="M134" s="9">
        <f t="shared" si="7"/>
        <v>6.25</v>
      </c>
      <c r="N134" s="9">
        <f t="shared" si="8"/>
        <v>3.25</v>
      </c>
      <c r="O134" t="str">
        <f t="shared" si="9"/>
        <v>copy localization\hint_tempotrapdown.png E:\software\MediaInfo(获取media属性)\localization\hint_tempotrapdown.png</v>
      </c>
      <c r="P134" t="s">
        <v>2633</v>
      </c>
    </row>
    <row r="135" spans="5:16">
      <c r="E135">
        <v>2110</v>
      </c>
      <c r="J135" s="9" t="s">
        <v>2862</v>
      </c>
      <c r="K135" s="9">
        <v>25</v>
      </c>
      <c r="L135" s="9">
        <v>13</v>
      </c>
      <c r="M135" s="9">
        <f t="shared" si="7"/>
        <v>6.25</v>
      </c>
      <c r="N135" s="9">
        <f t="shared" si="8"/>
        <v>3.25</v>
      </c>
      <c r="O135" t="str">
        <f t="shared" si="9"/>
        <v>copy localization\hint_tempotrapup.png E:\software\MediaInfo(获取media属性)\localization\hint_tempotrapup.png</v>
      </c>
      <c r="P135" t="s">
        <v>2633</v>
      </c>
    </row>
    <row r="136" spans="5:16">
      <c r="E136">
        <v>2111</v>
      </c>
      <c r="J136" s="9" t="s">
        <v>2895</v>
      </c>
      <c r="K136" s="9">
        <v>85</v>
      </c>
      <c r="L136" s="9">
        <v>13</v>
      </c>
      <c r="M136" s="9">
        <f t="shared" si="7"/>
        <v>21.25</v>
      </c>
      <c r="N136" s="9">
        <f t="shared" si="8"/>
        <v>3.25</v>
      </c>
      <c r="O136" t="str">
        <f t="shared" si="9"/>
        <v>copy localization\hint_thorn.png E:\software\MediaInfo(获取media属性)\localization\hint_thorn.png</v>
      </c>
      <c r="P136" t="s">
        <v>2633</v>
      </c>
    </row>
    <row r="137" spans="5:16">
      <c r="E137">
        <v>2151</v>
      </c>
      <c r="J137" s="9" t="s">
        <v>2868</v>
      </c>
      <c r="K137" s="9">
        <v>49</v>
      </c>
      <c r="L137" s="9">
        <v>13</v>
      </c>
      <c r="M137" s="9">
        <f t="shared" si="7"/>
        <v>12.25</v>
      </c>
      <c r="N137" s="9">
        <f t="shared" si="8"/>
        <v>3.25</v>
      </c>
      <c r="O137" t="str">
        <f t="shared" si="9"/>
        <v>copy localization\hint_transmogfail.png E:\software\MediaInfo(获取media属性)\localization\hint_transmogfail.png</v>
      </c>
      <c r="P137" t="s">
        <v>2633</v>
      </c>
    </row>
    <row r="138" spans="5:16">
      <c r="E138">
        <v>2152</v>
      </c>
      <c r="J138" s="9" t="s">
        <v>2906</v>
      </c>
      <c r="K138" s="9">
        <v>25</v>
      </c>
      <c r="L138" s="9">
        <v>13</v>
      </c>
      <c r="M138" s="9">
        <f t="shared" si="7"/>
        <v>6.25</v>
      </c>
      <c r="N138" s="9">
        <f t="shared" si="8"/>
        <v>3.25</v>
      </c>
      <c r="O138" t="str">
        <f t="shared" si="9"/>
        <v>copy localization\hint_transmute.png E:\software\MediaInfo(获取media属性)\localization\hint_transmute.png</v>
      </c>
      <c r="P138" t="s">
        <v>2633</v>
      </c>
    </row>
    <row r="139" spans="5:16">
      <c r="E139">
        <v>2201</v>
      </c>
      <c r="J139" s="9" t="s">
        <v>2824</v>
      </c>
      <c r="K139" s="9">
        <v>133</v>
      </c>
      <c r="L139" s="9">
        <v>13</v>
      </c>
      <c r="M139" s="9">
        <f t="shared" si="7"/>
        <v>33.25</v>
      </c>
      <c r="N139" s="9">
        <f t="shared" si="8"/>
        <v>3.25</v>
      </c>
      <c r="O139" t="str">
        <f t="shared" si="9"/>
        <v>copy localization\hint_unlockallchars.png E:\software\MediaInfo(获取media属性)\localization\hint_unlockallchars.png</v>
      </c>
      <c r="P139" t="s">
        <v>2633</v>
      </c>
    </row>
    <row r="140" spans="5:16">
      <c r="E140">
        <v>2202</v>
      </c>
      <c r="J140" s="9" t="s">
        <v>2901</v>
      </c>
      <c r="K140" s="9">
        <v>25</v>
      </c>
      <c r="L140" s="9">
        <v>13</v>
      </c>
      <c r="M140" s="9">
        <f t="shared" si="7"/>
        <v>6.25</v>
      </c>
      <c r="N140" s="9">
        <f t="shared" si="8"/>
        <v>3.25</v>
      </c>
      <c r="O140" t="str">
        <f t="shared" si="9"/>
        <v>copy localization\hint_unlocked.png E:\software\MediaInfo(获取media属性)\localization\hint_unlocked.png</v>
      </c>
      <c r="P140" t="s">
        <v>2633</v>
      </c>
    </row>
    <row r="141" spans="5:16">
      <c r="E141">
        <v>2203</v>
      </c>
      <c r="J141" s="9" t="s">
        <v>2682</v>
      </c>
      <c r="K141" s="9">
        <v>85</v>
      </c>
      <c r="L141" s="9">
        <v>13</v>
      </c>
      <c r="M141" s="9">
        <f t="shared" si="7"/>
        <v>21.25</v>
      </c>
      <c r="N141" s="9">
        <f t="shared" si="8"/>
        <v>3.25</v>
      </c>
      <c r="O141" t="str">
        <f t="shared" si="9"/>
        <v>copy localization\hint_usewalls.png E:\software\MediaInfo(获取media属性)\localization\hint_usewalls.png</v>
      </c>
      <c r="P141" t="s">
        <v>2633</v>
      </c>
    </row>
    <row r="142" spans="5:16">
      <c r="E142">
        <v>2204</v>
      </c>
      <c r="J142" s="9" t="s">
        <v>2834</v>
      </c>
      <c r="K142" s="9">
        <v>37</v>
      </c>
      <c r="L142" s="9">
        <v>13</v>
      </c>
      <c r="M142" s="9">
        <f t="shared" si="7"/>
        <v>9.25</v>
      </c>
      <c r="N142" s="9">
        <f t="shared" si="8"/>
        <v>3.25</v>
      </c>
      <c r="O142" t="str">
        <f t="shared" si="9"/>
        <v>copy localization\hint_windspell.png E:\software\MediaInfo(获取media属性)\localization\hint_windspell.png</v>
      </c>
      <c r="P142" t="s">
        <v>2633</v>
      </c>
    </row>
    <row r="143" spans="5:16">
      <c r="E143">
        <v>2205</v>
      </c>
      <c r="J143" s="9" t="s">
        <v>2690</v>
      </c>
      <c r="K143" s="9">
        <v>37</v>
      </c>
      <c r="L143" s="9">
        <v>13</v>
      </c>
      <c r="M143" s="9">
        <f t="shared" si="7"/>
        <v>9.25</v>
      </c>
      <c r="N143" s="9">
        <f t="shared" si="8"/>
        <v>3.25</v>
      </c>
      <c r="O143" t="str">
        <f t="shared" si="9"/>
        <v>copy localization\lobby_allzones.png E:\software\MediaInfo(获取media属性)\localization\lobby_allzones.png</v>
      </c>
      <c r="P143" t="s">
        <v>2633</v>
      </c>
    </row>
    <row r="144" spans="5:16">
      <c r="E144">
        <v>2206</v>
      </c>
      <c r="J144" s="9" t="s">
        <v>2694</v>
      </c>
      <c r="K144" s="9">
        <v>61</v>
      </c>
      <c r="L144" s="9">
        <v>13</v>
      </c>
      <c r="M144" s="9">
        <f t="shared" si="7"/>
        <v>15.25</v>
      </c>
      <c r="N144" s="9">
        <f t="shared" si="8"/>
        <v>3.25</v>
      </c>
      <c r="O144" t="str">
        <f t="shared" si="9"/>
        <v>copy localization\lobby_allzonesmode.png E:\software\MediaInfo(获取media属性)\localization\lobby_allzonesmode.png</v>
      </c>
      <c r="P144" t="s">
        <v>2633</v>
      </c>
    </row>
    <row r="145" spans="5:16">
      <c r="E145">
        <v>2207</v>
      </c>
      <c r="J145" s="9" t="s">
        <v>2750</v>
      </c>
      <c r="K145" s="9">
        <v>49</v>
      </c>
      <c r="L145" s="9">
        <v>13</v>
      </c>
      <c r="M145" s="9">
        <f t="shared" si="7"/>
        <v>12.25</v>
      </c>
      <c r="N145" s="9">
        <f t="shared" si="8"/>
        <v>3.25</v>
      </c>
      <c r="O145" t="str">
        <f t="shared" si="9"/>
        <v>copy localization\lobby_back.png E:\software\MediaInfo(获取media属性)\localization\lobby_back.png</v>
      </c>
      <c r="P145" t="s">
        <v>2633</v>
      </c>
    </row>
    <row r="146" spans="5:16">
      <c r="E146">
        <v>2209</v>
      </c>
      <c r="J146" s="9" t="s">
        <v>2709</v>
      </c>
      <c r="K146" s="9">
        <v>37</v>
      </c>
      <c r="L146" s="9">
        <v>13</v>
      </c>
      <c r="M146" s="9">
        <f t="shared" si="7"/>
        <v>9.25</v>
      </c>
      <c r="N146" s="9">
        <f t="shared" si="8"/>
        <v>3.25</v>
      </c>
      <c r="O146" t="str">
        <f t="shared" si="9"/>
        <v>copy localization\lobby_beastmaster.png E:\software\MediaInfo(获取media属性)\localization\lobby_beastmaster.png</v>
      </c>
      <c r="P146" t="s">
        <v>2633</v>
      </c>
    </row>
    <row r="147" spans="5:16">
      <c r="E147">
        <v>2210</v>
      </c>
      <c r="J147" s="9" t="s">
        <v>2780</v>
      </c>
      <c r="K147" s="9">
        <v>133</v>
      </c>
      <c r="L147" s="9">
        <v>13</v>
      </c>
      <c r="M147" s="9">
        <f t="shared" si="7"/>
        <v>33.25</v>
      </c>
      <c r="N147" s="9">
        <f t="shared" si="8"/>
        <v>3.25</v>
      </c>
      <c r="O147" t="str">
        <f t="shared" si="9"/>
        <v>copy localization\lobby_beastmasterexplain1.png E:\software\MediaInfo(获取media属性)\localization\lobby_beastmasterexplain1.png</v>
      </c>
      <c r="P147" t="s">
        <v>2633</v>
      </c>
    </row>
    <row r="148" spans="5:16">
      <c r="E148">
        <v>2211</v>
      </c>
      <c r="J148" s="9" t="s">
        <v>2749</v>
      </c>
      <c r="K148" s="9">
        <v>157</v>
      </c>
      <c r="L148" s="9">
        <v>13</v>
      </c>
      <c r="M148" s="9">
        <f t="shared" si="7"/>
        <v>39.25</v>
      </c>
      <c r="N148" s="9">
        <f t="shared" si="8"/>
        <v>3.25</v>
      </c>
      <c r="O148" t="str">
        <f t="shared" si="9"/>
        <v>copy localization\lobby_beastmasterexplain2.png E:\software\MediaInfo(获取media属性)\localization\lobby_beastmasterexplain2.png</v>
      </c>
      <c r="P148" t="s">
        <v>2633</v>
      </c>
    </row>
    <row r="149" spans="5:16">
      <c r="E149">
        <v>2212</v>
      </c>
      <c r="J149" s="9" t="s">
        <v>2727</v>
      </c>
      <c r="K149" s="9">
        <v>49</v>
      </c>
      <c r="L149" s="9">
        <v>13</v>
      </c>
      <c r="M149" s="9">
        <f t="shared" si="7"/>
        <v>12.25</v>
      </c>
      <c r="N149" s="9">
        <f t="shared" si="8"/>
        <v>3.25</v>
      </c>
      <c r="O149" t="str">
        <f t="shared" si="9"/>
        <v>copy localization\lobby_bomblore.png E:\software\MediaInfo(获取media属性)\localization\lobby_bomblore.png</v>
      </c>
      <c r="P149" t="s">
        <v>2633</v>
      </c>
    </row>
    <row r="150" spans="5:16">
      <c r="E150">
        <v>2213</v>
      </c>
      <c r="J150" s="9" t="s">
        <v>2710</v>
      </c>
      <c r="K150" s="9">
        <v>49</v>
      </c>
      <c r="L150" s="9">
        <v>13</v>
      </c>
      <c r="M150" s="9">
        <f t="shared" si="7"/>
        <v>12.25</v>
      </c>
      <c r="N150" s="9">
        <f t="shared" si="8"/>
        <v>3.25</v>
      </c>
      <c r="O150" t="str">
        <f t="shared" si="9"/>
        <v>copy localization\lobby_bossmaster.png E:\software\MediaInfo(获取media属性)\localization\lobby_bossmaster.png</v>
      </c>
      <c r="P150" t="s">
        <v>2633</v>
      </c>
    </row>
    <row r="151" spans="5:16">
      <c r="E151">
        <v>2214</v>
      </c>
      <c r="J151" s="9" t="s">
        <v>2711</v>
      </c>
      <c r="K151" s="9">
        <v>133</v>
      </c>
      <c r="L151" s="9">
        <v>13</v>
      </c>
      <c r="M151" s="9">
        <f t="shared" si="7"/>
        <v>33.25</v>
      </c>
      <c r="N151" s="9">
        <f t="shared" si="8"/>
        <v>3.25</v>
      </c>
      <c r="O151" t="str">
        <f t="shared" si="9"/>
        <v>copy localization\lobby_bossmasterexplain.png E:\software\MediaInfo(获取media属性)\localization\lobby_bossmasterexplain.png</v>
      </c>
      <c r="P151" t="s">
        <v>2633</v>
      </c>
    </row>
    <row r="152" spans="5:16">
      <c r="E152">
        <v>2215</v>
      </c>
      <c r="J152" s="9" t="s">
        <v>2689</v>
      </c>
      <c r="K152" s="9">
        <v>25</v>
      </c>
      <c r="L152" s="9">
        <v>13</v>
      </c>
      <c r="M152" s="9">
        <f t="shared" si="7"/>
        <v>6.25</v>
      </c>
      <c r="N152" s="9">
        <f t="shared" si="8"/>
        <v>3.25</v>
      </c>
      <c r="O152" t="str">
        <f t="shared" si="9"/>
        <v>copy localization\lobby_character.png E:\software\MediaInfo(获取media属性)\localization\lobby_character.png</v>
      </c>
      <c r="P152" t="s">
        <v>2633</v>
      </c>
    </row>
    <row r="153" spans="5:16">
      <c r="E153">
        <v>2217</v>
      </c>
      <c r="J153" s="9" t="s">
        <v>2752</v>
      </c>
      <c r="K153" s="9">
        <v>121</v>
      </c>
      <c r="L153" s="9">
        <v>13</v>
      </c>
      <c r="M153" s="9">
        <f t="shared" si="7"/>
        <v>30.25</v>
      </c>
      <c r="N153" s="9">
        <f t="shared" si="8"/>
        <v>3.25</v>
      </c>
      <c r="O153" t="str">
        <f t="shared" si="9"/>
        <v>copy localization\lobby_chooseboss.png E:\software\MediaInfo(获取media属性)\localization\lobby_chooseboss.png</v>
      </c>
      <c r="P153" t="s">
        <v>2633</v>
      </c>
    </row>
    <row r="154" spans="5:16">
      <c r="E154">
        <v>2218</v>
      </c>
      <c r="J154" s="9" t="s">
        <v>2748</v>
      </c>
      <c r="K154" s="9">
        <v>73</v>
      </c>
      <c r="L154" s="9">
        <v>13</v>
      </c>
      <c r="M154" s="9">
        <f t="shared" si="7"/>
        <v>18.25</v>
      </c>
      <c r="N154" s="9">
        <f t="shared" si="8"/>
        <v>3.25</v>
      </c>
      <c r="O154" t="str">
        <f t="shared" si="9"/>
        <v>copy localization\lobby_chooseenemy.png E:\software\MediaInfo(获取media属性)\localization\lobby_chooseenemy.png</v>
      </c>
      <c r="P154" t="s">
        <v>2633</v>
      </c>
    </row>
    <row r="155" spans="5:16">
      <c r="E155">
        <v>2219</v>
      </c>
      <c r="J155" s="9" t="s">
        <v>2751</v>
      </c>
      <c r="K155" s="9">
        <v>145</v>
      </c>
      <c r="L155" s="9">
        <v>13</v>
      </c>
      <c r="M155" s="9">
        <f t="shared" si="7"/>
        <v>36.25</v>
      </c>
      <c r="N155" s="9">
        <f t="shared" si="8"/>
        <v>3.25</v>
      </c>
      <c r="O155" t="str">
        <f t="shared" si="9"/>
        <v>copy localization\lobby_chooseminiboss.png E:\software\MediaInfo(获取media属性)\localization\lobby_chooseminiboss.png</v>
      </c>
      <c r="P155" t="s">
        <v>2633</v>
      </c>
    </row>
    <row r="156" spans="5:16">
      <c r="E156">
        <v>2239</v>
      </c>
      <c r="J156" s="9" t="s">
        <v>2723</v>
      </c>
      <c r="K156" s="9">
        <v>25</v>
      </c>
      <c r="L156" s="9">
        <v>13</v>
      </c>
      <c r="M156" s="9">
        <f t="shared" si="7"/>
        <v>6.25</v>
      </c>
      <c r="N156" s="9">
        <f t="shared" si="8"/>
        <v>3.25</v>
      </c>
      <c r="O156" t="str">
        <f t="shared" si="9"/>
        <v>copy localization\lobby_codex.png E:\software\MediaInfo(获取media属性)\localization\lobby_codex.png</v>
      </c>
      <c r="P156" t="s">
        <v>2633</v>
      </c>
    </row>
    <row r="157" spans="5:16">
      <c r="E157">
        <v>2301</v>
      </c>
      <c r="J157" s="9" t="s">
        <v>2724</v>
      </c>
      <c r="K157" s="9">
        <v>97</v>
      </c>
      <c r="L157" s="9">
        <v>13</v>
      </c>
      <c r="M157" s="9">
        <f t="shared" si="7"/>
        <v>24.25</v>
      </c>
      <c r="N157" s="9">
        <f t="shared" si="8"/>
        <v>3.25</v>
      </c>
      <c r="O157" t="str">
        <f t="shared" si="9"/>
        <v>copy localization\lobby_codexexplain.png E:\software\MediaInfo(获取media属性)\localization\lobby_codexexplain.png</v>
      </c>
      <c r="P157" t="s">
        <v>2633</v>
      </c>
    </row>
    <row r="158" spans="5:16">
      <c r="E158">
        <v>2302</v>
      </c>
      <c r="J158" s="9" t="s">
        <v>2697</v>
      </c>
      <c r="K158" s="9">
        <v>49</v>
      </c>
      <c r="L158" s="9">
        <v>13</v>
      </c>
      <c r="M158" s="9">
        <f t="shared" si="7"/>
        <v>12.25</v>
      </c>
      <c r="N158" s="9">
        <f t="shared" si="8"/>
        <v>3.25</v>
      </c>
      <c r="O158" t="str">
        <f t="shared" si="9"/>
        <v>copy localization\lobby_dailychallenge.png E:\software\MediaInfo(获取media属性)\localization\lobby_dailychallenge.png</v>
      </c>
      <c r="P158" t="s">
        <v>2633</v>
      </c>
    </row>
    <row r="159" spans="5:16">
      <c r="E159">
        <v>2303</v>
      </c>
      <c r="J159" s="9" t="s">
        <v>2692</v>
      </c>
      <c r="K159" s="9">
        <v>61</v>
      </c>
      <c r="L159" s="9">
        <v>13</v>
      </c>
      <c r="M159" s="9">
        <f t="shared" si="7"/>
        <v>15.25</v>
      </c>
      <c r="N159" s="9">
        <f t="shared" si="8"/>
        <v>3.25</v>
      </c>
      <c r="O159" t="str">
        <f t="shared" si="9"/>
        <v>copy localization\lobby_dancepad.png E:\software\MediaInfo(获取media属性)\localization\lobby_dancepad.png</v>
      </c>
      <c r="P159" t="s">
        <v>2633</v>
      </c>
    </row>
    <row r="160" spans="5:16">
      <c r="E160">
        <v>2304</v>
      </c>
      <c r="J160" s="9" t="s">
        <v>2733</v>
      </c>
      <c r="K160" s="9">
        <v>49</v>
      </c>
      <c r="L160" s="9">
        <v>13</v>
      </c>
      <c r="M160" s="9">
        <f t="shared" si="7"/>
        <v>12.25</v>
      </c>
      <c r="N160" s="9">
        <f t="shared" si="8"/>
        <v>3.25</v>
      </c>
      <c r="O160" t="str">
        <f t="shared" si="9"/>
        <v>copy localization\lobby_diamonddealer.png E:\software\MediaInfo(获取media属性)\localization\lobby_diamonddealer.png</v>
      </c>
      <c r="P160" t="s">
        <v>2633</v>
      </c>
    </row>
    <row r="161" spans="5:16">
      <c r="E161">
        <v>2305</v>
      </c>
      <c r="J161" s="9" t="s">
        <v>2735</v>
      </c>
      <c r="K161" s="9">
        <v>145</v>
      </c>
      <c r="L161" s="9">
        <v>13</v>
      </c>
      <c r="M161" s="9">
        <f t="shared" si="7"/>
        <v>36.25</v>
      </c>
      <c r="N161" s="9">
        <f t="shared" si="8"/>
        <v>3.25</v>
      </c>
      <c r="O161" t="str">
        <f t="shared" si="9"/>
        <v>copy localization\lobby_diamonddealerexplain1.png E:\software\MediaInfo(获取media属性)\localization\lobby_diamonddealerexplain1.png</v>
      </c>
      <c r="P161" t="s">
        <v>2633</v>
      </c>
    </row>
    <row r="162" spans="5:16">
      <c r="E162">
        <v>2306</v>
      </c>
      <c r="J162" s="9" t="s">
        <v>2736</v>
      </c>
      <c r="K162" s="9">
        <v>121</v>
      </c>
      <c r="L162" s="9">
        <v>13</v>
      </c>
      <c r="M162" s="9">
        <f t="shared" si="7"/>
        <v>30.25</v>
      </c>
      <c r="N162" s="9">
        <f t="shared" si="8"/>
        <v>3.25</v>
      </c>
      <c r="O162" t="str">
        <f t="shared" si="9"/>
        <v>copy localization\lobby_diamonddealerexplain2.png E:\software\MediaInfo(获取media属性)\localization\lobby_diamonddealerexplain2.png</v>
      </c>
      <c r="P162" t="s">
        <v>2633</v>
      </c>
    </row>
    <row r="163" spans="5:16">
      <c r="E163">
        <v>2307</v>
      </c>
      <c r="J163" s="9" t="s">
        <v>2734</v>
      </c>
      <c r="K163" s="9">
        <v>139</v>
      </c>
      <c r="L163" s="9">
        <v>13</v>
      </c>
      <c r="M163" s="9">
        <f t="shared" si="7"/>
        <v>34.75</v>
      </c>
      <c r="N163" s="9">
        <f t="shared" si="8"/>
        <v>3.25</v>
      </c>
      <c r="O163" t="str">
        <f t="shared" si="9"/>
        <v>copy localization\lobby_diamonddealerhint.png E:\software\MediaInfo(获取media属性)\localization\lobby_diamonddealerhint.png</v>
      </c>
      <c r="P163" t="s">
        <v>2633</v>
      </c>
    </row>
    <row r="164" spans="5:16">
      <c r="E164">
        <v>2308</v>
      </c>
      <c r="J164" s="9" t="s">
        <v>2725</v>
      </c>
      <c r="K164" s="9">
        <v>49</v>
      </c>
      <c r="L164" s="9">
        <v>13</v>
      </c>
      <c r="M164" s="9">
        <f t="shared" si="7"/>
        <v>12.25</v>
      </c>
      <c r="N164" s="9">
        <f t="shared" si="8"/>
        <v>3.25</v>
      </c>
      <c r="O164" t="str">
        <f t="shared" si="9"/>
        <v>copy localization\lobby_dragonlore.png E:\software\MediaInfo(获取media属性)\localization\lobby_dragonlore.png</v>
      </c>
      <c r="P164" t="s">
        <v>2633</v>
      </c>
    </row>
    <row r="165" spans="5:16">
      <c r="E165">
        <v>2309</v>
      </c>
      <c r="J165" s="9" t="s">
        <v>2706</v>
      </c>
      <c r="K165" s="9">
        <v>61</v>
      </c>
      <c r="L165" s="9">
        <v>13</v>
      </c>
      <c r="M165" s="9">
        <f t="shared" si="7"/>
        <v>15.25</v>
      </c>
      <c r="N165" s="9">
        <f t="shared" si="8"/>
        <v>3.25</v>
      </c>
      <c r="O165" t="str">
        <f t="shared" si="9"/>
        <v>copy localization\lobby_dungeonmaster.png E:\software\MediaInfo(获取media属性)\localization\lobby_dungeonmaster.png</v>
      </c>
      <c r="P165" t="s">
        <v>2633</v>
      </c>
    </row>
    <row r="166" spans="5:16">
      <c r="E166">
        <v>2310</v>
      </c>
      <c r="J166" s="9" t="s">
        <v>2708</v>
      </c>
      <c r="K166" s="9">
        <v>157</v>
      </c>
      <c r="L166" s="9">
        <v>13</v>
      </c>
      <c r="M166" s="9">
        <f t="shared" si="7"/>
        <v>39.25</v>
      </c>
      <c r="N166" s="9">
        <f t="shared" si="8"/>
        <v>3.25</v>
      </c>
      <c r="O166" t="str">
        <f t="shared" si="9"/>
        <v>copy localization\lobby_dungeonmasterexplain.png E:\software\MediaInfo(获取media属性)\localization\lobby_dungeonmasterexplain.png</v>
      </c>
      <c r="P166" t="s">
        <v>2633</v>
      </c>
    </row>
    <row r="167" spans="5:16">
      <c r="E167">
        <v>2313</v>
      </c>
      <c r="J167" s="9" t="s">
        <v>2707</v>
      </c>
      <c r="K167" s="9">
        <v>139</v>
      </c>
      <c r="L167" s="9">
        <v>13</v>
      </c>
      <c r="M167" s="9">
        <f t="shared" si="7"/>
        <v>34.75</v>
      </c>
      <c r="N167" s="9">
        <f t="shared" si="8"/>
        <v>3.25</v>
      </c>
      <c r="O167" t="str">
        <f t="shared" si="9"/>
        <v>copy localization\lobby_dungeonmasterhint.png E:\software\MediaInfo(获取media属性)\localization\lobby_dungeonmasterhint.png</v>
      </c>
      <c r="P167" t="s">
        <v>2633</v>
      </c>
    </row>
    <row r="168" spans="5:16">
      <c r="E168">
        <v>2314</v>
      </c>
      <c r="J168" s="9" t="s">
        <v>2728</v>
      </c>
      <c r="K168" s="9">
        <v>85</v>
      </c>
      <c r="L168" s="9">
        <v>13</v>
      </c>
      <c r="M168" s="9">
        <f t="shared" si="7"/>
        <v>21.25</v>
      </c>
      <c r="N168" s="9">
        <f t="shared" si="8"/>
        <v>3.25</v>
      </c>
      <c r="O168" t="str">
        <f t="shared" si="9"/>
        <v>copy localization\lobby_howtogetaway.png E:\software\MediaInfo(获取media属性)\localization\lobby_howtogetaway.png</v>
      </c>
      <c r="P168" t="s">
        <v>2633</v>
      </c>
    </row>
    <row r="169" spans="5:16">
      <c r="E169">
        <v>2315</v>
      </c>
      <c r="J169" s="9" t="s">
        <v>2730</v>
      </c>
      <c r="K169" s="9">
        <v>37</v>
      </c>
      <c r="L169" s="9">
        <v>13</v>
      </c>
      <c r="M169" s="9">
        <f t="shared" si="7"/>
        <v>9.25</v>
      </c>
      <c r="N169" s="9">
        <f t="shared" si="8"/>
        <v>3.25</v>
      </c>
      <c r="O169" t="str">
        <f t="shared" si="9"/>
        <v>copy localization\lobby_janitor.png E:\software\MediaInfo(获取media属性)\localization\lobby_janitor.png</v>
      </c>
      <c r="P169" t="s">
        <v>2633</v>
      </c>
    </row>
    <row r="170" spans="5:16">
      <c r="E170">
        <v>2316</v>
      </c>
      <c r="J170" s="9" t="s">
        <v>2731</v>
      </c>
      <c r="K170" s="9">
        <v>157</v>
      </c>
      <c r="L170" s="9">
        <v>13</v>
      </c>
      <c r="M170" s="9">
        <f t="shared" si="7"/>
        <v>39.25</v>
      </c>
      <c r="N170" s="9">
        <f t="shared" si="8"/>
        <v>3.25</v>
      </c>
      <c r="O170" t="str">
        <f t="shared" si="9"/>
        <v>copy localization\lobby_janitorexplain1.png E:\software\MediaInfo(获取media属性)\localization\lobby_janitorexplain1.png</v>
      </c>
      <c r="P170" t="s">
        <v>2633</v>
      </c>
    </row>
    <row r="171" spans="5:16">
      <c r="E171">
        <v>2317</v>
      </c>
      <c r="J171" s="9" t="s">
        <v>2732</v>
      </c>
      <c r="K171" s="9">
        <v>121</v>
      </c>
      <c r="L171" s="9">
        <v>13</v>
      </c>
      <c r="M171" s="9">
        <f t="shared" si="7"/>
        <v>30.25</v>
      </c>
      <c r="N171" s="9">
        <f t="shared" si="8"/>
        <v>3.25</v>
      </c>
      <c r="O171" t="str">
        <f t="shared" si="9"/>
        <v>copy localization\lobby_janitorexplain2.png E:\software\MediaInfo(获取media属性)\localization\lobby_janitorexplain2.png</v>
      </c>
      <c r="P171" t="s">
        <v>2633</v>
      </c>
    </row>
    <row r="172" spans="5:16">
      <c r="E172">
        <v>2318</v>
      </c>
      <c r="J172" s="9" t="s">
        <v>2696</v>
      </c>
      <c r="K172" s="9">
        <v>61</v>
      </c>
      <c r="L172" s="9">
        <v>13</v>
      </c>
      <c r="M172" s="9">
        <f t="shared" si="7"/>
        <v>15.25</v>
      </c>
      <c r="N172" s="9">
        <f t="shared" si="8"/>
        <v>3.25</v>
      </c>
      <c r="O172" t="str">
        <f t="shared" si="9"/>
        <v>copy localization\lobby_leveleditor.png E:\software\MediaInfo(获取media属性)\localization\lobby_leveleditor.png</v>
      </c>
      <c r="P172" t="s">
        <v>2633</v>
      </c>
    </row>
    <row r="173" spans="5:16">
      <c r="E173">
        <v>2350</v>
      </c>
      <c r="J173" s="9" t="s">
        <v>2698</v>
      </c>
      <c r="K173" s="9">
        <v>49</v>
      </c>
      <c r="L173" s="9">
        <v>13</v>
      </c>
      <c r="M173" s="9">
        <f t="shared" si="7"/>
        <v>12.25</v>
      </c>
      <c r="N173" s="9">
        <f t="shared" si="8"/>
        <v>3.25</v>
      </c>
      <c r="O173" t="str">
        <f t="shared" si="9"/>
        <v>copy localization\lobby_localcoop.png E:\software\MediaInfo(获取media属性)\localization\lobby_localcoop.png</v>
      </c>
      <c r="P173" t="s">
        <v>2633</v>
      </c>
    </row>
    <row r="174" spans="5:16">
      <c r="E174">
        <v>2351</v>
      </c>
      <c r="J174" s="9" t="s">
        <v>2691</v>
      </c>
      <c r="K174" s="9">
        <v>25</v>
      </c>
      <c r="L174" s="9">
        <v>13</v>
      </c>
      <c r="M174" s="9">
        <f t="shared" si="7"/>
        <v>6.25</v>
      </c>
      <c r="N174" s="9">
        <f t="shared" si="8"/>
        <v>3.25</v>
      </c>
      <c r="O174" t="str">
        <f t="shared" si="9"/>
        <v>copy localization\lobby_mode.png E:\software\MediaInfo(获取media属性)\localization\lobby_mode.png</v>
      </c>
      <c r="P174" t="s">
        <v>2633</v>
      </c>
    </row>
    <row r="175" spans="5:16">
      <c r="E175">
        <v>2352</v>
      </c>
      <c r="J175" s="9" t="s">
        <v>2693</v>
      </c>
      <c r="K175" s="9">
        <v>73</v>
      </c>
      <c r="L175" s="9">
        <v>13</v>
      </c>
      <c r="M175" s="9">
        <f t="shared" si="7"/>
        <v>18.25</v>
      </c>
      <c r="N175" s="9">
        <f t="shared" si="8"/>
        <v>3.25</v>
      </c>
      <c r="O175" t="str">
        <f t="shared" si="9"/>
        <v>copy localization\lobby_modeeasier.png E:\software\MediaInfo(获取media属性)\localization\lobby_modeeasier.png</v>
      </c>
      <c r="P175" t="s">
        <v>2633</v>
      </c>
    </row>
    <row r="176" spans="5:16">
      <c r="E176">
        <v>2353</v>
      </c>
      <c r="J176" s="9" t="s">
        <v>2695</v>
      </c>
      <c r="K176" s="9">
        <v>73</v>
      </c>
      <c r="L176" s="9">
        <v>13</v>
      </c>
      <c r="M176" s="9">
        <f t="shared" si="7"/>
        <v>18.25</v>
      </c>
      <c r="N176" s="9">
        <f t="shared" si="8"/>
        <v>3.25</v>
      </c>
      <c r="O176" t="str">
        <f t="shared" si="9"/>
        <v>copy localization\lobby_seeded.png E:\software\MediaInfo(获取media属性)\localization\lobby_seeded.png</v>
      </c>
      <c r="P176" t="s">
        <v>2633</v>
      </c>
    </row>
    <row r="177" spans="5:16">
      <c r="E177">
        <v>2354</v>
      </c>
      <c r="J177" s="9" t="s">
        <v>2688</v>
      </c>
      <c r="K177" s="9">
        <v>25</v>
      </c>
      <c r="L177" s="9">
        <v>13</v>
      </c>
      <c r="M177" s="9">
        <f t="shared" si="7"/>
        <v>6.25</v>
      </c>
      <c r="N177" s="9">
        <f t="shared" si="8"/>
        <v>3.25</v>
      </c>
      <c r="O177" t="str">
        <f t="shared" si="9"/>
        <v>copy localization\lobby_select.png E:\software\MediaInfo(获取media属性)\localization\lobby_select.png</v>
      </c>
      <c r="P177" t="s">
        <v>2633</v>
      </c>
    </row>
    <row r="178" spans="5:16">
      <c r="E178">
        <v>2401</v>
      </c>
      <c r="J178" s="9" t="s">
        <v>2699</v>
      </c>
      <c r="K178" s="9">
        <v>49</v>
      </c>
      <c r="L178" s="9">
        <v>13</v>
      </c>
      <c r="M178" s="9">
        <f t="shared" si="7"/>
        <v>12.25</v>
      </c>
      <c r="N178" s="9">
        <f t="shared" si="8"/>
        <v>3.25</v>
      </c>
      <c r="O178" t="str">
        <f t="shared" si="9"/>
        <v>copy localization\lobby_singleplayer.png E:\software\MediaInfo(获取media属性)\localization\lobby_singleplayer.png</v>
      </c>
      <c r="P178" t="s">
        <v>2633</v>
      </c>
    </row>
    <row r="179" spans="5:16">
      <c r="E179">
        <v>2500</v>
      </c>
      <c r="J179" s="9" t="s">
        <v>2726</v>
      </c>
      <c r="K179" s="9">
        <v>49</v>
      </c>
      <c r="L179" s="9">
        <v>13</v>
      </c>
      <c r="M179" s="9">
        <f t="shared" si="7"/>
        <v>12.25</v>
      </c>
      <c r="N179" s="9">
        <f t="shared" si="8"/>
        <v>3.25</v>
      </c>
      <c r="O179" t="str">
        <f t="shared" si="9"/>
        <v>copy localization\lobby_traplore.png E:\software\MediaInfo(获取media属性)\localization\lobby_traplore.png</v>
      </c>
      <c r="P179" t="s">
        <v>2633</v>
      </c>
    </row>
    <row r="180" spans="5:16">
      <c r="E180">
        <v>2508</v>
      </c>
      <c r="J180" s="9" t="s">
        <v>2683</v>
      </c>
      <c r="K180" s="9">
        <v>25</v>
      </c>
      <c r="L180" s="9">
        <v>13</v>
      </c>
      <c r="M180" s="9">
        <f t="shared" si="7"/>
        <v>6.25</v>
      </c>
      <c r="N180" s="9">
        <f t="shared" si="8"/>
        <v>3.25</v>
      </c>
      <c r="O180" t="str">
        <f t="shared" si="9"/>
        <v>copy localization\lobby_tutorial.png E:\software\MediaInfo(获取media属性)\localization\lobby_tutorial.png</v>
      </c>
      <c r="P180" t="s">
        <v>2633</v>
      </c>
    </row>
    <row r="181" spans="5:16">
      <c r="E181">
        <v>2509</v>
      </c>
      <c r="J181" s="9" t="s">
        <v>2717</v>
      </c>
      <c r="K181" s="9">
        <v>25</v>
      </c>
      <c r="L181" s="9">
        <v>13</v>
      </c>
      <c r="M181" s="9">
        <f t="shared" si="7"/>
        <v>6.25</v>
      </c>
      <c r="N181" s="9">
        <f t="shared" si="8"/>
        <v>3.25</v>
      </c>
      <c r="O181" t="str">
        <f t="shared" si="9"/>
        <v>copy localization\lobby_weaponbase.png E:\software\MediaInfo(获取media属性)\localization\lobby_weaponbase.png</v>
      </c>
      <c r="P181" t="s">
        <v>2633</v>
      </c>
    </row>
    <row r="182" spans="5:16">
      <c r="E182">
        <v>2510</v>
      </c>
      <c r="J182" s="9" t="s">
        <v>2720</v>
      </c>
      <c r="K182" s="9">
        <v>25</v>
      </c>
      <c r="L182" s="9">
        <v>13</v>
      </c>
      <c r="M182" s="9">
        <f t="shared" si="7"/>
        <v>6.25</v>
      </c>
      <c r="N182" s="9">
        <f t="shared" si="8"/>
        <v>3.25</v>
      </c>
      <c r="O182" t="str">
        <f t="shared" si="9"/>
        <v>copy localization\lobby_weaponblood.png E:\software\MediaInfo(获取media属性)\localization\lobby_weaponblood.png</v>
      </c>
      <c r="P182" t="s">
        <v>2633</v>
      </c>
    </row>
    <row r="183" spans="5:16">
      <c r="E183">
        <v>2511</v>
      </c>
      <c r="J183" s="9" t="s">
        <v>2719</v>
      </c>
      <c r="K183" s="9">
        <v>25</v>
      </c>
      <c r="L183" s="9">
        <v>13</v>
      </c>
      <c r="M183" s="9">
        <f t="shared" si="7"/>
        <v>6.25</v>
      </c>
      <c r="N183" s="9">
        <f t="shared" si="8"/>
        <v>3.25</v>
      </c>
      <c r="O183" t="str">
        <f t="shared" si="9"/>
        <v>copy localization\lobby_weaponglass.png E:\software\MediaInfo(获取media属性)\localization\lobby_weaponglass.png</v>
      </c>
      <c r="P183" t="s">
        <v>2633</v>
      </c>
    </row>
    <row r="184" spans="5:16">
      <c r="E184">
        <v>2512</v>
      </c>
      <c r="J184" s="9" t="s">
        <v>2718</v>
      </c>
      <c r="K184" s="9">
        <v>25</v>
      </c>
      <c r="L184" s="9">
        <v>13</v>
      </c>
      <c r="M184" s="9">
        <f t="shared" si="7"/>
        <v>6.25</v>
      </c>
      <c r="N184" s="9">
        <f t="shared" si="8"/>
        <v>3.25</v>
      </c>
      <c r="O184" t="str">
        <f t="shared" si="9"/>
        <v>copy localization\lobby_weapongold.png E:\software\MediaInfo(获取media属性)\localization\lobby_weapongold.png</v>
      </c>
      <c r="P184" t="s">
        <v>2633</v>
      </c>
    </row>
    <row r="185" spans="5:16">
      <c r="E185">
        <v>2513</v>
      </c>
      <c r="J185" s="9" t="s">
        <v>2714</v>
      </c>
      <c r="K185" s="9">
        <v>49</v>
      </c>
      <c r="L185" s="9">
        <v>13</v>
      </c>
      <c r="M185" s="9">
        <f t="shared" si="7"/>
        <v>12.25</v>
      </c>
      <c r="N185" s="9">
        <f t="shared" si="8"/>
        <v>3.25</v>
      </c>
      <c r="O185" t="str">
        <f t="shared" si="9"/>
        <v>copy localization\lobby_weaponmaster.png E:\software\MediaInfo(获取media属性)\localization\lobby_weaponmaster.png</v>
      </c>
      <c r="P185" t="s">
        <v>2633</v>
      </c>
    </row>
    <row r="186" spans="5:16">
      <c r="E186">
        <v>2514</v>
      </c>
      <c r="J186" s="9" t="s">
        <v>2715</v>
      </c>
      <c r="K186" s="9">
        <v>115</v>
      </c>
      <c r="L186" s="9">
        <v>13</v>
      </c>
      <c r="M186" s="9">
        <f t="shared" si="7"/>
        <v>28.75</v>
      </c>
      <c r="N186" s="9">
        <f t="shared" si="8"/>
        <v>3.25</v>
      </c>
      <c r="O186" t="str">
        <f t="shared" si="9"/>
        <v>copy localization\lobby_weaponmasterhint.png E:\software\MediaInfo(获取media属性)\localization\lobby_weaponmasterhint.png</v>
      </c>
      <c r="P186" t="s">
        <v>2633</v>
      </c>
    </row>
    <row r="187" spans="5:16">
      <c r="E187">
        <v>2515</v>
      </c>
      <c r="J187" s="9" t="s">
        <v>2721</v>
      </c>
      <c r="K187" s="9">
        <v>37</v>
      </c>
      <c r="L187" s="9">
        <v>13</v>
      </c>
      <c r="M187" s="9">
        <f t="shared" si="7"/>
        <v>9.25</v>
      </c>
      <c r="N187" s="9">
        <f t="shared" si="8"/>
        <v>3.25</v>
      </c>
      <c r="O187" t="str">
        <f t="shared" si="9"/>
        <v>copy localization\lobby_weaponobsidian.png E:\software\MediaInfo(获取media属性)\localization\lobby_weaponobsidian.png</v>
      </c>
      <c r="P187" t="s">
        <v>2633</v>
      </c>
    </row>
    <row r="188" spans="5:16">
      <c r="E188">
        <v>2516</v>
      </c>
      <c r="J188" s="9" t="s">
        <v>2722</v>
      </c>
      <c r="K188" s="9">
        <v>25</v>
      </c>
      <c r="L188" s="9">
        <v>13</v>
      </c>
      <c r="M188" s="9">
        <f t="shared" si="7"/>
        <v>6.25</v>
      </c>
      <c r="N188" s="9">
        <f t="shared" si="8"/>
        <v>3.25</v>
      </c>
      <c r="O188" t="str">
        <f t="shared" si="9"/>
        <v>copy localization\lobby_weapontitanium.png E:\software\MediaInfo(获取media属性)\localization\lobby_weapontitanium.png</v>
      </c>
      <c r="P188" t="s">
        <v>2633</v>
      </c>
    </row>
    <row r="189" spans="5:16">
      <c r="E189">
        <v>2517</v>
      </c>
      <c r="J189" s="9" t="s">
        <v>2729</v>
      </c>
      <c r="K189" s="9">
        <v>37</v>
      </c>
      <c r="L189" s="9">
        <v>13</v>
      </c>
      <c r="M189" s="9">
        <f t="shared" si="7"/>
        <v>9.25</v>
      </c>
      <c r="N189" s="9">
        <f t="shared" si="8"/>
        <v>3.25</v>
      </c>
      <c r="O189" t="str">
        <f t="shared" si="9"/>
        <v>copy localization\lobby_withmurder.png E:\software\MediaInfo(获取media属性)\localization\lobby_withmurder.png</v>
      </c>
      <c r="P189" t="s">
        <v>2633</v>
      </c>
    </row>
    <row r="190" spans="5:16">
      <c r="E190">
        <v>2518</v>
      </c>
      <c r="J190" s="9" t="s">
        <v>2684</v>
      </c>
      <c r="K190" s="9">
        <v>31</v>
      </c>
      <c r="L190" s="9">
        <v>13</v>
      </c>
      <c r="M190" s="9">
        <f t="shared" si="7"/>
        <v>7.75</v>
      </c>
      <c r="N190" s="9">
        <f t="shared" si="8"/>
        <v>3.25</v>
      </c>
      <c r="O190" t="str">
        <f t="shared" si="9"/>
        <v>copy localization\lobby_zone1.png E:\software\MediaInfo(获取media属性)\localization\lobby_zone1.png</v>
      </c>
      <c r="P190" t="s">
        <v>2633</v>
      </c>
    </row>
    <row r="191" spans="5:16">
      <c r="E191">
        <v>2519</v>
      </c>
      <c r="J191" s="9" t="s">
        <v>2700</v>
      </c>
      <c r="K191" s="9">
        <v>121</v>
      </c>
      <c r="L191" s="9">
        <v>13</v>
      </c>
      <c r="M191" s="9">
        <f t="shared" si="7"/>
        <v>30.25</v>
      </c>
      <c r="N191" s="9">
        <f t="shared" si="8"/>
        <v>3.25</v>
      </c>
      <c r="O191" t="str">
        <f t="shared" si="9"/>
        <v>copy localization\lobby_zone1complete.png E:\software\MediaInfo(获取media属性)\localization\lobby_zone1complete.png</v>
      </c>
      <c r="P191" t="s">
        <v>2633</v>
      </c>
    </row>
    <row r="192" spans="5:16">
      <c r="E192">
        <v>2520</v>
      </c>
      <c r="J192" s="9" t="s">
        <v>2685</v>
      </c>
      <c r="K192" s="9">
        <v>31</v>
      </c>
      <c r="L192" s="9">
        <v>13</v>
      </c>
      <c r="M192" s="9">
        <f t="shared" si="7"/>
        <v>7.75</v>
      </c>
      <c r="N192" s="9">
        <f t="shared" si="8"/>
        <v>3.25</v>
      </c>
      <c r="O192" t="str">
        <f t="shared" si="9"/>
        <v>copy localization\lobby_zone2.png E:\software\MediaInfo(获取media属性)\localization\lobby_zone2.png</v>
      </c>
      <c r="P192" t="s">
        <v>2633</v>
      </c>
    </row>
    <row r="193" spans="5:16">
      <c r="E193">
        <v>2521</v>
      </c>
      <c r="J193" s="9" t="s">
        <v>2701</v>
      </c>
      <c r="K193" s="9">
        <v>121</v>
      </c>
      <c r="L193" s="9">
        <v>13</v>
      </c>
      <c r="M193" s="9">
        <f t="shared" si="7"/>
        <v>30.25</v>
      </c>
      <c r="N193" s="9">
        <f t="shared" si="8"/>
        <v>3.25</v>
      </c>
      <c r="O193" t="str">
        <f t="shared" si="9"/>
        <v>copy localization\lobby_zone2complete.png E:\software\MediaInfo(获取media属性)\localization\lobby_zone2complete.png</v>
      </c>
      <c r="P193" t="s">
        <v>2633</v>
      </c>
    </row>
    <row r="194" spans="5:16">
      <c r="E194">
        <v>2522</v>
      </c>
      <c r="J194" s="9" t="s">
        <v>2705</v>
      </c>
      <c r="K194" s="9">
        <v>121</v>
      </c>
      <c r="L194" s="9">
        <v>13</v>
      </c>
      <c r="M194" s="9">
        <f t="shared" si="7"/>
        <v>30.25</v>
      </c>
      <c r="N194" s="9">
        <f t="shared" si="8"/>
        <v>3.25</v>
      </c>
      <c r="O194" t="str">
        <f t="shared" si="9"/>
        <v>copy localization\lobby_zone2complete_aria.png E:\software\MediaInfo(获取media属性)\localization\lobby_zone2complete_aria.png</v>
      </c>
      <c r="P194" t="s">
        <v>2633</v>
      </c>
    </row>
    <row r="195" spans="5:16">
      <c r="E195">
        <v>2523</v>
      </c>
      <c r="J195" s="9" t="s">
        <v>2686</v>
      </c>
      <c r="K195" s="9">
        <v>31</v>
      </c>
      <c r="L195" s="9">
        <v>13</v>
      </c>
      <c r="M195" s="9">
        <f t="shared" ref="M195:M258" si="10">0.25*K195</f>
        <v>7.75</v>
      </c>
      <c r="N195" s="9">
        <f t="shared" ref="N195:N258" si="11">L195*0.25</f>
        <v>3.25</v>
      </c>
      <c r="O195" t="str">
        <f t="shared" ref="O195:O258" si="12">"copy "&amp;SUBSTITUTE(J195,"/","\") &amp;" E:\software\MediaInfo(获取media属性)\"&amp;SUBSTITUTE(J195,"/","\")</f>
        <v>copy localization\lobby_zone3.png E:\software\MediaInfo(获取media属性)\localization\lobby_zone3.png</v>
      </c>
      <c r="P195" t="s">
        <v>2633</v>
      </c>
    </row>
    <row r="196" spans="5:16">
      <c r="E196">
        <v>2524</v>
      </c>
      <c r="J196" s="9" t="s">
        <v>2702</v>
      </c>
      <c r="K196" s="9">
        <v>121</v>
      </c>
      <c r="L196" s="9">
        <v>13</v>
      </c>
      <c r="M196" s="9">
        <f t="shared" si="10"/>
        <v>30.25</v>
      </c>
      <c r="N196" s="9">
        <f t="shared" si="11"/>
        <v>3.25</v>
      </c>
      <c r="O196" t="str">
        <f t="shared" si="12"/>
        <v>copy localization\lobby_zone3complete.png E:\software\MediaInfo(获取media属性)\localization\lobby_zone3complete.png</v>
      </c>
      <c r="P196" t="s">
        <v>2633</v>
      </c>
    </row>
    <row r="197" spans="5:16">
      <c r="E197">
        <v>2525</v>
      </c>
      <c r="J197" s="9" t="s">
        <v>2704</v>
      </c>
      <c r="K197" s="9">
        <v>121</v>
      </c>
      <c r="L197" s="9">
        <v>13</v>
      </c>
      <c r="M197" s="9">
        <f t="shared" si="10"/>
        <v>30.25</v>
      </c>
      <c r="N197" s="9">
        <f t="shared" si="11"/>
        <v>3.25</v>
      </c>
      <c r="O197" t="str">
        <f t="shared" si="12"/>
        <v>copy localization\lobby_zone3complete_aria.png E:\software\MediaInfo(获取media属性)\localization\lobby_zone3complete_aria.png</v>
      </c>
      <c r="P197" t="s">
        <v>2633</v>
      </c>
    </row>
    <row r="198" spans="5:16">
      <c r="E198">
        <v>2526</v>
      </c>
      <c r="J198" s="9" t="s">
        <v>2687</v>
      </c>
      <c r="K198" s="9">
        <v>31</v>
      </c>
      <c r="L198" s="9">
        <v>13</v>
      </c>
      <c r="M198" s="9">
        <f t="shared" si="10"/>
        <v>7.75</v>
      </c>
      <c r="N198" s="9">
        <f t="shared" si="11"/>
        <v>3.25</v>
      </c>
      <c r="O198" t="str">
        <f t="shared" si="12"/>
        <v>copy localization\lobby_zone4.png E:\software\MediaInfo(获取media属性)\localization\lobby_zone4.png</v>
      </c>
      <c r="P198" t="s">
        <v>2633</v>
      </c>
    </row>
    <row r="199" spans="5:16">
      <c r="E199">
        <v>2527</v>
      </c>
      <c r="J199" s="9" t="s">
        <v>2703</v>
      </c>
      <c r="K199" s="9">
        <v>121</v>
      </c>
      <c r="L199" s="9">
        <v>13</v>
      </c>
      <c r="M199" s="9">
        <f t="shared" si="10"/>
        <v>30.25</v>
      </c>
      <c r="N199" s="9">
        <f t="shared" si="11"/>
        <v>3.25</v>
      </c>
      <c r="O199" t="str">
        <f t="shared" si="12"/>
        <v>copy localization\lobby_zone4complete_aria.png E:\software\MediaInfo(获取media属性)\localization\lobby_zone4complete_aria.png</v>
      </c>
      <c r="P199" t="s">
        <v>2633</v>
      </c>
    </row>
    <row r="200" spans="5:16">
      <c r="E200">
        <v>2528</v>
      </c>
      <c r="J200" s="9" t="s">
        <v>2755</v>
      </c>
      <c r="K200" s="9">
        <v>109</v>
      </c>
      <c r="L200" s="9">
        <v>13</v>
      </c>
      <c r="M200" s="9">
        <f t="shared" si="10"/>
        <v>27.25</v>
      </c>
      <c r="N200" s="9">
        <f t="shared" si="11"/>
        <v>3.25</v>
      </c>
      <c r="O200" t="str">
        <f t="shared" si="12"/>
        <v>copy localization\shop_conjurer.png E:\software\MediaInfo(获取media属性)\localization\shop_conjurer.png</v>
      </c>
      <c r="P200" t="s">
        <v>2633</v>
      </c>
    </row>
    <row r="201" spans="5:16">
      <c r="E201">
        <v>2529</v>
      </c>
      <c r="J201" s="9" t="s">
        <v>2757</v>
      </c>
      <c r="K201" s="9">
        <v>61</v>
      </c>
      <c r="L201" s="9">
        <v>13</v>
      </c>
      <c r="M201" s="9">
        <f t="shared" si="10"/>
        <v>15.25</v>
      </c>
      <c r="N201" s="9">
        <f t="shared" si="11"/>
        <v>3.25</v>
      </c>
      <c r="O201" t="str">
        <f t="shared" si="12"/>
        <v>copy localization\shop_pawnbroker.png E:\software\MediaInfo(获取media属性)\localization\shop_pawnbroker.png</v>
      </c>
      <c r="P201" t="s">
        <v>2633</v>
      </c>
    </row>
    <row r="202" spans="5:16">
      <c r="E202">
        <v>2530</v>
      </c>
      <c r="J202" s="9" t="s">
        <v>2756</v>
      </c>
      <c r="K202" s="9">
        <v>61</v>
      </c>
      <c r="L202" s="9">
        <v>13</v>
      </c>
      <c r="M202" s="9">
        <f t="shared" si="10"/>
        <v>15.25</v>
      </c>
      <c r="N202" s="9">
        <f t="shared" si="11"/>
        <v>3.25</v>
      </c>
      <c r="O202" t="str">
        <f t="shared" si="12"/>
        <v>copy localization\shop_shriner.png E:\software\MediaInfo(获取media属性)\localization\shop_shriner.png</v>
      </c>
      <c r="P202" t="s">
        <v>2633</v>
      </c>
    </row>
    <row r="203" spans="5:16">
      <c r="E203">
        <v>2531</v>
      </c>
      <c r="J203" s="9" t="s">
        <v>2754</v>
      </c>
      <c r="K203" s="9">
        <v>109</v>
      </c>
      <c r="L203" s="9">
        <v>13</v>
      </c>
      <c r="M203" s="9">
        <f t="shared" si="10"/>
        <v>27.25</v>
      </c>
      <c r="N203" s="9">
        <f t="shared" si="11"/>
        <v>3.25</v>
      </c>
      <c r="O203" t="str">
        <f t="shared" si="12"/>
        <v>copy localization\shop_transmog.png E:\software\MediaInfo(获取media属性)\localization\shop_transmog.png</v>
      </c>
      <c r="P203" t="s">
        <v>2633</v>
      </c>
    </row>
    <row r="204" spans="5:16">
      <c r="E204">
        <v>2532</v>
      </c>
      <c r="J204" s="9" t="s">
        <v>3746</v>
      </c>
      <c r="K204" s="9">
        <v>49</v>
      </c>
      <c r="L204" s="9">
        <v>13</v>
      </c>
      <c r="M204" s="9">
        <f t="shared" si="10"/>
        <v>12.25</v>
      </c>
      <c r="N204" s="9">
        <f t="shared" si="11"/>
        <v>3.25</v>
      </c>
      <c r="O204" t="str">
        <f t="shared" si="12"/>
        <v>copy localization\training_apprenticeblademaster2.png E:\software\MediaInfo(获取media属性)\localization\training_apprenticeblademaster2.png</v>
      </c>
      <c r="P204" t="s">
        <v>2633</v>
      </c>
    </row>
    <row r="205" spans="5:16">
      <c r="E205">
        <v>2533</v>
      </c>
      <c r="J205" s="9" t="s">
        <v>3703</v>
      </c>
      <c r="K205" s="9">
        <v>25</v>
      </c>
      <c r="L205" s="9">
        <v>13</v>
      </c>
      <c r="M205" s="9">
        <f t="shared" si="10"/>
        <v>6.25</v>
      </c>
      <c r="N205" s="9">
        <f t="shared" si="11"/>
        <v>3.25</v>
      </c>
      <c r="O205" t="str">
        <f t="shared" si="12"/>
        <v>copy localization\training_armadillo.png E:\software\MediaInfo(获取media属性)\localization\training_armadillo.png</v>
      </c>
      <c r="P205" t="s">
        <v>2633</v>
      </c>
    </row>
    <row r="206" spans="5:16">
      <c r="E206">
        <v>2534</v>
      </c>
      <c r="J206" s="9" t="s">
        <v>3688</v>
      </c>
      <c r="K206" s="9">
        <v>49</v>
      </c>
      <c r="L206" s="9">
        <v>13</v>
      </c>
      <c r="M206" s="9">
        <f t="shared" si="10"/>
        <v>12.25</v>
      </c>
      <c r="N206" s="9">
        <f t="shared" si="11"/>
        <v>3.25</v>
      </c>
      <c r="O206" t="str">
        <f t="shared" si="12"/>
        <v>copy localization\training_armoredskeleton2.png E:\software\MediaInfo(获取media属性)\localization\training_armoredskeleton2.png</v>
      </c>
      <c r="P206" t="s">
        <v>2633</v>
      </c>
    </row>
    <row r="207" spans="5:16">
      <c r="E207">
        <v>2535</v>
      </c>
      <c r="J207" s="9" t="s">
        <v>3765</v>
      </c>
      <c r="K207" s="9">
        <v>25</v>
      </c>
      <c r="L207" s="9">
        <v>13</v>
      </c>
      <c r="M207" s="9">
        <f t="shared" si="10"/>
        <v>6.25</v>
      </c>
      <c r="N207" s="9">
        <f t="shared" si="11"/>
        <v>3.25</v>
      </c>
      <c r="O207" t="str">
        <f t="shared" si="12"/>
        <v>copy localization\training_banshee.png E:\software\MediaInfo(获取media属性)\localization\training_banshee.png</v>
      </c>
      <c r="P207" t="s">
        <v>2633</v>
      </c>
    </row>
    <row r="208" spans="5:16">
      <c r="E208">
        <v>2536</v>
      </c>
      <c r="J208" s="9" t="s">
        <v>3678</v>
      </c>
      <c r="K208" s="9">
        <v>25</v>
      </c>
      <c r="L208" s="9">
        <v>13</v>
      </c>
      <c r="M208" s="9">
        <f t="shared" si="10"/>
        <v>6.25</v>
      </c>
      <c r="N208" s="9">
        <f t="shared" si="11"/>
        <v>3.25</v>
      </c>
      <c r="O208" t="str">
        <f t="shared" si="12"/>
        <v>copy localization\training_bat.png E:\software\MediaInfo(获取media属性)\localization\training_bat.png</v>
      </c>
      <c r="P208" t="s">
        <v>2633</v>
      </c>
    </row>
    <row r="209" spans="5:16">
      <c r="E209">
        <v>2537</v>
      </c>
      <c r="J209" s="9" t="s">
        <v>3692</v>
      </c>
      <c r="K209" s="9">
        <v>73</v>
      </c>
      <c r="L209" s="9">
        <v>13</v>
      </c>
      <c r="M209" s="9">
        <f t="shared" si="10"/>
        <v>18.25</v>
      </c>
      <c r="N209" s="9">
        <f t="shared" si="11"/>
        <v>3.25</v>
      </c>
      <c r="O209" t="str">
        <f t="shared" si="12"/>
        <v>copy localization\training_blackarmoredskeleton2.png E:\software\MediaInfo(获取media属性)\localization\training_blackarmoredskeleton2.png</v>
      </c>
      <c r="P209" t="s">
        <v>2633</v>
      </c>
    </row>
    <row r="210" spans="5:16">
      <c r="E210">
        <v>2538</v>
      </c>
      <c r="J210" s="9" t="s">
        <v>3755</v>
      </c>
      <c r="K210" s="9">
        <v>49</v>
      </c>
      <c r="L210" s="9">
        <v>13</v>
      </c>
      <c r="M210" s="9">
        <f t="shared" si="10"/>
        <v>12.25</v>
      </c>
      <c r="N210" s="9">
        <f t="shared" si="11"/>
        <v>3.25</v>
      </c>
      <c r="O210" t="str">
        <f t="shared" si="12"/>
        <v>copy localization\training_blackbat.png E:\software\MediaInfo(获取media属性)\localization\training_blackbat.png</v>
      </c>
      <c r="P210" t="s">
        <v>2633</v>
      </c>
    </row>
    <row r="211" spans="5:16">
      <c r="E211">
        <v>2539</v>
      </c>
      <c r="J211" s="9" t="s">
        <v>3738</v>
      </c>
      <c r="K211" s="9">
        <v>37</v>
      </c>
      <c r="L211" s="9">
        <v>13</v>
      </c>
      <c r="M211" s="9">
        <f t="shared" si="10"/>
        <v>9.25</v>
      </c>
      <c r="N211" s="9">
        <f t="shared" si="11"/>
        <v>3.25</v>
      </c>
      <c r="O211" t="str">
        <f t="shared" si="12"/>
        <v>copy localization\training_blacklich.png E:\software\MediaInfo(获取media属性)\localization\training_blacklich.png</v>
      </c>
      <c r="P211" t="s">
        <v>2633</v>
      </c>
    </row>
    <row r="212" spans="5:16">
      <c r="E212">
        <v>2540</v>
      </c>
      <c r="J212" s="9" t="s">
        <v>3735</v>
      </c>
      <c r="K212" s="9">
        <v>49</v>
      </c>
      <c r="L212" s="9">
        <v>13</v>
      </c>
      <c r="M212" s="9">
        <f t="shared" si="10"/>
        <v>12.25</v>
      </c>
      <c r="N212" s="9">
        <f t="shared" si="11"/>
        <v>3.25</v>
      </c>
      <c r="O212" t="str">
        <f t="shared" si="12"/>
        <v>copy localization\training_blacksarcophagus2.png E:\software\MediaInfo(获取media属性)\localization\training_blacksarcophagus2.png</v>
      </c>
      <c r="P212" t="s">
        <v>2633</v>
      </c>
    </row>
    <row r="213" spans="5:16">
      <c r="E213">
        <v>2541</v>
      </c>
      <c r="J213" s="9" t="s">
        <v>3677</v>
      </c>
      <c r="K213" s="9">
        <v>37</v>
      </c>
      <c r="L213" s="9">
        <v>13</v>
      </c>
      <c r="M213" s="9">
        <f t="shared" si="10"/>
        <v>9.25</v>
      </c>
      <c r="N213" s="9">
        <f t="shared" si="11"/>
        <v>3.25</v>
      </c>
      <c r="O213" t="str">
        <f t="shared" si="12"/>
        <v>copy localization\training_blackskeleton.png E:\software\MediaInfo(获取media属性)\localization\training_blackskeleton.png</v>
      </c>
      <c r="P213" t="s">
        <v>2633</v>
      </c>
    </row>
    <row r="214" spans="5:16">
      <c r="E214">
        <v>2542</v>
      </c>
      <c r="J214" s="9" t="s">
        <v>3716</v>
      </c>
      <c r="K214" s="9">
        <v>73</v>
      </c>
      <c r="L214" s="9">
        <v>13</v>
      </c>
      <c r="M214" s="9">
        <f t="shared" si="10"/>
        <v>18.25</v>
      </c>
      <c r="N214" s="9">
        <f t="shared" si="11"/>
        <v>3.25</v>
      </c>
      <c r="O214" t="str">
        <f t="shared" si="12"/>
        <v>copy localization\training_blackskeletonknight2.png E:\software\MediaInfo(获取media属性)\localization\training_blackskeletonknight2.png</v>
      </c>
      <c r="P214" t="s">
        <v>2633</v>
      </c>
    </row>
    <row r="215" spans="5:16">
      <c r="E215">
        <v>2543</v>
      </c>
      <c r="J215" s="9" t="s">
        <v>3697</v>
      </c>
      <c r="K215" s="9">
        <v>73</v>
      </c>
      <c r="L215" s="9">
        <v>13</v>
      </c>
      <c r="M215" s="9">
        <f t="shared" si="10"/>
        <v>18.25</v>
      </c>
      <c r="N215" s="9">
        <f t="shared" si="11"/>
        <v>3.25</v>
      </c>
      <c r="O215" t="str">
        <f t="shared" si="12"/>
        <v>copy localization\training_blackskeletonmage2.png E:\software\MediaInfo(获取media属性)\localization\training_blackskeletonmage2.png</v>
      </c>
      <c r="P215" t="s">
        <v>2633</v>
      </c>
    </row>
    <row r="216" spans="5:16">
      <c r="E216">
        <v>2544</v>
      </c>
      <c r="J216" s="9" t="s">
        <v>3747</v>
      </c>
      <c r="K216" s="9">
        <v>49</v>
      </c>
      <c r="L216" s="9">
        <v>13</v>
      </c>
      <c r="M216" s="9">
        <f t="shared" si="10"/>
        <v>12.25</v>
      </c>
      <c r="N216" s="9">
        <f t="shared" si="11"/>
        <v>3.25</v>
      </c>
      <c r="O216" t="str">
        <f t="shared" si="12"/>
        <v>copy localization\training_blademaster.png E:\software\MediaInfo(获取media属性)\localization\training_blademaster.png</v>
      </c>
      <c r="P216" t="s">
        <v>2633</v>
      </c>
    </row>
    <row r="217" spans="5:16">
      <c r="E217">
        <v>2545</v>
      </c>
      <c r="J217" s="9" t="s">
        <v>3771</v>
      </c>
      <c r="K217" s="9">
        <v>49</v>
      </c>
      <c r="L217" s="9">
        <v>13</v>
      </c>
      <c r="M217" s="9">
        <f t="shared" si="10"/>
        <v>12.25</v>
      </c>
      <c r="N217" s="9">
        <f t="shared" si="11"/>
        <v>3.25</v>
      </c>
      <c r="O217" t="str">
        <f t="shared" si="12"/>
        <v>copy localization\training_bloodnightmare.png E:\software\MediaInfo(获取media属性)\localization\training_bloodnightmare.png</v>
      </c>
      <c r="P217" t="s">
        <v>2633</v>
      </c>
    </row>
    <row r="218" spans="5:16">
      <c r="E218">
        <v>2546</v>
      </c>
      <c r="J218" s="9" t="s">
        <v>3764</v>
      </c>
      <c r="K218" s="9">
        <v>25</v>
      </c>
      <c r="L218" s="9">
        <v>13</v>
      </c>
      <c r="M218" s="9">
        <f t="shared" si="10"/>
        <v>6.25</v>
      </c>
      <c r="N218" s="9">
        <f t="shared" si="11"/>
        <v>3.25</v>
      </c>
      <c r="O218" t="str">
        <f t="shared" si="12"/>
        <v>copy localization\training_bluedragon.png E:\software\MediaInfo(获取media属性)\localization\training_bluedragon.png</v>
      </c>
      <c r="P218" t="s">
        <v>2633</v>
      </c>
    </row>
    <row r="219" spans="5:16">
      <c r="E219">
        <v>2547</v>
      </c>
      <c r="J219" s="9" t="s">
        <v>3673</v>
      </c>
      <c r="K219" s="9">
        <v>49</v>
      </c>
      <c r="L219" s="9">
        <v>13</v>
      </c>
      <c r="M219" s="9">
        <f t="shared" si="10"/>
        <v>12.25</v>
      </c>
      <c r="N219" s="9">
        <f t="shared" si="11"/>
        <v>3.25</v>
      </c>
      <c r="O219" t="str">
        <f t="shared" si="12"/>
        <v>copy localization\training_blueslime.png E:\software\MediaInfo(获取media属性)\localization\training_blueslime.png</v>
      </c>
      <c r="P219" t="s">
        <v>2633</v>
      </c>
    </row>
    <row r="220" spans="5:16">
      <c r="E220">
        <v>2548</v>
      </c>
      <c r="J220" s="9" t="s">
        <v>3730</v>
      </c>
      <c r="K220" s="9">
        <v>37</v>
      </c>
      <c r="L220" s="9">
        <v>13</v>
      </c>
      <c r="M220" s="9">
        <f t="shared" si="10"/>
        <v>9.25</v>
      </c>
      <c r="N220" s="9">
        <f t="shared" si="11"/>
        <v>3.25</v>
      </c>
      <c r="O220" t="str">
        <f t="shared" si="12"/>
        <v>copy localization\training_cauldronmimic.png E:\software\MediaInfo(获取media属性)\localization\training_cauldronmimic.png</v>
      </c>
      <c r="P220" t="s">
        <v>2633</v>
      </c>
    </row>
    <row r="221" spans="5:16">
      <c r="E221">
        <v>2549</v>
      </c>
      <c r="J221" s="9" t="s">
        <v>3686</v>
      </c>
      <c r="K221" s="9">
        <v>37</v>
      </c>
      <c r="L221" s="9">
        <v>13</v>
      </c>
      <c r="M221" s="9">
        <f t="shared" si="10"/>
        <v>9.25</v>
      </c>
      <c r="N221" s="9">
        <f t="shared" si="11"/>
        <v>3.25</v>
      </c>
      <c r="O221" t="str">
        <f t="shared" si="12"/>
        <v>copy localization\training_chestmimic.png E:\software\MediaInfo(获取media属性)\localization\training_chestmimic.png</v>
      </c>
      <c r="P221" t="s">
        <v>2633</v>
      </c>
    </row>
    <row r="222" spans="5:16">
      <c r="E222">
        <v>2550</v>
      </c>
      <c r="J222" s="9" t="s">
        <v>3705</v>
      </c>
      <c r="K222" s="9">
        <v>37</v>
      </c>
      <c r="L222" s="9">
        <v>13</v>
      </c>
      <c r="M222" s="9">
        <f t="shared" si="10"/>
        <v>9.25</v>
      </c>
      <c r="N222" s="9">
        <f t="shared" si="11"/>
        <v>3.25</v>
      </c>
      <c r="O222" t="str">
        <f t="shared" si="12"/>
        <v>copy localization\training_clone.png E:\software\MediaInfo(获取media属性)\localization\training_clone.png</v>
      </c>
      <c r="P222" t="s">
        <v>2633</v>
      </c>
    </row>
    <row r="223" spans="5:16">
      <c r="E223">
        <v>2551</v>
      </c>
      <c r="J223" s="9" t="s">
        <v>3786</v>
      </c>
      <c r="K223" s="9">
        <v>61</v>
      </c>
      <c r="L223" s="9">
        <v>13</v>
      </c>
      <c r="M223" s="9">
        <f t="shared" si="10"/>
        <v>15.25</v>
      </c>
      <c r="N223" s="9">
        <f t="shared" si="11"/>
        <v>3.25</v>
      </c>
      <c r="O223" t="str">
        <f t="shared" si="12"/>
        <v>copy localization\training_coralriff1.png E:\software\MediaInfo(获取media属性)\localization\training_coralriff1.png</v>
      </c>
      <c r="P223" t="s">
        <v>2633</v>
      </c>
    </row>
    <row r="224" spans="5:16">
      <c r="E224">
        <v>2552</v>
      </c>
      <c r="J224" s="9" t="s">
        <v>3787</v>
      </c>
      <c r="K224" s="9">
        <v>61</v>
      </c>
      <c r="L224" s="9">
        <v>13</v>
      </c>
      <c r="M224" s="9">
        <f t="shared" si="10"/>
        <v>15.25</v>
      </c>
      <c r="N224" s="9">
        <f t="shared" si="11"/>
        <v>3.25</v>
      </c>
      <c r="O224" t="str">
        <f t="shared" si="12"/>
        <v>copy localization\training_coralriff2.png E:\software\MediaInfo(获取media属性)\localization\training_coralriff2.png</v>
      </c>
      <c r="P224" t="s">
        <v>2633</v>
      </c>
    </row>
    <row r="225" spans="5:16">
      <c r="E225">
        <v>2553</v>
      </c>
      <c r="J225" s="9" t="s">
        <v>3788</v>
      </c>
      <c r="K225" s="9">
        <v>61</v>
      </c>
      <c r="L225" s="9">
        <v>13</v>
      </c>
      <c r="M225" s="9">
        <f t="shared" si="10"/>
        <v>15.25</v>
      </c>
      <c r="N225" s="9">
        <f t="shared" si="11"/>
        <v>3.25</v>
      </c>
      <c r="O225" t="str">
        <f t="shared" si="12"/>
        <v>copy localization\training_coralriff3.png E:\software\MediaInfo(获取media属性)\localization\training_coralriff3.png</v>
      </c>
      <c r="P225" t="s">
        <v>2633</v>
      </c>
    </row>
    <row r="226" spans="5:16">
      <c r="E226">
        <v>2554</v>
      </c>
      <c r="J226" s="9" t="s">
        <v>3789</v>
      </c>
      <c r="K226" s="9">
        <v>61</v>
      </c>
      <c r="L226" s="9">
        <v>13</v>
      </c>
      <c r="M226" s="9">
        <f t="shared" si="10"/>
        <v>15.25</v>
      </c>
      <c r="N226" s="9">
        <f t="shared" si="11"/>
        <v>3.25</v>
      </c>
      <c r="O226" t="str">
        <f t="shared" si="12"/>
        <v>copy localization\training_coralriff4.png E:\software\MediaInfo(获取media属性)\localization\training_coralriff4.png</v>
      </c>
      <c r="P226" t="s">
        <v>2633</v>
      </c>
    </row>
    <row r="227" spans="5:16">
      <c r="E227">
        <v>2555</v>
      </c>
      <c r="J227" s="9" t="s">
        <v>3702</v>
      </c>
      <c r="K227" s="9">
        <v>61</v>
      </c>
      <c r="L227" s="9">
        <v>13</v>
      </c>
      <c r="M227" s="9">
        <f t="shared" si="10"/>
        <v>15.25</v>
      </c>
      <c r="N227" s="9">
        <f t="shared" si="11"/>
        <v>3.25</v>
      </c>
      <c r="O227" t="str">
        <f t="shared" si="12"/>
        <v>copy localization\training_darkgolem.png E:\software\MediaInfo(获取media属性)\localization\training_darkgolem.png</v>
      </c>
      <c r="P227" t="s">
        <v>2633</v>
      </c>
    </row>
    <row r="228" spans="5:16">
      <c r="E228">
        <v>2556</v>
      </c>
      <c r="J228" s="9" t="s">
        <v>3790</v>
      </c>
      <c r="K228" s="9">
        <v>49</v>
      </c>
      <c r="L228" s="9">
        <v>13</v>
      </c>
      <c r="M228" s="9">
        <f t="shared" si="10"/>
        <v>12.25</v>
      </c>
      <c r="N228" s="9">
        <f t="shared" si="11"/>
        <v>3.25</v>
      </c>
      <c r="O228" t="str">
        <f t="shared" si="12"/>
        <v>copy localization\training_deadringer.png E:\software\MediaInfo(获取media属性)\localization\training_deadringer.png</v>
      </c>
      <c r="P228" t="s">
        <v>2633</v>
      </c>
    </row>
    <row r="229" spans="5:16">
      <c r="E229">
        <v>2557</v>
      </c>
      <c r="J229" s="9" t="s">
        <v>3778</v>
      </c>
      <c r="K229" s="9">
        <v>61</v>
      </c>
      <c r="L229" s="9">
        <v>13</v>
      </c>
      <c r="M229" s="9">
        <f t="shared" si="10"/>
        <v>15.25</v>
      </c>
      <c r="N229" s="9">
        <f t="shared" si="11"/>
        <v>3.25</v>
      </c>
      <c r="O229" t="str">
        <f t="shared" si="12"/>
        <v>copy localization\training_deathmetal1.png E:\software\MediaInfo(获取media属性)\localization\training_deathmetal1.png</v>
      </c>
      <c r="P229" t="s">
        <v>2633</v>
      </c>
    </row>
    <row r="230" spans="5:16">
      <c r="E230">
        <v>2558</v>
      </c>
      <c r="J230" s="9" t="s">
        <v>3779</v>
      </c>
      <c r="K230" s="9">
        <v>61</v>
      </c>
      <c r="L230" s="9">
        <v>13</v>
      </c>
      <c r="M230" s="9">
        <f t="shared" si="10"/>
        <v>15.25</v>
      </c>
      <c r="N230" s="9">
        <f t="shared" si="11"/>
        <v>3.25</v>
      </c>
      <c r="O230" t="str">
        <f t="shared" si="12"/>
        <v>copy localization\training_deathmetal2.png E:\software\MediaInfo(获取media属性)\localization\training_deathmetal2.png</v>
      </c>
      <c r="P230" t="s">
        <v>2633</v>
      </c>
    </row>
    <row r="231" spans="5:16">
      <c r="E231">
        <v>2559</v>
      </c>
      <c r="J231" s="9" t="s">
        <v>3780</v>
      </c>
      <c r="K231" s="9">
        <v>61</v>
      </c>
      <c r="L231" s="9">
        <v>13</v>
      </c>
      <c r="M231" s="9">
        <f t="shared" si="10"/>
        <v>15.25</v>
      </c>
      <c r="N231" s="9">
        <f t="shared" si="11"/>
        <v>3.25</v>
      </c>
      <c r="O231" t="str">
        <f t="shared" si="12"/>
        <v>copy localization\training_deathmetal3.png E:\software\MediaInfo(获取media属性)\localization\training_deathmetal3.png</v>
      </c>
      <c r="P231" t="s">
        <v>2633</v>
      </c>
    </row>
    <row r="232" spans="5:16">
      <c r="E232">
        <v>2560</v>
      </c>
      <c r="J232" s="9" t="s">
        <v>3781</v>
      </c>
      <c r="K232" s="9">
        <v>61</v>
      </c>
      <c r="L232" s="9">
        <v>13</v>
      </c>
      <c r="M232" s="9">
        <f t="shared" si="10"/>
        <v>15.25</v>
      </c>
      <c r="N232" s="9">
        <f t="shared" si="11"/>
        <v>3.25</v>
      </c>
      <c r="O232" t="str">
        <f t="shared" si="12"/>
        <v>copy localization\training_deathmetal4.png E:\software\MediaInfo(获取media属性)\localization\training_deathmetal4.png</v>
      </c>
      <c r="P232" t="s">
        <v>2633</v>
      </c>
    </row>
    <row r="233" spans="5:16">
      <c r="E233">
        <v>2561</v>
      </c>
      <c r="J233" s="9" t="s">
        <v>3782</v>
      </c>
      <c r="K233" s="9">
        <v>61</v>
      </c>
      <c r="L233" s="9">
        <v>13</v>
      </c>
      <c r="M233" s="9">
        <f t="shared" si="10"/>
        <v>15.25</v>
      </c>
      <c r="N233" s="9">
        <f t="shared" si="11"/>
        <v>3.25</v>
      </c>
      <c r="O233" t="str">
        <f t="shared" si="12"/>
        <v>copy localization\training_deepblues1.png E:\software\MediaInfo(获取media属性)\localization\training_deepblues1.png</v>
      </c>
      <c r="P233" t="s">
        <v>2633</v>
      </c>
    </row>
    <row r="234" spans="5:16">
      <c r="E234">
        <v>2562</v>
      </c>
      <c r="J234" s="9" t="s">
        <v>3783</v>
      </c>
      <c r="K234" s="9">
        <v>61</v>
      </c>
      <c r="L234" s="9">
        <v>13</v>
      </c>
      <c r="M234" s="9">
        <f t="shared" si="10"/>
        <v>15.25</v>
      </c>
      <c r="N234" s="9">
        <f t="shared" si="11"/>
        <v>3.25</v>
      </c>
      <c r="O234" t="str">
        <f t="shared" si="12"/>
        <v>copy localization\training_deepblues2.png E:\software\MediaInfo(获取media属性)\localization\training_deepblues2.png</v>
      </c>
      <c r="P234" t="s">
        <v>2633</v>
      </c>
    </row>
    <row r="235" spans="5:16">
      <c r="E235">
        <v>2563</v>
      </c>
      <c r="J235" s="9" t="s">
        <v>3784</v>
      </c>
      <c r="K235" s="9">
        <v>61</v>
      </c>
      <c r="L235" s="9">
        <v>13</v>
      </c>
      <c r="M235" s="9">
        <f t="shared" si="10"/>
        <v>15.25</v>
      </c>
      <c r="N235" s="9">
        <f t="shared" si="11"/>
        <v>3.25</v>
      </c>
      <c r="O235" t="str">
        <f t="shared" si="12"/>
        <v>copy localization\training_deepblues3.png E:\software\MediaInfo(获取media属性)\localization\training_deepblues3.png</v>
      </c>
      <c r="P235" t="s">
        <v>2633</v>
      </c>
    </row>
    <row r="236" spans="5:16">
      <c r="E236">
        <v>2564</v>
      </c>
      <c r="J236" s="9" t="s">
        <v>3785</v>
      </c>
      <c r="K236" s="9">
        <v>61</v>
      </c>
      <c r="L236" s="9">
        <v>13</v>
      </c>
      <c r="M236" s="9">
        <f t="shared" si="10"/>
        <v>15.25</v>
      </c>
      <c r="N236" s="9">
        <f t="shared" si="11"/>
        <v>3.25</v>
      </c>
      <c r="O236" t="str">
        <f t="shared" si="12"/>
        <v>copy localization\training_deepblues4.png E:\software\MediaInfo(获取media属性)\localization\training_deepblues4.png</v>
      </c>
      <c r="P236" t="s">
        <v>2633</v>
      </c>
    </row>
    <row r="237" spans="5:16">
      <c r="E237">
        <v>2565</v>
      </c>
      <c r="J237" s="9" t="s">
        <v>3760</v>
      </c>
      <c r="K237" s="9">
        <v>49</v>
      </c>
      <c r="L237" s="9">
        <v>13</v>
      </c>
      <c r="M237" s="9">
        <f t="shared" si="10"/>
        <v>12.25</v>
      </c>
      <c r="N237" s="9">
        <f t="shared" si="11"/>
        <v>3.25</v>
      </c>
      <c r="O237" t="str">
        <f t="shared" si="12"/>
        <v>copy localization\training_direbat.png E:\software\MediaInfo(获取media属性)\localization\training_direbat.png</v>
      </c>
      <c r="P237" t="s">
        <v>2633</v>
      </c>
    </row>
    <row r="238" spans="5:16">
      <c r="E238">
        <v>2566</v>
      </c>
      <c r="J238" s="9" t="s">
        <v>3722</v>
      </c>
      <c r="K238" s="9">
        <v>37</v>
      </c>
      <c r="L238" s="9">
        <v>13</v>
      </c>
      <c r="M238" s="9">
        <f t="shared" si="10"/>
        <v>9.25</v>
      </c>
      <c r="N238" s="9">
        <f t="shared" si="11"/>
        <v>3.25</v>
      </c>
      <c r="O238" t="str">
        <f t="shared" si="12"/>
        <v>copy localization\training_firebeetle.png E:\software\MediaInfo(获取media属性)\localization\training_firebeetle.png</v>
      </c>
      <c r="P238" t="s">
        <v>2633</v>
      </c>
    </row>
    <row r="239" spans="5:16">
      <c r="E239">
        <v>2567</v>
      </c>
      <c r="J239" s="9" t="s">
        <v>3717</v>
      </c>
      <c r="K239" s="9">
        <v>37</v>
      </c>
      <c r="L239" s="9">
        <v>13</v>
      </c>
      <c r="M239" s="9">
        <f t="shared" si="10"/>
        <v>9.25</v>
      </c>
      <c r="N239" s="9">
        <f t="shared" si="11"/>
        <v>3.25</v>
      </c>
      <c r="O239" t="str">
        <f t="shared" si="12"/>
        <v>copy localization\training_fireelemental.png E:\software\MediaInfo(获取media属性)\localization\training_fireelemental.png</v>
      </c>
      <c r="P239" t="s">
        <v>2633</v>
      </c>
    </row>
    <row r="240" spans="5:16">
      <c r="E240">
        <v>2568</v>
      </c>
      <c r="J240" s="9" t="s">
        <v>3710</v>
      </c>
      <c r="K240" s="9">
        <v>61</v>
      </c>
      <c r="L240" s="9">
        <v>13</v>
      </c>
      <c r="M240" s="9">
        <f t="shared" si="10"/>
        <v>15.25</v>
      </c>
      <c r="N240" s="9">
        <f t="shared" si="11"/>
        <v>3.25</v>
      </c>
      <c r="O240" t="str">
        <f t="shared" si="12"/>
        <v>copy localization\training_fireslime.png E:\software\MediaInfo(获取media属性)\localization\training_fireslime.png</v>
      </c>
      <c r="P240" t="s">
        <v>2633</v>
      </c>
    </row>
    <row r="241" spans="5:16">
      <c r="E241">
        <v>2569</v>
      </c>
      <c r="J241" s="9" t="s">
        <v>3729</v>
      </c>
      <c r="K241" s="9">
        <v>25</v>
      </c>
      <c r="L241" s="9">
        <v>13</v>
      </c>
      <c r="M241" s="9">
        <f t="shared" si="10"/>
        <v>6.25</v>
      </c>
      <c r="N241" s="9">
        <f t="shared" si="11"/>
        <v>3.25</v>
      </c>
      <c r="O241" t="str">
        <f t="shared" si="12"/>
        <v>copy localization\training_ghast.png E:\software\MediaInfo(获取media属性)\localization\training_ghast.png</v>
      </c>
      <c r="P241" t="s">
        <v>2633</v>
      </c>
    </row>
    <row r="242" spans="5:16">
      <c r="E242">
        <v>2570</v>
      </c>
      <c r="J242" s="9" t="s">
        <v>3683</v>
      </c>
      <c r="K242" s="9">
        <v>25</v>
      </c>
      <c r="L242" s="9">
        <v>13</v>
      </c>
      <c r="M242" s="9">
        <f t="shared" si="10"/>
        <v>6.25</v>
      </c>
      <c r="N242" s="9">
        <f t="shared" si="11"/>
        <v>3.25</v>
      </c>
      <c r="O242" t="str">
        <f t="shared" si="12"/>
        <v>copy localization\training_ghost.png E:\software\MediaInfo(获取media属性)\localization\training_ghost.png</v>
      </c>
      <c r="P242" t="s">
        <v>2633</v>
      </c>
    </row>
    <row r="243" spans="5:16">
      <c r="E243">
        <v>2571</v>
      </c>
      <c r="J243" s="9" t="s">
        <v>3758</v>
      </c>
      <c r="K243" s="9">
        <v>25</v>
      </c>
      <c r="L243" s="9">
        <v>13</v>
      </c>
      <c r="M243" s="9">
        <f t="shared" si="10"/>
        <v>6.25</v>
      </c>
      <c r="N243" s="9">
        <f t="shared" si="11"/>
        <v>3.25</v>
      </c>
      <c r="O243" t="str">
        <f t="shared" si="12"/>
        <v>copy localization\training_ghoul.png E:\software\MediaInfo(获取media属性)\localization\training_ghoul.png</v>
      </c>
      <c r="P243" t="s">
        <v>2633</v>
      </c>
    </row>
    <row r="244" spans="5:16">
      <c r="E244">
        <v>2572</v>
      </c>
      <c r="J244" s="9" t="s">
        <v>3719</v>
      </c>
      <c r="K244" s="9">
        <v>61</v>
      </c>
      <c r="L244" s="9">
        <v>13</v>
      </c>
      <c r="M244" s="9">
        <f t="shared" si="10"/>
        <v>15.25</v>
      </c>
      <c r="N244" s="9">
        <f t="shared" si="11"/>
        <v>3.25</v>
      </c>
      <c r="O244" t="str">
        <f t="shared" si="12"/>
        <v>copy localization\training_goblin.png E:\software\MediaInfo(获取media属性)\localization\training_goblin.png</v>
      </c>
      <c r="P244" t="s">
        <v>2633</v>
      </c>
    </row>
    <row r="245" spans="5:16">
      <c r="E245">
        <v>2573</v>
      </c>
      <c r="J245" s="9" t="s">
        <v>3750</v>
      </c>
      <c r="K245" s="9">
        <v>73</v>
      </c>
      <c r="L245" s="9">
        <v>13</v>
      </c>
      <c r="M245" s="9">
        <f t="shared" si="10"/>
        <v>18.25</v>
      </c>
      <c r="N245" s="9">
        <f t="shared" si="11"/>
        <v>3.25</v>
      </c>
      <c r="O245" t="str">
        <f t="shared" si="12"/>
        <v>copy localization\training_goblinbomber2.png E:\software\MediaInfo(获取media属性)\localization\training_goblinbomber2.png</v>
      </c>
      <c r="P245" t="s">
        <v>2633</v>
      </c>
    </row>
    <row r="246" spans="5:16">
      <c r="E246">
        <v>2574</v>
      </c>
      <c r="J246" s="9" t="s">
        <v>3753</v>
      </c>
      <c r="K246" s="9">
        <v>61</v>
      </c>
      <c r="L246" s="9">
        <v>13</v>
      </c>
      <c r="M246" s="9">
        <f t="shared" si="10"/>
        <v>15.25</v>
      </c>
      <c r="N246" s="9">
        <f t="shared" si="11"/>
        <v>3.25</v>
      </c>
      <c r="O246" t="str">
        <f t="shared" si="12"/>
        <v>copy localization\training_goblinsentry2.png E:\software\MediaInfo(获取media属性)\localization\training_goblinsentry2.png</v>
      </c>
      <c r="P246" t="s">
        <v>2633</v>
      </c>
    </row>
    <row r="247" spans="5:16">
      <c r="E247">
        <v>2575</v>
      </c>
      <c r="J247" s="9" t="s">
        <v>3795</v>
      </c>
      <c r="K247" s="9">
        <v>61</v>
      </c>
      <c r="L247" s="9">
        <v>13</v>
      </c>
      <c r="M247" s="9">
        <f t="shared" si="10"/>
        <v>15.25</v>
      </c>
      <c r="N247" s="9">
        <f t="shared" si="11"/>
        <v>3.25</v>
      </c>
      <c r="O247" t="str">
        <f t="shared" si="12"/>
        <v>copy localization\training_goldenlute.png E:\software\MediaInfo(获取media属性)\localization\training_goldenlute.png</v>
      </c>
      <c r="P247" t="s">
        <v>2633</v>
      </c>
    </row>
    <row r="248" spans="5:16">
      <c r="E248">
        <v>2576</v>
      </c>
      <c r="J248" s="9" t="s">
        <v>3701</v>
      </c>
      <c r="K248" s="9">
        <v>37</v>
      </c>
      <c r="L248" s="9">
        <v>13</v>
      </c>
      <c r="M248" s="9">
        <f t="shared" si="10"/>
        <v>9.25</v>
      </c>
      <c r="N248" s="9">
        <f t="shared" si="11"/>
        <v>3.25</v>
      </c>
      <c r="O248" t="str">
        <f t="shared" si="12"/>
        <v>copy localization\training_golem.png E:\software\MediaInfo(获取media属性)\localization\training_golem.png</v>
      </c>
      <c r="P248" t="s">
        <v>2633</v>
      </c>
    </row>
    <row r="249" spans="5:16">
      <c r="E249">
        <v>2577</v>
      </c>
      <c r="J249" s="9" t="s">
        <v>3761</v>
      </c>
      <c r="K249" s="9">
        <v>73</v>
      </c>
      <c r="L249" s="9">
        <v>13</v>
      </c>
      <c r="M249" s="9">
        <f t="shared" si="10"/>
        <v>18.25</v>
      </c>
      <c r="N249" s="9">
        <f t="shared" si="11"/>
        <v>3.25</v>
      </c>
      <c r="O249" t="str">
        <f t="shared" si="12"/>
        <v>copy localization\training_graydirebat.png E:\software\MediaInfo(获取media属性)\localization\training_graydirebat.png</v>
      </c>
      <c r="P249" t="s">
        <v>2633</v>
      </c>
    </row>
    <row r="250" spans="5:16">
      <c r="E250">
        <v>2578</v>
      </c>
      <c r="J250" s="9" t="s">
        <v>3721</v>
      </c>
      <c r="K250" s="9">
        <v>61</v>
      </c>
      <c r="L250" s="9">
        <v>13</v>
      </c>
      <c r="M250" s="9">
        <f t="shared" si="10"/>
        <v>15.25</v>
      </c>
      <c r="N250" s="9">
        <f t="shared" si="11"/>
        <v>3.25</v>
      </c>
      <c r="O250" t="str">
        <f t="shared" si="12"/>
        <v>copy localization\training_graygoblin2.png E:\software\MediaInfo(获取media属性)\localization\training_graygoblin2.png</v>
      </c>
      <c r="P250" t="s">
        <v>2633</v>
      </c>
    </row>
    <row r="251" spans="5:16">
      <c r="E251">
        <v>2579</v>
      </c>
      <c r="J251" s="9" t="s">
        <v>3769</v>
      </c>
      <c r="K251" s="9">
        <v>85</v>
      </c>
      <c r="L251" s="9">
        <v>13</v>
      </c>
      <c r="M251" s="9">
        <f t="shared" si="10"/>
        <v>21.25</v>
      </c>
      <c r="N251" s="9">
        <f t="shared" si="11"/>
        <v>3.25</v>
      </c>
      <c r="O251" t="str">
        <f t="shared" si="12"/>
        <v>copy localization\training_grayminotaur.png E:\software\MediaInfo(获取media属性)\localization\training_grayminotaur.png</v>
      </c>
      <c r="P251" t="s">
        <v>2633</v>
      </c>
    </row>
    <row r="252" spans="5:16">
      <c r="E252">
        <v>2580</v>
      </c>
      <c r="J252" s="9" t="s">
        <v>3726</v>
      </c>
      <c r="K252" s="9">
        <v>37</v>
      </c>
      <c r="L252" s="9">
        <v>13</v>
      </c>
      <c r="M252" s="9">
        <f t="shared" si="10"/>
        <v>9.25</v>
      </c>
      <c r="N252" s="9">
        <f t="shared" si="11"/>
        <v>3.25</v>
      </c>
      <c r="O252" t="str">
        <f t="shared" si="12"/>
        <v>copy localization\training_grayshovemonster2.png E:\software\MediaInfo(获取media属性)\localization\training_grayshovemonster2.png</v>
      </c>
      <c r="P252" t="s">
        <v>2633</v>
      </c>
    </row>
    <row r="253" spans="5:16">
      <c r="E253">
        <v>2581</v>
      </c>
      <c r="J253" s="9" t="s">
        <v>3767</v>
      </c>
      <c r="K253" s="9">
        <v>49</v>
      </c>
      <c r="L253" s="9">
        <v>13</v>
      </c>
      <c r="M253" s="9">
        <f t="shared" si="10"/>
        <v>12.25</v>
      </c>
      <c r="N253" s="9">
        <f t="shared" si="11"/>
        <v>3.25</v>
      </c>
      <c r="O253" t="str">
        <f t="shared" si="12"/>
        <v>copy localization\training_greenbanshee2.png E:\software\MediaInfo(获取media属性)\localization\training_greenbanshee2.png</v>
      </c>
      <c r="P253" t="s">
        <v>2633</v>
      </c>
    </row>
    <row r="254" spans="5:16">
      <c r="E254">
        <v>2582</v>
      </c>
      <c r="J254" s="9" t="s">
        <v>3680</v>
      </c>
      <c r="K254" s="9">
        <v>37</v>
      </c>
      <c r="L254" s="9">
        <v>13</v>
      </c>
      <c r="M254" s="9">
        <f t="shared" si="10"/>
        <v>9.25</v>
      </c>
      <c r="N254" s="9">
        <f t="shared" si="11"/>
        <v>3.25</v>
      </c>
      <c r="O254" t="str">
        <f t="shared" si="12"/>
        <v>copy localization\training_greenbat.png E:\software\MediaInfo(获取media属性)\localization\training_greenbat.png</v>
      </c>
      <c r="P254" t="s">
        <v>2633</v>
      </c>
    </row>
    <row r="255" spans="5:16">
      <c r="E255">
        <v>2583</v>
      </c>
      <c r="J255" s="9" t="s">
        <v>3762</v>
      </c>
      <c r="K255" s="9">
        <v>25</v>
      </c>
      <c r="L255" s="9">
        <v>13</v>
      </c>
      <c r="M255" s="9">
        <f t="shared" si="10"/>
        <v>6.25</v>
      </c>
      <c r="N255" s="9">
        <f t="shared" si="11"/>
        <v>3.25</v>
      </c>
      <c r="O255" t="str">
        <f t="shared" si="12"/>
        <v>copy localization\training_greendragon.png E:\software\MediaInfo(获取media属性)\localization\training_greendragon.png</v>
      </c>
      <c r="P255" t="s">
        <v>2633</v>
      </c>
    </row>
    <row r="256" spans="5:16">
      <c r="E256">
        <v>2584</v>
      </c>
      <c r="J256" s="9" t="s">
        <v>3740</v>
      </c>
      <c r="K256" s="9">
        <v>49</v>
      </c>
      <c r="L256" s="9">
        <v>13</v>
      </c>
      <c r="M256" s="9">
        <f t="shared" si="10"/>
        <v>12.25</v>
      </c>
      <c r="N256" s="9">
        <f t="shared" si="11"/>
        <v>3.25</v>
      </c>
      <c r="O256" t="str">
        <f t="shared" si="12"/>
        <v>copy localization\training_greenmonkey2.png E:\software\MediaInfo(获取media属性)\localization\training_greenmonkey2.png</v>
      </c>
      <c r="P256" t="s">
        <v>2633</v>
      </c>
    </row>
    <row r="257" spans="5:16">
      <c r="E257">
        <v>2585</v>
      </c>
      <c r="J257" s="9" t="s">
        <v>3672</v>
      </c>
      <c r="K257" s="9">
        <v>49</v>
      </c>
      <c r="L257" s="9">
        <v>13</v>
      </c>
      <c r="M257" s="9">
        <f t="shared" si="10"/>
        <v>12.25</v>
      </c>
      <c r="N257" s="9">
        <f t="shared" si="11"/>
        <v>3.25</v>
      </c>
      <c r="O257" t="str">
        <f t="shared" si="12"/>
        <v>copy localization\training_greenslime.png E:\software\MediaInfo(获取media属性)\localization\training_greenslime.png</v>
      </c>
      <c r="P257" t="s">
        <v>2633</v>
      </c>
    </row>
    <row r="258" spans="5:16">
      <c r="E258">
        <v>2586</v>
      </c>
      <c r="J258" s="9" t="s">
        <v>3748</v>
      </c>
      <c r="K258" s="9">
        <v>49</v>
      </c>
      <c r="L258" s="9">
        <v>13</v>
      </c>
      <c r="M258" s="9">
        <f t="shared" si="10"/>
        <v>12.25</v>
      </c>
      <c r="N258" s="9">
        <f t="shared" si="11"/>
        <v>3.25</v>
      </c>
      <c r="O258" t="str">
        <f t="shared" si="12"/>
        <v>copy localization\training_harpy.png E:\software\MediaInfo(获取media属性)\localization\training_harpy.png</v>
      </c>
      <c r="P258" t="s">
        <v>2633</v>
      </c>
    </row>
    <row r="259" spans="5:16">
      <c r="E259">
        <v>2587</v>
      </c>
      <c r="J259" s="9" t="s">
        <v>3727</v>
      </c>
      <c r="K259" s="9">
        <v>37</v>
      </c>
      <c r="L259" s="9">
        <v>13</v>
      </c>
      <c r="M259" s="9">
        <f t="shared" ref="M259:M306" si="13">0.25*K259</f>
        <v>9.25</v>
      </c>
      <c r="N259" s="9">
        <f t="shared" ref="N259:N306" si="14">L259*0.25</f>
        <v>3.25</v>
      </c>
      <c r="O259" t="str">
        <f t="shared" ref="O259:O306" si="15">"copy "&amp;SUBSTITUTE(J259,"/","\") &amp;" E:\software\MediaInfo(获取media属性)\"&amp;SUBSTITUTE(J259,"/","\")</f>
        <v>copy localization\training_hellhound.png E:\software\MediaInfo(获取media属性)\localization\training_hellhound.png</v>
      </c>
      <c r="P259" t="s">
        <v>2633</v>
      </c>
    </row>
    <row r="260" spans="5:16">
      <c r="E260">
        <v>2588</v>
      </c>
      <c r="J260" s="9" t="s">
        <v>3723</v>
      </c>
      <c r="K260" s="9">
        <v>37</v>
      </c>
      <c r="L260" s="9">
        <v>13</v>
      </c>
      <c r="M260" s="9">
        <f t="shared" si="13"/>
        <v>9.25</v>
      </c>
      <c r="N260" s="9">
        <f t="shared" si="14"/>
        <v>3.25</v>
      </c>
      <c r="O260" t="str">
        <f t="shared" si="15"/>
        <v>copy localization\training_icebeetle.png E:\software\MediaInfo(获取media属性)\localization\training_icebeetle.png</v>
      </c>
      <c r="P260" t="s">
        <v>2633</v>
      </c>
    </row>
    <row r="261" spans="5:16">
      <c r="E261">
        <v>2589</v>
      </c>
      <c r="J261" s="9" t="s">
        <v>3718</v>
      </c>
      <c r="K261" s="9">
        <v>37</v>
      </c>
      <c r="L261" s="9">
        <v>13</v>
      </c>
      <c r="M261" s="9">
        <f t="shared" si="13"/>
        <v>9.25</v>
      </c>
      <c r="N261" s="9">
        <f t="shared" si="14"/>
        <v>3.25</v>
      </c>
      <c r="O261" t="str">
        <f t="shared" si="15"/>
        <v>copy localization\training_iceelemental.png E:\software\MediaInfo(获取media属性)\localization\training_iceelemental.png</v>
      </c>
      <c r="P261" t="s">
        <v>2633</v>
      </c>
    </row>
    <row r="262" spans="5:16">
      <c r="E262">
        <v>2590</v>
      </c>
      <c r="J262" s="9" t="s">
        <v>3711</v>
      </c>
      <c r="K262" s="9">
        <v>61</v>
      </c>
      <c r="L262" s="9">
        <v>13</v>
      </c>
      <c r="M262" s="9">
        <f t="shared" si="13"/>
        <v>15.25</v>
      </c>
      <c r="N262" s="9">
        <f t="shared" si="14"/>
        <v>3.25</v>
      </c>
      <c r="O262" t="str">
        <f t="shared" si="15"/>
        <v>copy localization\training_iceslime.png E:\software\MediaInfo(获取media属性)\localization\training_iceslime.png</v>
      </c>
      <c r="P262" t="s">
        <v>2633</v>
      </c>
    </row>
    <row r="263" spans="5:16">
      <c r="E263">
        <v>2591</v>
      </c>
      <c r="J263" s="9" t="s">
        <v>3774</v>
      </c>
      <c r="K263" s="9">
        <v>61</v>
      </c>
      <c r="L263" s="9">
        <v>13</v>
      </c>
      <c r="M263" s="9">
        <f t="shared" si="13"/>
        <v>15.25</v>
      </c>
      <c r="N263" s="9">
        <f t="shared" si="14"/>
        <v>3.25</v>
      </c>
      <c r="O263" t="str">
        <f t="shared" si="15"/>
        <v>copy localization\training_kingconga1.png E:\software\MediaInfo(获取media属性)\localization\training_kingconga1.png</v>
      </c>
      <c r="P263" t="s">
        <v>2633</v>
      </c>
    </row>
    <row r="264" spans="5:16">
      <c r="E264">
        <v>2592</v>
      </c>
      <c r="J264" s="9" t="s">
        <v>3775</v>
      </c>
      <c r="K264" s="9">
        <v>61</v>
      </c>
      <c r="L264" s="9">
        <v>13</v>
      </c>
      <c r="M264" s="9">
        <f t="shared" si="13"/>
        <v>15.25</v>
      </c>
      <c r="N264" s="9">
        <f t="shared" si="14"/>
        <v>3.25</v>
      </c>
      <c r="O264" t="str">
        <f t="shared" si="15"/>
        <v>copy localization\training_kingconga2.png E:\software\MediaInfo(获取media属性)\localization\training_kingconga2.png</v>
      </c>
      <c r="P264" t="s">
        <v>2633</v>
      </c>
    </row>
    <row r="265" spans="5:16">
      <c r="E265">
        <v>2593</v>
      </c>
      <c r="J265" s="9" t="s">
        <v>3776</v>
      </c>
      <c r="K265" s="9">
        <v>61</v>
      </c>
      <c r="L265" s="9">
        <v>13</v>
      </c>
      <c r="M265" s="9">
        <f t="shared" si="13"/>
        <v>15.25</v>
      </c>
      <c r="N265" s="9">
        <f t="shared" si="14"/>
        <v>3.25</v>
      </c>
      <c r="O265" t="str">
        <f t="shared" si="15"/>
        <v>copy localization\training_kingconga3.png E:\software\MediaInfo(获取media属性)\localization\training_kingconga3.png</v>
      </c>
      <c r="P265" t="s">
        <v>2633</v>
      </c>
    </row>
    <row r="266" spans="5:16">
      <c r="E266">
        <v>2594</v>
      </c>
      <c r="J266" s="9" t="s">
        <v>3777</v>
      </c>
      <c r="K266" s="9">
        <v>61</v>
      </c>
      <c r="L266" s="9">
        <v>13</v>
      </c>
      <c r="M266" s="9">
        <f t="shared" si="13"/>
        <v>15.25</v>
      </c>
      <c r="N266" s="9">
        <f t="shared" si="14"/>
        <v>3.25</v>
      </c>
      <c r="O266" t="str">
        <f t="shared" si="15"/>
        <v>copy localization\training_kingconga4.png E:\software\MediaInfo(获取media属性)\localization\training_kingconga4.png</v>
      </c>
      <c r="P266" t="s">
        <v>2633</v>
      </c>
    </row>
    <row r="267" spans="5:16">
      <c r="E267">
        <v>5000</v>
      </c>
      <c r="J267" s="9" t="s">
        <v>3736</v>
      </c>
      <c r="K267" s="9">
        <v>25</v>
      </c>
      <c r="L267" s="9">
        <v>13</v>
      </c>
      <c r="M267" s="9">
        <f t="shared" si="13"/>
        <v>6.25</v>
      </c>
      <c r="N267" s="9">
        <f t="shared" si="14"/>
        <v>3.25</v>
      </c>
      <c r="O267" t="str">
        <f t="shared" si="15"/>
        <v>copy localization\training_lich.png E:\software\MediaInfo(获取media属性)\localization\training_lich.png</v>
      </c>
      <c r="P267" t="s">
        <v>2633</v>
      </c>
    </row>
    <row r="268" spans="5:16">
      <c r="E268">
        <v>5001</v>
      </c>
      <c r="J268" s="9" t="s">
        <v>3742</v>
      </c>
      <c r="K268" s="9">
        <v>49</v>
      </c>
      <c r="L268" s="9">
        <v>13</v>
      </c>
      <c r="M268" s="9">
        <f t="shared" si="13"/>
        <v>12.25</v>
      </c>
      <c r="N268" s="9">
        <f t="shared" si="14"/>
        <v>3.25</v>
      </c>
      <c r="O268" t="str">
        <f t="shared" si="15"/>
        <v>copy localization\training_magicmonkey2.png E:\software\MediaInfo(获取media属性)\localization\training_magicmonkey2.png</v>
      </c>
      <c r="P268" t="s">
        <v>2633</v>
      </c>
    </row>
    <row r="269" spans="5:16">
      <c r="E269">
        <v>5002</v>
      </c>
      <c r="J269" s="9" t="s">
        <v>3768</v>
      </c>
      <c r="K269" s="9">
        <v>61</v>
      </c>
      <c r="L269" s="9">
        <v>13</v>
      </c>
      <c r="M269" s="9">
        <f t="shared" si="13"/>
        <v>15.25</v>
      </c>
      <c r="N269" s="9">
        <f t="shared" si="14"/>
        <v>3.25</v>
      </c>
      <c r="O269" t="str">
        <f t="shared" si="15"/>
        <v>copy localization\training_minotaur.png E:\software\MediaInfo(获取media属性)\localization\training_minotaur.png</v>
      </c>
      <c r="P269" t="s">
        <v>2633</v>
      </c>
    </row>
    <row r="270" spans="5:16">
      <c r="E270">
        <v>5003</v>
      </c>
      <c r="J270" s="9" t="s">
        <v>3707</v>
      </c>
      <c r="K270" s="9">
        <v>25</v>
      </c>
      <c r="L270" s="9">
        <v>13</v>
      </c>
      <c r="M270" s="9">
        <f t="shared" si="13"/>
        <v>6.25</v>
      </c>
      <c r="N270" s="9">
        <f t="shared" si="14"/>
        <v>3.25</v>
      </c>
      <c r="O270" t="str">
        <f t="shared" si="15"/>
        <v>copy localization\training_mole.png E:\software\MediaInfo(获取media属性)\localization\training_mole.png</v>
      </c>
      <c r="P270" t="s">
        <v>2633</v>
      </c>
    </row>
    <row r="271" spans="5:16">
      <c r="E271">
        <v>5004</v>
      </c>
      <c r="J271" s="9" t="s">
        <v>3772</v>
      </c>
      <c r="K271" s="9">
        <v>61</v>
      </c>
      <c r="L271" s="9">
        <v>13</v>
      </c>
      <c r="M271" s="9">
        <f t="shared" si="13"/>
        <v>15.25</v>
      </c>
      <c r="N271" s="9">
        <f t="shared" si="14"/>
        <v>3.25</v>
      </c>
      <c r="O271" t="str">
        <f t="shared" si="15"/>
        <v>copy localization\training_mommy.png E:\software\MediaInfo(获取media属性)\localization\training_mommy.png</v>
      </c>
      <c r="P271" t="s">
        <v>2633</v>
      </c>
    </row>
    <row r="272" spans="5:16">
      <c r="E272">
        <v>5005</v>
      </c>
      <c r="J272" s="9" t="s">
        <v>3681</v>
      </c>
      <c r="K272" s="9">
        <v>25</v>
      </c>
      <c r="L272" s="9">
        <v>13</v>
      </c>
      <c r="M272" s="9">
        <f t="shared" si="13"/>
        <v>6.25</v>
      </c>
      <c r="N272" s="9">
        <f t="shared" si="14"/>
        <v>3.25</v>
      </c>
      <c r="O272" t="str">
        <f t="shared" si="15"/>
        <v>copy localization\training_monkey.png E:\software\MediaInfo(获取media属性)\localization\training_monkey.png</v>
      </c>
      <c r="P272" t="s">
        <v>2633</v>
      </c>
    </row>
    <row r="273" spans="5:16">
      <c r="E273">
        <v>5006</v>
      </c>
      <c r="J273" s="9" t="s">
        <v>3698</v>
      </c>
      <c r="K273" s="9">
        <v>37</v>
      </c>
      <c r="L273" s="9">
        <v>13</v>
      </c>
      <c r="M273" s="9">
        <f t="shared" si="13"/>
        <v>9.25</v>
      </c>
      <c r="N273" s="9">
        <f t="shared" si="14"/>
        <v>3.25</v>
      </c>
      <c r="O273" t="str">
        <f t="shared" si="15"/>
        <v>copy localization\training_mushroom.png E:\software\MediaInfo(获取media属性)\localization\training_mushroom.png</v>
      </c>
      <c r="P273" t="s">
        <v>2633</v>
      </c>
    </row>
    <row r="274" spans="5:16">
      <c r="E274">
        <v>5007</v>
      </c>
      <c r="J274" s="9" t="s">
        <v>3792</v>
      </c>
      <c r="K274" s="9">
        <v>49</v>
      </c>
      <c r="L274" s="9">
        <v>13</v>
      </c>
      <c r="M274" s="9">
        <f t="shared" si="13"/>
        <v>12.25</v>
      </c>
      <c r="N274" s="9">
        <f t="shared" si="14"/>
        <v>3.25</v>
      </c>
      <c r="O274" t="str">
        <f t="shared" si="15"/>
        <v>copy localization\training_necrodancer2.png E:\software\MediaInfo(获取media属性)\localization\training_necrodancer2.png</v>
      </c>
      <c r="P274" t="s">
        <v>2633</v>
      </c>
    </row>
    <row r="275" spans="5:16">
      <c r="E275">
        <v>5008</v>
      </c>
      <c r="J275" s="9" t="s">
        <v>3794</v>
      </c>
      <c r="K275" s="9">
        <v>61</v>
      </c>
      <c r="L275" s="9">
        <v>13</v>
      </c>
      <c r="M275" s="9">
        <f t="shared" si="13"/>
        <v>15.25</v>
      </c>
      <c r="N275" s="9">
        <f t="shared" si="14"/>
        <v>3.25</v>
      </c>
      <c r="O275" t="str">
        <f t="shared" si="15"/>
        <v>copy localization\training_necrodancer4.png E:\software\MediaInfo(获取media属性)\localization\training_necrodancer4.png</v>
      </c>
      <c r="P275" t="s">
        <v>2633</v>
      </c>
    </row>
    <row r="276" spans="5:16">
      <c r="E276">
        <v>5009</v>
      </c>
      <c r="J276" s="9" t="s">
        <v>3744</v>
      </c>
      <c r="K276" s="9">
        <v>49</v>
      </c>
      <c r="L276" s="9">
        <v>13</v>
      </c>
      <c r="M276" s="9">
        <f t="shared" si="13"/>
        <v>12.25</v>
      </c>
      <c r="N276" s="9">
        <f t="shared" si="14"/>
        <v>3.25</v>
      </c>
      <c r="O276" t="str">
        <f t="shared" si="15"/>
        <v>copy localization\training_neonwarlock.png E:\software\MediaInfo(获取media属性)\localization\training_neonwarlock.png</v>
      </c>
      <c r="P276" t="s">
        <v>2633</v>
      </c>
    </row>
    <row r="277" spans="5:16">
      <c r="E277">
        <v>5010</v>
      </c>
      <c r="J277" s="9" t="s">
        <v>3770</v>
      </c>
      <c r="K277" s="9">
        <v>25</v>
      </c>
      <c r="L277" s="9">
        <v>13</v>
      </c>
      <c r="M277" s="9">
        <f t="shared" si="13"/>
        <v>6.25</v>
      </c>
      <c r="N277" s="9">
        <f t="shared" si="14"/>
        <v>3.25</v>
      </c>
      <c r="O277" t="str">
        <f t="shared" si="15"/>
        <v>copy localization\training_nightmare.png E:\software\MediaInfo(获取media属性)\localization\training_nightmare.png</v>
      </c>
      <c r="P277" t="s">
        <v>2633</v>
      </c>
    </row>
    <row r="278" spans="5:16">
      <c r="E278">
        <v>5011</v>
      </c>
      <c r="J278" s="9" t="s">
        <v>3773</v>
      </c>
      <c r="K278" s="9">
        <v>37</v>
      </c>
      <c r="L278" s="9">
        <v>13</v>
      </c>
      <c r="M278" s="9">
        <f t="shared" si="13"/>
        <v>9.25</v>
      </c>
      <c r="N278" s="9">
        <f t="shared" si="14"/>
        <v>3.25</v>
      </c>
      <c r="O278" t="str">
        <f t="shared" si="15"/>
        <v>copy localization\training_ogre.png E:\software\MediaInfo(获取media属性)\localization\training_ogre.png</v>
      </c>
      <c r="P278" t="s">
        <v>2633</v>
      </c>
    </row>
    <row r="279" spans="5:16">
      <c r="E279">
        <v>5012</v>
      </c>
      <c r="J279" s="9" t="s">
        <v>3754</v>
      </c>
      <c r="K279" s="9">
        <v>49</v>
      </c>
      <c r="L279" s="9">
        <v>13</v>
      </c>
      <c r="M279" s="9">
        <f t="shared" si="13"/>
        <v>12.25</v>
      </c>
      <c r="N279" s="9">
        <f t="shared" si="14"/>
        <v>3.25</v>
      </c>
      <c r="O279" t="str">
        <f t="shared" si="15"/>
        <v>copy localization\training_oozegolem.png E:\software\MediaInfo(获取media属性)\localization\training_oozegolem.png</v>
      </c>
      <c r="P279" t="s">
        <v>2633</v>
      </c>
    </row>
    <row r="280" spans="5:16">
      <c r="E280">
        <v>5013</v>
      </c>
      <c r="J280" s="9" t="s">
        <v>3757</v>
      </c>
      <c r="K280" s="9">
        <v>49</v>
      </c>
      <c r="L280" s="9">
        <v>13</v>
      </c>
      <c r="M280" s="9">
        <f t="shared" si="13"/>
        <v>12.25</v>
      </c>
      <c r="N280" s="9">
        <f t="shared" si="14"/>
        <v>3.25</v>
      </c>
      <c r="O280" t="str">
        <f t="shared" si="15"/>
        <v>copy localization\training_orangearmadillo2.png E:\software\MediaInfo(获取media属性)\localization\training_orangearmadillo2.png</v>
      </c>
      <c r="P280" t="s">
        <v>2633</v>
      </c>
    </row>
    <row r="281" spans="5:16">
      <c r="E281">
        <v>5014</v>
      </c>
      <c r="J281" s="9" t="s">
        <v>3674</v>
      </c>
      <c r="K281" s="9">
        <v>49</v>
      </c>
      <c r="L281" s="9">
        <v>13</v>
      </c>
      <c r="M281" s="9">
        <f t="shared" si="13"/>
        <v>12.25</v>
      </c>
      <c r="N281" s="9">
        <f t="shared" si="14"/>
        <v>3.25</v>
      </c>
      <c r="O281" t="str">
        <f t="shared" si="15"/>
        <v>copy localization\training_orangeslime.png E:\software\MediaInfo(获取media属性)\localization\training_orangeslime.png</v>
      </c>
      <c r="P281" t="s">
        <v>2633</v>
      </c>
    </row>
    <row r="282" spans="5:16">
      <c r="E282">
        <v>5015</v>
      </c>
      <c r="J282" s="9" t="s">
        <v>3759</v>
      </c>
      <c r="K282" s="9">
        <v>37</v>
      </c>
      <c r="L282" s="9">
        <v>13</v>
      </c>
      <c r="M282" s="9">
        <f t="shared" si="13"/>
        <v>9.25</v>
      </c>
      <c r="N282" s="9">
        <f t="shared" si="14"/>
        <v>3.25</v>
      </c>
      <c r="O282" t="str">
        <f t="shared" si="15"/>
        <v>copy localization\training_pixie.png E:\software\MediaInfo(获取media属性)\localization\training_pixie.png</v>
      </c>
      <c r="P282" t="s">
        <v>2633</v>
      </c>
    </row>
    <row r="283" spans="5:16">
      <c r="E283">
        <v>5016</v>
      </c>
      <c r="J283" s="9" t="s">
        <v>3700</v>
      </c>
      <c r="K283" s="9">
        <v>61</v>
      </c>
      <c r="L283" s="9">
        <v>13</v>
      </c>
      <c r="M283" s="9">
        <f t="shared" si="13"/>
        <v>15.25</v>
      </c>
      <c r="N283" s="9">
        <f t="shared" si="14"/>
        <v>3.25</v>
      </c>
      <c r="O283" t="str">
        <f t="shared" si="15"/>
        <v>copy localization\training_purplemushroom2.png E:\software\MediaInfo(获取media属性)\localization\training_purplemushroom2.png</v>
      </c>
      <c r="P283" t="s">
        <v>2633</v>
      </c>
    </row>
    <row r="284" spans="5:16">
      <c r="E284">
        <v>5017</v>
      </c>
      <c r="J284" s="9" t="s">
        <v>3679</v>
      </c>
      <c r="K284" s="9">
        <v>37</v>
      </c>
      <c r="L284" s="9">
        <v>13</v>
      </c>
      <c r="M284" s="9">
        <f t="shared" si="13"/>
        <v>9.25</v>
      </c>
      <c r="N284" s="9">
        <f t="shared" si="14"/>
        <v>3.25</v>
      </c>
      <c r="O284" t="str">
        <f t="shared" si="15"/>
        <v>copy localization\training_redbat.png E:\software\MediaInfo(获取media属性)\localization\training_redbat.png</v>
      </c>
      <c r="P284" t="s">
        <v>2633</v>
      </c>
    </row>
    <row r="285" spans="5:16">
      <c r="E285">
        <v>5018</v>
      </c>
      <c r="J285" s="9" t="s">
        <v>3763</v>
      </c>
      <c r="K285" s="9">
        <v>25</v>
      </c>
      <c r="L285" s="9">
        <v>13</v>
      </c>
      <c r="M285" s="9">
        <f t="shared" si="13"/>
        <v>6.25</v>
      </c>
      <c r="N285" s="9">
        <f t="shared" si="14"/>
        <v>3.25</v>
      </c>
      <c r="O285" t="str">
        <f t="shared" si="15"/>
        <v>copy localization\training_reddragon.png E:\software\MediaInfo(获取media属性)\localization\training_reddragon.png</v>
      </c>
      <c r="P285" t="s">
        <v>2633</v>
      </c>
    </row>
    <row r="286" spans="5:16">
      <c r="E286">
        <v>5019</v>
      </c>
      <c r="J286" s="9" t="s">
        <v>3737</v>
      </c>
      <c r="K286" s="9">
        <v>37</v>
      </c>
      <c r="L286" s="9">
        <v>13</v>
      </c>
      <c r="M286" s="9">
        <f t="shared" si="13"/>
        <v>9.25</v>
      </c>
      <c r="N286" s="9">
        <f t="shared" si="14"/>
        <v>3.25</v>
      </c>
      <c r="O286" t="str">
        <f t="shared" si="15"/>
        <v>copy localization\training_redlich.png E:\software\MediaInfo(获取media属性)\localization\training_redlich.png</v>
      </c>
      <c r="P286" t="s">
        <v>2633</v>
      </c>
    </row>
    <row r="287" spans="5:16">
      <c r="E287">
        <v>5020</v>
      </c>
      <c r="J287" s="9" t="s">
        <v>3731</v>
      </c>
      <c r="K287" s="9">
        <v>25</v>
      </c>
      <c r="L287" s="9">
        <v>13</v>
      </c>
      <c r="M287" s="9">
        <f t="shared" si="13"/>
        <v>6.25</v>
      </c>
      <c r="N287" s="9">
        <f t="shared" si="14"/>
        <v>3.25</v>
      </c>
      <c r="O287" t="str">
        <f t="shared" si="15"/>
        <v>copy localization\training_sarcophagus.png E:\software\MediaInfo(获取media属性)\localization\training_sarcophagus.png</v>
      </c>
      <c r="P287" t="s">
        <v>2633</v>
      </c>
    </row>
    <row r="288" spans="5:16">
      <c r="E288">
        <v>5021</v>
      </c>
      <c r="J288" s="9" t="s">
        <v>3724</v>
      </c>
      <c r="K288" s="9">
        <v>37</v>
      </c>
      <c r="L288" s="9">
        <v>13</v>
      </c>
      <c r="M288" s="9">
        <f t="shared" si="13"/>
        <v>9.25</v>
      </c>
      <c r="N288" s="9">
        <f t="shared" si="14"/>
        <v>3.25</v>
      </c>
      <c r="O288" t="str">
        <f t="shared" si="15"/>
        <v>copy localization\training_shovemonster.png E:\software\MediaInfo(获取media属性)\localization\training_shovemonster.png</v>
      </c>
      <c r="P288" t="s">
        <v>2633</v>
      </c>
    </row>
    <row r="289" spans="5:16">
      <c r="E289">
        <v>5022</v>
      </c>
      <c r="J289" s="9" t="s">
        <v>3675</v>
      </c>
      <c r="K289" s="9">
        <v>25</v>
      </c>
      <c r="L289" s="9">
        <v>13</v>
      </c>
      <c r="M289" s="9">
        <f t="shared" si="13"/>
        <v>6.25</v>
      </c>
      <c r="N289" s="9">
        <f t="shared" si="14"/>
        <v>3.25</v>
      </c>
      <c r="O289" t="str">
        <f t="shared" si="15"/>
        <v>copy localization\training_skeleton.png E:\software\MediaInfo(获取media属性)\localization\training_skeleton.png</v>
      </c>
      <c r="P289" t="s">
        <v>2633</v>
      </c>
    </row>
    <row r="290" spans="5:16">
      <c r="E290">
        <v>5023</v>
      </c>
      <c r="J290" s="9" t="s">
        <v>3712</v>
      </c>
      <c r="K290" s="9">
        <v>49</v>
      </c>
      <c r="L290" s="9">
        <v>13</v>
      </c>
      <c r="M290" s="9">
        <f t="shared" si="13"/>
        <v>12.25</v>
      </c>
      <c r="N290" s="9">
        <f t="shared" si="14"/>
        <v>3.25</v>
      </c>
      <c r="O290" t="str">
        <f t="shared" si="15"/>
        <v>copy localization\training_skeletonknight.png E:\software\MediaInfo(获取media属性)\localization\training_skeletonknight.png</v>
      </c>
      <c r="P290" t="s">
        <v>2633</v>
      </c>
    </row>
    <row r="291" spans="5:16">
      <c r="E291">
        <v>5024</v>
      </c>
      <c r="J291" s="9" t="s">
        <v>3693</v>
      </c>
      <c r="K291" s="9">
        <v>49</v>
      </c>
      <c r="L291" s="9">
        <v>13</v>
      </c>
      <c r="M291" s="9">
        <f t="shared" si="13"/>
        <v>12.25</v>
      </c>
      <c r="N291" s="9">
        <f t="shared" si="14"/>
        <v>3.25</v>
      </c>
      <c r="O291" t="str">
        <f t="shared" si="15"/>
        <v>copy localization\training_skeletonmage.png E:\software\MediaInfo(获取media属性)\localization\training_skeletonmage.png</v>
      </c>
      <c r="P291" t="s">
        <v>2633</v>
      </c>
    </row>
    <row r="292" spans="5:16">
      <c r="E292">
        <v>5025</v>
      </c>
      <c r="J292" s="9" t="s">
        <v>3751</v>
      </c>
      <c r="K292" s="9">
        <v>25</v>
      </c>
      <c r="L292" s="9">
        <v>13</v>
      </c>
      <c r="M292" s="9">
        <f t="shared" si="13"/>
        <v>6.25</v>
      </c>
      <c r="N292" s="9">
        <f t="shared" si="14"/>
        <v>3.25</v>
      </c>
      <c r="O292" t="str">
        <f t="shared" si="15"/>
        <v>copy localization\training_spider.png E:\software\MediaInfo(获取media属性)\localization\training_spider.png</v>
      </c>
      <c r="P292" t="s">
        <v>2633</v>
      </c>
    </row>
    <row r="293" spans="5:16">
      <c r="E293">
        <v>5026</v>
      </c>
      <c r="J293" s="9" t="s">
        <v>3706</v>
      </c>
      <c r="K293" s="9">
        <v>37</v>
      </c>
      <c r="L293" s="9">
        <v>13</v>
      </c>
      <c r="M293" s="9">
        <f t="shared" si="13"/>
        <v>9.25</v>
      </c>
      <c r="N293" s="9">
        <f t="shared" si="14"/>
        <v>3.25</v>
      </c>
      <c r="O293" t="str">
        <f t="shared" si="15"/>
        <v>copy localization\training_tarmonster.png E:\software\MediaInfo(获取media属性)\localization\training_tarmonster.png</v>
      </c>
      <c r="P293" t="s">
        <v>2633</v>
      </c>
    </row>
    <row r="294" spans="5:16">
      <c r="E294">
        <v>5027</v>
      </c>
      <c r="J294" s="9" t="s">
        <v>3709</v>
      </c>
      <c r="K294" s="9">
        <v>37</v>
      </c>
      <c r="L294" s="9">
        <v>13</v>
      </c>
      <c r="M294" s="9">
        <f t="shared" si="13"/>
        <v>9.25</v>
      </c>
      <c r="N294" s="9">
        <f t="shared" si="14"/>
        <v>3.25</v>
      </c>
      <c r="O294" t="str">
        <f t="shared" si="15"/>
        <v>copy localization\training_wallmimic.png E:\software\MediaInfo(获取media属性)\localization\training_wallmimic.png</v>
      </c>
      <c r="P294" t="s">
        <v>2633</v>
      </c>
    </row>
    <row r="295" spans="5:16">
      <c r="E295">
        <v>5028</v>
      </c>
      <c r="J295" s="9" t="s">
        <v>3743</v>
      </c>
      <c r="K295" s="9">
        <v>25</v>
      </c>
      <c r="L295" s="9">
        <v>13</v>
      </c>
      <c r="M295" s="9">
        <f t="shared" si="13"/>
        <v>6.25</v>
      </c>
      <c r="N295" s="9">
        <f t="shared" si="14"/>
        <v>3.25</v>
      </c>
      <c r="O295" t="str">
        <f t="shared" si="15"/>
        <v>copy localization\training_warlock.png E:\software\MediaInfo(获取media属性)\localization\training_warlock.png</v>
      </c>
      <c r="P295" t="s">
        <v>2633</v>
      </c>
    </row>
    <row r="296" spans="5:16">
      <c r="E296">
        <v>5029</v>
      </c>
      <c r="J296" s="9" t="s">
        <v>3682</v>
      </c>
      <c r="K296" s="9">
        <v>37</v>
      </c>
      <c r="L296" s="9">
        <v>13</v>
      </c>
      <c r="M296" s="9">
        <f t="shared" si="13"/>
        <v>9.25</v>
      </c>
      <c r="N296" s="9">
        <f t="shared" si="14"/>
        <v>3.25</v>
      </c>
      <c r="O296" t="str">
        <f t="shared" si="15"/>
        <v>copy localization\training_whitemonkey.png E:\software\MediaInfo(获取media属性)\localization\training_whitemonkey.png</v>
      </c>
      <c r="P296" t="s">
        <v>2633</v>
      </c>
    </row>
    <row r="297" spans="5:16">
      <c r="E297">
        <v>5030</v>
      </c>
      <c r="J297" s="9" t="s">
        <v>3708</v>
      </c>
      <c r="K297" s="9">
        <v>25</v>
      </c>
      <c r="L297" s="9">
        <v>13</v>
      </c>
      <c r="M297" s="9">
        <f t="shared" si="13"/>
        <v>6.25</v>
      </c>
      <c r="N297" s="9">
        <f t="shared" si="14"/>
        <v>3.25</v>
      </c>
      <c r="O297" t="str">
        <f t="shared" si="15"/>
        <v>copy localization\training_wight.png E:\software\MediaInfo(获取media属性)\localization\training_wight.png</v>
      </c>
      <c r="P297" t="s">
        <v>2633</v>
      </c>
    </row>
    <row r="298" spans="5:16">
      <c r="E298">
        <v>5031</v>
      </c>
      <c r="J298" s="9" t="s">
        <v>3685</v>
      </c>
      <c r="K298" s="9">
        <v>25</v>
      </c>
      <c r="L298" s="9">
        <v>13</v>
      </c>
      <c r="M298" s="9">
        <f t="shared" si="13"/>
        <v>6.25</v>
      </c>
      <c r="N298" s="9">
        <f t="shared" si="14"/>
        <v>3.25</v>
      </c>
      <c r="O298" t="str">
        <f t="shared" si="15"/>
        <v>copy localization\training_wraith.png E:\software\MediaInfo(获取media属性)\localization\training_wraith.png</v>
      </c>
      <c r="P298" t="s">
        <v>2633</v>
      </c>
    </row>
    <row r="299" spans="5:16">
      <c r="E299">
        <v>5032</v>
      </c>
      <c r="J299" s="9" t="s">
        <v>3704</v>
      </c>
      <c r="K299" s="9">
        <v>49</v>
      </c>
      <c r="L299" s="9">
        <v>13</v>
      </c>
      <c r="M299" s="9">
        <f t="shared" si="13"/>
        <v>12.25</v>
      </c>
      <c r="N299" s="9">
        <f t="shared" si="14"/>
        <v>3.25</v>
      </c>
      <c r="O299" t="str">
        <f t="shared" si="15"/>
        <v>copy localization\training_yellowarmadillo.png E:\software\MediaInfo(获取media属性)\localization\training_yellowarmadillo.png</v>
      </c>
      <c r="P299" t="s">
        <v>2633</v>
      </c>
    </row>
    <row r="300" spans="5:16">
      <c r="E300">
        <v>5033</v>
      </c>
      <c r="J300" s="9" t="s">
        <v>3690</v>
      </c>
      <c r="K300" s="9">
        <v>73</v>
      </c>
      <c r="L300" s="9">
        <v>13</v>
      </c>
      <c r="M300" s="9">
        <f t="shared" si="13"/>
        <v>18.25</v>
      </c>
      <c r="N300" s="9">
        <f t="shared" si="14"/>
        <v>3.25</v>
      </c>
      <c r="O300" t="str">
        <f t="shared" si="15"/>
        <v>copy localization\training_yellowarmoredskeleton2.png E:\software\MediaInfo(获取media属性)\localization\training_yellowarmoredskeleton2.png</v>
      </c>
      <c r="P300" t="s">
        <v>2633</v>
      </c>
    </row>
    <row r="301" spans="5:16">
      <c r="E301">
        <v>5034</v>
      </c>
      <c r="J301" s="9" t="s">
        <v>3733</v>
      </c>
      <c r="K301" s="9">
        <v>49</v>
      </c>
      <c r="L301" s="9">
        <v>13</v>
      </c>
      <c r="M301" s="9">
        <f t="shared" si="13"/>
        <v>12.25</v>
      </c>
      <c r="N301" s="9">
        <f t="shared" si="14"/>
        <v>3.25</v>
      </c>
      <c r="O301" t="str">
        <f t="shared" si="15"/>
        <v>copy localization\training_yellowsarcophagus2.png E:\software\MediaInfo(获取media属性)\localization\training_yellowsarcophagus2.png</v>
      </c>
      <c r="P301" t="s">
        <v>2633</v>
      </c>
    </row>
    <row r="302" spans="5:16">
      <c r="E302">
        <v>5035</v>
      </c>
      <c r="J302" s="9" t="s">
        <v>3676</v>
      </c>
      <c r="K302" s="9">
        <v>37</v>
      </c>
      <c r="L302" s="9">
        <v>13</v>
      </c>
      <c r="M302" s="9">
        <f t="shared" si="13"/>
        <v>9.25</v>
      </c>
      <c r="N302" s="9">
        <f t="shared" si="14"/>
        <v>3.25</v>
      </c>
      <c r="O302" t="str">
        <f t="shared" si="15"/>
        <v>copy localization\training_yellowskeleton.png E:\software\MediaInfo(获取media属性)\localization\training_yellowskeleton.png</v>
      </c>
      <c r="P302" t="s">
        <v>2633</v>
      </c>
    </row>
    <row r="303" spans="5:16">
      <c r="E303">
        <v>5036</v>
      </c>
      <c r="J303" s="9" t="s">
        <v>3714</v>
      </c>
      <c r="K303" s="9">
        <v>73</v>
      </c>
      <c r="L303" s="9">
        <v>13</v>
      </c>
      <c r="M303" s="9">
        <f t="shared" si="13"/>
        <v>18.25</v>
      </c>
      <c r="N303" s="9">
        <f t="shared" si="14"/>
        <v>3.25</v>
      </c>
      <c r="O303" t="str">
        <f t="shared" si="15"/>
        <v>copy localization\training_yellowskeletonknight2.png E:\software\MediaInfo(获取media属性)\localization\training_yellowskeletonknight2.png</v>
      </c>
      <c r="P303" t="s">
        <v>2633</v>
      </c>
    </row>
    <row r="304" spans="5:16">
      <c r="E304">
        <v>5037</v>
      </c>
      <c r="J304" s="9" t="s">
        <v>3695</v>
      </c>
      <c r="K304" s="9">
        <v>73</v>
      </c>
      <c r="L304" s="9">
        <v>13</v>
      </c>
      <c r="M304" s="9">
        <f t="shared" si="13"/>
        <v>18.25</v>
      </c>
      <c r="N304" s="9">
        <f t="shared" si="14"/>
        <v>3.25</v>
      </c>
      <c r="O304" t="str">
        <f t="shared" si="15"/>
        <v>copy localization\training_yellowskeletonmage2.png E:\software\MediaInfo(获取media属性)\localization\training_yellowskeletonmage2.png</v>
      </c>
      <c r="P304" t="s">
        <v>2633</v>
      </c>
    </row>
    <row r="305" spans="5:16">
      <c r="E305">
        <v>5038</v>
      </c>
      <c r="J305" s="9" t="s">
        <v>3728</v>
      </c>
      <c r="K305" s="9">
        <v>49</v>
      </c>
      <c r="L305" s="9">
        <v>13</v>
      </c>
      <c r="M305" s="9">
        <f t="shared" si="13"/>
        <v>12.25</v>
      </c>
      <c r="N305" s="9">
        <f t="shared" si="14"/>
        <v>3.25</v>
      </c>
      <c r="O305" t="str">
        <f t="shared" si="15"/>
        <v>copy localization\training_yeti.png E:\software\MediaInfo(获取media属性)\localization\training_yeti.png</v>
      </c>
      <c r="P305" t="s">
        <v>2633</v>
      </c>
    </row>
    <row r="306" spans="5:16">
      <c r="E306">
        <v>5039</v>
      </c>
      <c r="J306" s="9" t="s">
        <v>3684</v>
      </c>
      <c r="K306" s="9">
        <v>25</v>
      </c>
      <c r="L306" s="9">
        <v>13</v>
      </c>
      <c r="M306" s="9">
        <f t="shared" si="13"/>
        <v>6.25</v>
      </c>
      <c r="N306" s="9">
        <f t="shared" si="14"/>
        <v>3.25</v>
      </c>
      <c r="O306" t="str">
        <f t="shared" si="15"/>
        <v>copy localization\training_zombie.png E:\software\MediaInfo(获取media属性)\localization\training_zombie.png</v>
      </c>
      <c r="P306" t="s">
        <v>2633</v>
      </c>
    </row>
    <row r="307" spans="5:16">
      <c r="E307">
        <v>5040</v>
      </c>
    </row>
    <row r="308" spans="5:16">
      <c r="E308">
        <v>5041</v>
      </c>
    </row>
    <row r="309" spans="5:16">
      <c r="E309">
        <v>5042</v>
      </c>
    </row>
    <row r="310" spans="5:16">
      <c r="E310">
        <v>5043</v>
      </c>
    </row>
    <row r="311" spans="5:16">
      <c r="E311">
        <v>5044</v>
      </c>
    </row>
    <row r="312" spans="5:16">
      <c r="E312">
        <v>5045</v>
      </c>
    </row>
    <row r="313" spans="5:16">
      <c r="E313">
        <v>5046</v>
      </c>
    </row>
    <row r="314" spans="5:16">
      <c r="E314">
        <v>5047</v>
      </c>
    </row>
    <row r="315" spans="5:16">
      <c r="E315">
        <v>5048</v>
      </c>
    </row>
    <row r="316" spans="5:16">
      <c r="E316">
        <v>5049</v>
      </c>
    </row>
    <row r="317" spans="5:16">
      <c r="E317">
        <v>5050</v>
      </c>
    </row>
    <row r="318" spans="5:16">
      <c r="E318">
        <v>5051</v>
      </c>
    </row>
    <row r="319" spans="5:16">
      <c r="E319">
        <v>5052</v>
      </c>
    </row>
    <row r="320" spans="5:16">
      <c r="E320">
        <v>5053</v>
      </c>
    </row>
    <row r="321" spans="5:5">
      <c r="E321">
        <v>5054</v>
      </c>
    </row>
    <row r="322" spans="5:5">
      <c r="E322">
        <v>5055</v>
      </c>
    </row>
    <row r="323" spans="5:5">
      <c r="E323">
        <v>5056</v>
      </c>
    </row>
    <row r="324" spans="5:5">
      <c r="E324">
        <v>5057</v>
      </c>
    </row>
    <row r="325" spans="5:5">
      <c r="E325">
        <v>5058</v>
      </c>
    </row>
    <row r="326" spans="5:5">
      <c r="E326">
        <v>5059</v>
      </c>
    </row>
    <row r="327" spans="5:5">
      <c r="E327">
        <v>5060</v>
      </c>
    </row>
    <row r="328" spans="5:5">
      <c r="E328">
        <v>5061</v>
      </c>
    </row>
    <row r="329" spans="5:5">
      <c r="E329">
        <v>5062</v>
      </c>
    </row>
    <row r="330" spans="5:5">
      <c r="E330">
        <v>5063</v>
      </c>
    </row>
    <row r="331" spans="5:5">
      <c r="E331">
        <v>5064</v>
      </c>
    </row>
    <row r="332" spans="5:5">
      <c r="E332">
        <v>5065</v>
      </c>
    </row>
    <row r="333" spans="5:5">
      <c r="E333">
        <v>5066</v>
      </c>
    </row>
    <row r="334" spans="5:5">
      <c r="E334">
        <v>5067</v>
      </c>
    </row>
    <row r="335" spans="5:5">
      <c r="E335">
        <v>5068</v>
      </c>
    </row>
    <row r="336" spans="5:5">
      <c r="E336">
        <v>5069</v>
      </c>
    </row>
    <row r="337" spans="5:5">
      <c r="E337">
        <v>5070</v>
      </c>
    </row>
    <row r="338" spans="5:5">
      <c r="E338">
        <v>5071</v>
      </c>
    </row>
    <row r="339" spans="5:5">
      <c r="E339">
        <v>5072</v>
      </c>
    </row>
    <row r="340" spans="5:5">
      <c r="E340">
        <v>5073</v>
      </c>
    </row>
    <row r="341" spans="5:5">
      <c r="E341">
        <v>5074</v>
      </c>
    </row>
    <row r="342" spans="5:5">
      <c r="E342">
        <v>5075</v>
      </c>
    </row>
    <row r="343" spans="5:5">
      <c r="E343">
        <v>5076</v>
      </c>
    </row>
    <row r="344" spans="5:5">
      <c r="E344">
        <v>5077</v>
      </c>
    </row>
    <row r="345" spans="5:5">
      <c r="E345">
        <v>5078</v>
      </c>
    </row>
    <row r="346" spans="5:5">
      <c r="E346">
        <v>5079</v>
      </c>
    </row>
    <row r="347" spans="5:5">
      <c r="E347">
        <v>5080</v>
      </c>
    </row>
    <row r="348" spans="5:5">
      <c r="E348">
        <v>5081</v>
      </c>
    </row>
    <row r="349" spans="5:5">
      <c r="E349">
        <v>5082</v>
      </c>
    </row>
    <row r="350" spans="5:5">
      <c r="E350">
        <v>5083</v>
      </c>
    </row>
    <row r="351" spans="5:5">
      <c r="E351">
        <v>5084</v>
      </c>
    </row>
    <row r="352" spans="5:5">
      <c r="E352">
        <v>5085</v>
      </c>
    </row>
    <row r="353" spans="5:5">
      <c r="E353">
        <v>5086</v>
      </c>
    </row>
    <row r="354" spans="5:5">
      <c r="E354">
        <v>5087</v>
      </c>
    </row>
    <row r="355" spans="5:5">
      <c r="E355">
        <v>5088</v>
      </c>
    </row>
    <row r="356" spans="5:5">
      <c r="E356">
        <v>5089</v>
      </c>
    </row>
    <row r="357" spans="5:5">
      <c r="E357">
        <v>5090</v>
      </c>
    </row>
    <row r="358" spans="5:5">
      <c r="E358">
        <v>5091</v>
      </c>
    </row>
    <row r="359" spans="5:5">
      <c r="E359">
        <v>5092</v>
      </c>
    </row>
    <row r="360" spans="5:5">
      <c r="E360">
        <v>5093</v>
      </c>
    </row>
    <row r="361" spans="5:5">
      <c r="E361">
        <v>5094</v>
      </c>
    </row>
    <row r="362" spans="5:5">
      <c r="E362">
        <v>5095</v>
      </c>
    </row>
    <row r="363" spans="5:5">
      <c r="E363">
        <v>5096</v>
      </c>
    </row>
    <row r="364" spans="5:5">
      <c r="E364">
        <v>5097</v>
      </c>
    </row>
    <row r="365" spans="5:5">
      <c r="E365">
        <v>5098</v>
      </c>
    </row>
    <row r="366" spans="5:5">
      <c r="E366">
        <v>5099</v>
      </c>
    </row>
    <row r="367" spans="5:5">
      <c r="E367">
        <v>5100</v>
      </c>
    </row>
    <row r="368" spans="5:5">
      <c r="E368">
        <v>5101</v>
      </c>
    </row>
    <row r="369" spans="5:5">
      <c r="E369">
        <v>5102</v>
      </c>
    </row>
    <row r="370" spans="5:5">
      <c r="E370">
        <v>5103</v>
      </c>
    </row>
    <row r="371" spans="5:5">
      <c r="E371">
        <v>5104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35"/>
  <sheetViews>
    <sheetView topLeftCell="A965" workbookViewId="0">
      <selection activeCell="A984" sqref="A984"/>
    </sheetView>
  </sheetViews>
  <sheetFormatPr defaultRowHeight="14.25"/>
  <cols>
    <col min="1" max="1" width="23.125" bestFit="1" customWidth="1"/>
    <col min="2" max="3" width="81" bestFit="1" customWidth="1"/>
    <col min="4" max="4" width="52.75" bestFit="1" customWidth="1"/>
    <col min="5" max="5" width="3.5" bestFit="1" customWidth="1"/>
    <col min="6" max="6" width="15.125" bestFit="1" customWidth="1"/>
  </cols>
  <sheetData>
    <row r="1" spans="1:4">
      <c r="A1" s="9" t="s">
        <v>1402</v>
      </c>
      <c r="B1" s="11" t="s">
        <v>1403</v>
      </c>
      <c r="C1" s="11" t="s">
        <v>1725</v>
      </c>
      <c r="D1" s="11" t="s">
        <v>1404</v>
      </c>
    </row>
    <row r="2" spans="1:4">
      <c r="A2">
        <v>1</v>
      </c>
      <c r="B2" s="1" t="s">
        <v>9</v>
      </c>
      <c r="C2" s="1"/>
      <c r="D2" s="1" t="s">
        <v>148</v>
      </c>
    </row>
    <row r="3" spans="1:4">
      <c r="A3">
        <v>2</v>
      </c>
      <c r="B3" s="1" t="s">
        <v>10</v>
      </c>
      <c r="C3" s="1" t="s">
        <v>1405</v>
      </c>
      <c r="D3" s="1" t="s">
        <v>148</v>
      </c>
    </row>
    <row r="4" spans="1:4">
      <c r="A4">
        <v>3</v>
      </c>
      <c r="B4" s="1" t="s">
        <v>11</v>
      </c>
      <c r="C4" s="1" t="s">
        <v>1406</v>
      </c>
      <c r="D4" s="1" t="s">
        <v>148</v>
      </c>
    </row>
    <row r="5" spans="1:4">
      <c r="A5">
        <v>4</v>
      </c>
      <c r="B5" s="1" t="s">
        <v>12</v>
      </c>
      <c r="C5" s="1" t="s">
        <v>1407</v>
      </c>
      <c r="D5" s="1" t="s">
        <v>148</v>
      </c>
    </row>
    <row r="6" spans="1:4">
      <c r="A6">
        <v>5</v>
      </c>
      <c r="B6" s="1" t="s">
        <v>13</v>
      </c>
      <c r="C6" s="1" t="s">
        <v>2464</v>
      </c>
      <c r="D6" s="1" t="s">
        <v>148</v>
      </c>
    </row>
    <row r="7" spans="1:4">
      <c r="A7">
        <v>6</v>
      </c>
      <c r="B7" s="1" t="s">
        <v>14</v>
      </c>
      <c r="C7" s="1" t="s">
        <v>1408</v>
      </c>
      <c r="D7" s="1" t="s">
        <v>148</v>
      </c>
    </row>
    <row r="8" spans="1:4">
      <c r="A8">
        <v>7</v>
      </c>
      <c r="B8" s="1" t="s">
        <v>15</v>
      </c>
      <c r="C8" s="1" t="s">
        <v>1409</v>
      </c>
      <c r="D8" s="1" t="s">
        <v>148</v>
      </c>
    </row>
    <row r="9" spans="1:4">
      <c r="A9">
        <v>8</v>
      </c>
      <c r="B9" s="1" t="s">
        <v>16</v>
      </c>
      <c r="C9" s="1" t="s">
        <v>1410</v>
      </c>
      <c r="D9" s="1" t="s">
        <v>148</v>
      </c>
    </row>
    <row r="10" spans="1:4">
      <c r="A10">
        <v>9</v>
      </c>
      <c r="B10" s="1" t="s">
        <v>17</v>
      </c>
      <c r="C10" s="1"/>
      <c r="D10" s="1" t="s">
        <v>148</v>
      </c>
    </row>
    <row r="11" spans="1:4">
      <c r="A11">
        <v>10</v>
      </c>
      <c r="B11" s="1" t="s">
        <v>18</v>
      </c>
      <c r="C11" s="1" t="s">
        <v>1411</v>
      </c>
      <c r="D11" s="1" t="s">
        <v>148</v>
      </c>
    </row>
    <row r="12" spans="1:4">
      <c r="A12">
        <v>11</v>
      </c>
      <c r="B12" s="1" t="s">
        <v>19</v>
      </c>
      <c r="C12" s="1" t="s">
        <v>1412</v>
      </c>
      <c r="D12" s="1" t="s">
        <v>148</v>
      </c>
    </row>
    <row r="13" spans="1:4">
      <c r="A13">
        <v>12</v>
      </c>
      <c r="B13" s="1" t="s">
        <v>20</v>
      </c>
      <c r="C13" s="1" t="s">
        <v>1413</v>
      </c>
      <c r="D13" s="1" t="s">
        <v>148</v>
      </c>
    </row>
    <row r="14" spans="1:4">
      <c r="A14">
        <v>13</v>
      </c>
      <c r="B14" s="1" t="s">
        <v>21</v>
      </c>
      <c r="C14" s="1" t="s">
        <v>1414</v>
      </c>
      <c r="D14" s="1" t="s">
        <v>148</v>
      </c>
    </row>
    <row r="15" spans="1:4">
      <c r="A15">
        <v>14</v>
      </c>
      <c r="B15" s="1" t="s">
        <v>22</v>
      </c>
      <c r="C15" s="1" t="s">
        <v>1415</v>
      </c>
      <c r="D15" s="1" t="s">
        <v>148</v>
      </c>
    </row>
    <row r="16" spans="1:4">
      <c r="A16">
        <v>15</v>
      </c>
      <c r="B16" s="1" t="s">
        <v>23</v>
      </c>
      <c r="C16" s="1" t="s">
        <v>1416</v>
      </c>
      <c r="D16" s="1" t="s">
        <v>148</v>
      </c>
    </row>
    <row r="17" spans="1:4">
      <c r="A17">
        <v>16</v>
      </c>
      <c r="B17" s="1" t="s">
        <v>24</v>
      </c>
      <c r="C17" s="1" t="s">
        <v>1417</v>
      </c>
      <c r="D17" s="1" t="s">
        <v>148</v>
      </c>
    </row>
    <row r="18" spans="1:4">
      <c r="A18">
        <v>17</v>
      </c>
      <c r="B18" s="1" t="s">
        <v>25</v>
      </c>
      <c r="C18" s="1" t="s">
        <v>1418</v>
      </c>
      <c r="D18" s="1" t="s">
        <v>148</v>
      </c>
    </row>
    <row r="19" spans="1:4">
      <c r="A19">
        <v>18</v>
      </c>
      <c r="B19" s="1" t="s">
        <v>26</v>
      </c>
      <c r="C19" s="1" t="s">
        <v>1419</v>
      </c>
      <c r="D19" s="1" t="s">
        <v>148</v>
      </c>
    </row>
    <row r="20" spans="1:4">
      <c r="A20">
        <v>19</v>
      </c>
      <c r="B20" s="1" t="s">
        <v>27</v>
      </c>
      <c r="C20" s="1"/>
      <c r="D20" s="1" t="s">
        <v>148</v>
      </c>
    </row>
    <row r="21" spans="1:4">
      <c r="A21">
        <v>20</v>
      </c>
      <c r="B21" s="1" t="s">
        <v>28</v>
      </c>
      <c r="C21" s="1"/>
      <c r="D21" s="1" t="s">
        <v>148</v>
      </c>
    </row>
    <row r="22" spans="1:4">
      <c r="A22">
        <v>21</v>
      </c>
      <c r="B22" s="1" t="s">
        <v>29</v>
      </c>
      <c r="C22" s="1"/>
      <c r="D22" s="1" t="s">
        <v>148</v>
      </c>
    </row>
    <row r="23" spans="1:4">
      <c r="A23">
        <v>22</v>
      </c>
      <c r="B23" s="1" t="s">
        <v>30</v>
      </c>
      <c r="C23" s="1"/>
      <c r="D23" s="1" t="s">
        <v>148</v>
      </c>
    </row>
    <row r="24" spans="1:4">
      <c r="A24">
        <v>23</v>
      </c>
      <c r="B24" s="1" t="s">
        <v>31</v>
      </c>
      <c r="C24" s="1"/>
      <c r="D24" s="1" t="s">
        <v>148</v>
      </c>
    </row>
    <row r="25" spans="1:4">
      <c r="A25">
        <v>24</v>
      </c>
      <c r="B25" s="1" t="s">
        <v>32</v>
      </c>
      <c r="C25" s="1"/>
      <c r="D25" s="1" t="s">
        <v>148</v>
      </c>
    </row>
    <row r="26" spans="1:4">
      <c r="A26">
        <v>25</v>
      </c>
      <c r="B26" s="1" t="s">
        <v>33</v>
      </c>
      <c r="C26" s="1"/>
      <c r="D26" s="1" t="s">
        <v>148</v>
      </c>
    </row>
    <row r="27" spans="1:4">
      <c r="A27">
        <v>26</v>
      </c>
      <c r="B27" s="1" t="s">
        <v>34</v>
      </c>
      <c r="C27" s="1" t="s">
        <v>1420</v>
      </c>
      <c r="D27" s="1" t="s">
        <v>148</v>
      </c>
    </row>
    <row r="28" spans="1:4">
      <c r="A28">
        <v>27</v>
      </c>
      <c r="B28" s="1" t="s">
        <v>35</v>
      </c>
      <c r="C28" s="1" t="s">
        <v>1421</v>
      </c>
      <c r="D28" s="1" t="s">
        <v>148</v>
      </c>
    </row>
    <row r="29" spans="1:4">
      <c r="A29">
        <v>28</v>
      </c>
      <c r="B29" s="1" t="s">
        <v>36</v>
      </c>
      <c r="C29" s="1" t="s">
        <v>1422</v>
      </c>
      <c r="D29" s="1" t="s">
        <v>148</v>
      </c>
    </row>
    <row r="30" spans="1:4">
      <c r="A30">
        <v>29</v>
      </c>
      <c r="B30" s="1" t="s">
        <v>37</v>
      </c>
      <c r="C30" s="1" t="s">
        <v>1423</v>
      </c>
      <c r="D30" s="1" t="s">
        <v>148</v>
      </c>
    </row>
    <row r="31" spans="1:4">
      <c r="A31">
        <v>30</v>
      </c>
      <c r="B31" s="1" t="s">
        <v>38</v>
      </c>
      <c r="C31" s="1" t="s">
        <v>1424</v>
      </c>
      <c r="D31" s="1" t="s">
        <v>148</v>
      </c>
    </row>
    <row r="32" spans="1:4">
      <c r="A32">
        <v>31</v>
      </c>
      <c r="B32" s="1" t="s">
        <v>39</v>
      </c>
      <c r="C32" s="1" t="s">
        <v>1232</v>
      </c>
      <c r="D32" s="1" t="s">
        <v>148</v>
      </c>
    </row>
    <row r="33" spans="1:4">
      <c r="A33">
        <v>32</v>
      </c>
      <c r="B33" s="1" t="s">
        <v>40</v>
      </c>
      <c r="C33" s="1" t="s">
        <v>1231</v>
      </c>
      <c r="D33" s="1" t="s">
        <v>148</v>
      </c>
    </row>
    <row r="34" spans="1:4">
      <c r="A34">
        <v>33</v>
      </c>
      <c r="B34" s="1" t="s">
        <v>41</v>
      </c>
      <c r="C34" s="1" t="s">
        <v>1422</v>
      </c>
      <c r="D34" s="1" t="s">
        <v>148</v>
      </c>
    </row>
    <row r="35" spans="1:4">
      <c r="A35">
        <v>34</v>
      </c>
      <c r="B35" s="1" t="s">
        <v>42</v>
      </c>
      <c r="C35" s="1" t="s">
        <v>1425</v>
      </c>
      <c r="D35" s="1" t="s">
        <v>148</v>
      </c>
    </row>
    <row r="36" spans="1:4">
      <c r="A36">
        <v>35</v>
      </c>
      <c r="B36" s="1" t="s">
        <v>43</v>
      </c>
      <c r="C36" s="1" t="s">
        <v>1426</v>
      </c>
      <c r="D36" s="1" t="s">
        <v>148</v>
      </c>
    </row>
    <row r="37" spans="1:4">
      <c r="A37">
        <v>36</v>
      </c>
      <c r="B37" s="1" t="s">
        <v>44</v>
      </c>
      <c r="C37" s="1" t="s">
        <v>2029</v>
      </c>
      <c r="D37" s="1" t="s">
        <v>148</v>
      </c>
    </row>
    <row r="38" spans="1:4">
      <c r="A38">
        <v>37</v>
      </c>
      <c r="B38" s="1" t="s">
        <v>45</v>
      </c>
      <c r="C38" s="1" t="s">
        <v>2030</v>
      </c>
      <c r="D38" s="1" t="s">
        <v>148</v>
      </c>
    </row>
    <row r="39" spans="1:4">
      <c r="A39">
        <v>38</v>
      </c>
      <c r="B39" s="1" t="s">
        <v>46</v>
      </c>
      <c r="C39" s="1" t="s">
        <v>2464</v>
      </c>
      <c r="D39" s="1" t="s">
        <v>148</v>
      </c>
    </row>
    <row r="40" spans="1:4">
      <c r="A40">
        <v>39</v>
      </c>
      <c r="B40" s="1" t="s">
        <v>47</v>
      </c>
      <c r="C40" s="1" t="s">
        <v>2031</v>
      </c>
      <c r="D40" s="1" t="s">
        <v>148</v>
      </c>
    </row>
    <row r="41" spans="1:4">
      <c r="A41">
        <v>40</v>
      </c>
      <c r="B41" s="1" t="s">
        <v>48</v>
      </c>
      <c r="C41" s="1" t="s">
        <v>2464</v>
      </c>
      <c r="D41" s="1" t="s">
        <v>148</v>
      </c>
    </row>
    <row r="42" spans="1:4">
      <c r="A42">
        <v>41</v>
      </c>
      <c r="B42" s="1" t="s">
        <v>49</v>
      </c>
      <c r="C42" s="1" t="s">
        <v>2032</v>
      </c>
      <c r="D42" s="1" t="s">
        <v>148</v>
      </c>
    </row>
    <row r="43" spans="1:4">
      <c r="A43">
        <v>42</v>
      </c>
      <c r="B43" s="1" t="s">
        <v>50</v>
      </c>
      <c r="C43" s="1" t="s">
        <v>2464</v>
      </c>
      <c r="D43" s="1" t="s">
        <v>148</v>
      </c>
    </row>
    <row r="44" spans="1:4">
      <c r="A44">
        <v>43</v>
      </c>
      <c r="B44" s="1" t="s">
        <v>51</v>
      </c>
      <c r="C44" s="1" t="s">
        <v>2033</v>
      </c>
      <c r="D44" s="1" t="s">
        <v>148</v>
      </c>
    </row>
    <row r="45" spans="1:4">
      <c r="A45">
        <v>44</v>
      </c>
      <c r="B45" s="1" t="s">
        <v>52</v>
      </c>
      <c r="C45" s="1" t="s">
        <v>2464</v>
      </c>
      <c r="D45" s="1" t="s">
        <v>148</v>
      </c>
    </row>
    <row r="46" spans="1:4">
      <c r="A46">
        <v>45</v>
      </c>
      <c r="B46" s="1" t="s">
        <v>53</v>
      </c>
      <c r="C46" s="1" t="s">
        <v>2090</v>
      </c>
      <c r="D46" s="1" t="s">
        <v>148</v>
      </c>
    </row>
    <row r="47" spans="1:4">
      <c r="A47">
        <v>46</v>
      </c>
      <c r="B47" s="1" t="s">
        <v>54</v>
      </c>
      <c r="C47" s="1" t="s">
        <v>2464</v>
      </c>
      <c r="D47" s="1" t="s">
        <v>148</v>
      </c>
    </row>
    <row r="48" spans="1:4">
      <c r="A48">
        <v>47</v>
      </c>
      <c r="B48" s="1" t="s">
        <v>55</v>
      </c>
      <c r="C48" s="1"/>
      <c r="D48" s="1" t="s">
        <v>148</v>
      </c>
    </row>
    <row r="49" spans="1:4">
      <c r="A49">
        <v>48</v>
      </c>
      <c r="B49" s="1" t="s">
        <v>56</v>
      </c>
      <c r="C49" s="1"/>
      <c r="D49" s="1" t="s">
        <v>148</v>
      </c>
    </row>
    <row r="50" spans="1:4">
      <c r="A50">
        <v>49</v>
      </c>
      <c r="B50" s="1" t="s">
        <v>57</v>
      </c>
      <c r="C50" s="1" t="s">
        <v>4712</v>
      </c>
      <c r="D50" s="1" t="s">
        <v>148</v>
      </c>
    </row>
    <row r="51" spans="1:4">
      <c r="A51">
        <v>50</v>
      </c>
      <c r="B51" s="1" t="s">
        <v>58</v>
      </c>
      <c r="C51" s="1" t="s">
        <v>1427</v>
      </c>
      <c r="D51" s="1" t="s">
        <v>148</v>
      </c>
    </row>
    <row r="52" spans="1:4">
      <c r="A52">
        <v>51</v>
      </c>
      <c r="B52" s="1" t="s">
        <v>59</v>
      </c>
      <c r="C52" s="1" t="s">
        <v>1428</v>
      </c>
      <c r="D52" s="1" t="s">
        <v>148</v>
      </c>
    </row>
    <row r="53" spans="1:4">
      <c r="A53">
        <v>52</v>
      </c>
      <c r="B53" s="1" t="s">
        <v>60</v>
      </c>
      <c r="C53" s="1" t="s">
        <v>1429</v>
      </c>
      <c r="D53" s="1" t="s">
        <v>148</v>
      </c>
    </row>
    <row r="54" spans="1:4">
      <c r="A54">
        <v>53</v>
      </c>
      <c r="B54" s="1" t="s">
        <v>61</v>
      </c>
      <c r="C54" s="1" t="s">
        <v>1430</v>
      </c>
      <c r="D54" s="1" t="s">
        <v>148</v>
      </c>
    </row>
    <row r="55" spans="1:4">
      <c r="A55">
        <v>54</v>
      </c>
      <c r="B55" s="1" t="s">
        <v>62</v>
      </c>
      <c r="C55" s="1" t="s">
        <v>1431</v>
      </c>
      <c r="D55" s="1" t="s">
        <v>148</v>
      </c>
    </row>
    <row r="56" spans="1:4">
      <c r="A56">
        <v>55</v>
      </c>
      <c r="B56" s="1" t="s">
        <v>63</v>
      </c>
      <c r="C56" s="1" t="s">
        <v>1432</v>
      </c>
      <c r="D56" s="1" t="s">
        <v>148</v>
      </c>
    </row>
    <row r="57" spans="1:4">
      <c r="A57">
        <v>56</v>
      </c>
      <c r="B57" s="1" t="s">
        <v>64</v>
      </c>
      <c r="C57" s="1" t="s">
        <v>1433</v>
      </c>
      <c r="D57" s="1" t="s">
        <v>148</v>
      </c>
    </row>
    <row r="58" spans="1:4">
      <c r="A58">
        <v>57</v>
      </c>
      <c r="B58" s="1" t="s">
        <v>65</v>
      </c>
      <c r="C58" s="1" t="s">
        <v>1434</v>
      </c>
      <c r="D58" s="1" t="s">
        <v>148</v>
      </c>
    </row>
    <row r="59" spans="1:4">
      <c r="A59">
        <v>58</v>
      </c>
      <c r="B59" s="1" t="s">
        <v>66</v>
      </c>
      <c r="C59" s="1" t="s">
        <v>1435</v>
      </c>
      <c r="D59" s="1" t="s">
        <v>148</v>
      </c>
    </row>
    <row r="60" spans="1:4">
      <c r="A60">
        <v>59</v>
      </c>
      <c r="B60" s="1" t="s">
        <v>67</v>
      </c>
      <c r="C60" s="1" t="s">
        <v>1436</v>
      </c>
      <c r="D60" s="1" t="s">
        <v>148</v>
      </c>
    </row>
    <row r="61" spans="1:4">
      <c r="A61">
        <v>60</v>
      </c>
      <c r="B61" s="1" t="s">
        <v>68</v>
      </c>
      <c r="C61" s="1" t="s">
        <v>1437</v>
      </c>
      <c r="D61" s="1" t="s">
        <v>148</v>
      </c>
    </row>
    <row r="62" spans="1:4">
      <c r="A62">
        <v>61</v>
      </c>
      <c r="B62" s="1" t="s">
        <v>69</v>
      </c>
      <c r="C62" s="1" t="s">
        <v>1438</v>
      </c>
      <c r="D62" s="1" t="s">
        <v>148</v>
      </c>
    </row>
    <row r="63" spans="1:4">
      <c r="A63">
        <v>62</v>
      </c>
      <c r="B63" s="1" t="s">
        <v>70</v>
      </c>
      <c r="C63" s="1" t="s">
        <v>1439</v>
      </c>
      <c r="D63" s="1" t="s">
        <v>148</v>
      </c>
    </row>
    <row r="64" spans="1:4">
      <c r="A64">
        <v>63</v>
      </c>
      <c r="B64" s="1" t="s">
        <v>71</v>
      </c>
      <c r="C64" s="1" t="s">
        <v>1440</v>
      </c>
      <c r="D64" s="1" t="s">
        <v>148</v>
      </c>
    </row>
    <row r="65" spans="1:4">
      <c r="A65">
        <v>64</v>
      </c>
      <c r="B65" s="1" t="s">
        <v>72</v>
      </c>
      <c r="C65" s="1" t="s">
        <v>1441</v>
      </c>
      <c r="D65" s="1" t="s">
        <v>148</v>
      </c>
    </row>
    <row r="66" spans="1:4">
      <c r="A66">
        <v>65</v>
      </c>
      <c r="B66" s="1" t="s">
        <v>73</v>
      </c>
      <c r="C66" s="1" t="s">
        <v>1442</v>
      </c>
      <c r="D66" s="1" t="s">
        <v>148</v>
      </c>
    </row>
    <row r="67" spans="1:4">
      <c r="A67">
        <v>66</v>
      </c>
      <c r="B67" s="1" t="s">
        <v>74</v>
      </c>
      <c r="C67" s="1" t="s">
        <v>1443</v>
      </c>
      <c r="D67" s="1" t="s">
        <v>148</v>
      </c>
    </row>
    <row r="68" spans="1:4">
      <c r="A68">
        <v>67</v>
      </c>
      <c r="B68" s="1" t="s">
        <v>75</v>
      </c>
      <c r="C68" s="1" t="s">
        <v>4640</v>
      </c>
      <c r="D68" s="1" t="s">
        <v>148</v>
      </c>
    </row>
    <row r="69" spans="1:4">
      <c r="A69">
        <v>68</v>
      </c>
      <c r="B69" s="1" t="s">
        <v>76</v>
      </c>
      <c r="C69" s="1" t="s">
        <v>4641</v>
      </c>
      <c r="D69" s="1" t="s">
        <v>148</v>
      </c>
    </row>
    <row r="70" spans="1:4">
      <c r="A70">
        <v>69</v>
      </c>
      <c r="B70" s="1" t="s">
        <v>77</v>
      </c>
      <c r="C70" s="1" t="s">
        <v>4642</v>
      </c>
      <c r="D70" s="1" t="s">
        <v>148</v>
      </c>
    </row>
    <row r="71" spans="1:4">
      <c r="A71">
        <v>70</v>
      </c>
      <c r="B71" s="1" t="s">
        <v>78</v>
      </c>
      <c r="C71" s="1" t="s">
        <v>4643</v>
      </c>
      <c r="D71" s="1" t="s">
        <v>148</v>
      </c>
    </row>
    <row r="72" spans="1:4">
      <c r="A72">
        <v>71</v>
      </c>
      <c r="B72" s="1" t="s">
        <v>79</v>
      </c>
      <c r="C72" s="1" t="s">
        <v>4644</v>
      </c>
      <c r="D72" s="1" t="s">
        <v>148</v>
      </c>
    </row>
    <row r="73" spans="1:4">
      <c r="A73">
        <v>72</v>
      </c>
      <c r="B73" s="1" t="s">
        <v>80</v>
      </c>
      <c r="C73" s="1" t="s">
        <v>4645</v>
      </c>
      <c r="D73" s="1" t="s">
        <v>148</v>
      </c>
    </row>
    <row r="74" spans="1:4">
      <c r="A74">
        <v>73</v>
      </c>
      <c r="B74" s="1" t="s">
        <v>81</v>
      </c>
      <c r="C74" s="1" t="s">
        <v>2573</v>
      </c>
      <c r="D74" s="1" t="s">
        <v>148</v>
      </c>
    </row>
    <row r="75" spans="1:4">
      <c r="A75">
        <v>74</v>
      </c>
      <c r="B75" s="1" t="s">
        <v>82</v>
      </c>
      <c r="C75" s="1" t="s">
        <v>1445</v>
      </c>
      <c r="D75" s="1" t="s">
        <v>148</v>
      </c>
    </row>
    <row r="76" spans="1:4">
      <c r="A76">
        <v>75</v>
      </c>
      <c r="B76" s="1" t="s">
        <v>83</v>
      </c>
      <c r="C76" s="1" t="s">
        <v>1956</v>
      </c>
      <c r="D76" s="1" t="s">
        <v>148</v>
      </c>
    </row>
    <row r="77" spans="1:4">
      <c r="A77">
        <v>76</v>
      </c>
      <c r="B77" s="1" t="s">
        <v>1446</v>
      </c>
      <c r="C77" s="1" t="s">
        <v>1447</v>
      </c>
      <c r="D77" s="1" t="s">
        <v>148</v>
      </c>
    </row>
    <row r="78" spans="1:4">
      <c r="A78">
        <v>77</v>
      </c>
      <c r="B78" s="1" t="s">
        <v>84</v>
      </c>
      <c r="C78" s="1" t="s">
        <v>1448</v>
      </c>
      <c r="D78" s="1" t="s">
        <v>148</v>
      </c>
    </row>
    <row r="79" spans="1:4">
      <c r="A79">
        <v>78</v>
      </c>
      <c r="B79" s="1" t="s">
        <v>85</v>
      </c>
      <c r="C79" s="1" t="s">
        <v>1449</v>
      </c>
      <c r="D79" s="1" t="s">
        <v>148</v>
      </c>
    </row>
    <row r="80" spans="1:4">
      <c r="A80">
        <v>79</v>
      </c>
      <c r="B80" s="1" t="s">
        <v>86</v>
      </c>
      <c r="C80" s="1"/>
      <c r="D80" s="1" t="s">
        <v>148</v>
      </c>
    </row>
    <row r="81" spans="1:4">
      <c r="A81">
        <v>80</v>
      </c>
      <c r="B81" s="1" t="s">
        <v>87</v>
      </c>
      <c r="C81" s="1"/>
      <c r="D81" s="1" t="s">
        <v>148</v>
      </c>
    </row>
    <row r="82" spans="1:4">
      <c r="A82">
        <v>81</v>
      </c>
      <c r="B82" s="1" t="s">
        <v>88</v>
      </c>
      <c r="C82" s="1" t="s">
        <v>1450</v>
      </c>
      <c r="D82" s="1" t="s">
        <v>148</v>
      </c>
    </row>
    <row r="83" spans="1:4">
      <c r="A83">
        <v>82</v>
      </c>
      <c r="B83" s="1" t="s">
        <v>89</v>
      </c>
      <c r="C83" s="1" t="s">
        <v>1451</v>
      </c>
      <c r="D83" s="1" t="s">
        <v>148</v>
      </c>
    </row>
    <row r="84" spans="1:4">
      <c r="A84">
        <v>83</v>
      </c>
      <c r="B84" s="1" t="s">
        <v>90</v>
      </c>
      <c r="C84" s="1"/>
      <c r="D84" s="1" t="s">
        <v>148</v>
      </c>
    </row>
    <row r="85" spans="1:4">
      <c r="A85">
        <v>84</v>
      </c>
      <c r="B85" s="1" t="s">
        <v>91</v>
      </c>
      <c r="C85" s="1" t="s">
        <v>1452</v>
      </c>
      <c r="D85" s="1" t="s">
        <v>148</v>
      </c>
    </row>
    <row r="86" spans="1:4">
      <c r="A86">
        <v>85</v>
      </c>
      <c r="B86" s="1" t="s">
        <v>92</v>
      </c>
      <c r="C86" s="1" t="s">
        <v>1453</v>
      </c>
      <c r="D86" s="1" t="s">
        <v>148</v>
      </c>
    </row>
    <row r="87" spans="1:4">
      <c r="A87">
        <v>86</v>
      </c>
      <c r="B87" s="1" t="s">
        <v>93</v>
      </c>
      <c r="C87" s="1" t="s">
        <v>1454</v>
      </c>
      <c r="D87" s="1" t="s">
        <v>148</v>
      </c>
    </row>
    <row r="88" spans="1:4">
      <c r="A88">
        <v>87</v>
      </c>
      <c r="B88" s="1" t="s">
        <v>94</v>
      </c>
      <c r="C88" s="1" t="s">
        <v>1455</v>
      </c>
      <c r="D88" s="1" t="s">
        <v>148</v>
      </c>
    </row>
    <row r="89" spans="1:4">
      <c r="A89">
        <v>88</v>
      </c>
      <c r="B89" s="1" t="s">
        <v>95</v>
      </c>
      <c r="C89" s="1" t="s">
        <v>1456</v>
      </c>
      <c r="D89" s="1" t="s">
        <v>148</v>
      </c>
    </row>
    <row r="90" spans="1:4">
      <c r="A90">
        <v>89</v>
      </c>
      <c r="B90" s="1" t="s">
        <v>96</v>
      </c>
      <c r="C90" s="1" t="s">
        <v>1457</v>
      </c>
      <c r="D90" s="1" t="s">
        <v>148</v>
      </c>
    </row>
    <row r="91" spans="1:4">
      <c r="A91">
        <v>90</v>
      </c>
      <c r="B91" s="1" t="s">
        <v>97</v>
      </c>
      <c r="C91" s="1" t="s">
        <v>1850</v>
      </c>
      <c r="D91" s="1" t="s">
        <v>148</v>
      </c>
    </row>
    <row r="92" spans="1:4">
      <c r="A92">
        <v>91</v>
      </c>
      <c r="B92" s="1" t="s">
        <v>98</v>
      </c>
      <c r="C92" s="1" t="s">
        <v>1957</v>
      </c>
      <c r="D92" s="1" t="s">
        <v>148</v>
      </c>
    </row>
    <row r="93" spans="1:4">
      <c r="A93">
        <v>92</v>
      </c>
      <c r="B93" s="1" t="s">
        <v>99</v>
      </c>
      <c r="C93" s="1" t="s">
        <v>1867</v>
      </c>
      <c r="D93" s="1" t="s">
        <v>148</v>
      </c>
    </row>
    <row r="94" spans="1:4">
      <c r="A94">
        <v>93</v>
      </c>
      <c r="B94" s="1" t="s">
        <v>1458</v>
      </c>
      <c r="C94" s="1" t="s">
        <v>1459</v>
      </c>
      <c r="D94" s="1" t="s">
        <v>148</v>
      </c>
    </row>
    <row r="95" spans="1:4">
      <c r="A95">
        <v>94</v>
      </c>
      <c r="B95" s="1" t="s">
        <v>100</v>
      </c>
      <c r="C95" s="1" t="s">
        <v>1460</v>
      </c>
      <c r="D95" s="1" t="s">
        <v>148</v>
      </c>
    </row>
    <row r="96" spans="1:4">
      <c r="A96">
        <v>95</v>
      </c>
      <c r="B96" s="1" t="s">
        <v>101</v>
      </c>
      <c r="C96" s="1" t="s">
        <v>1461</v>
      </c>
      <c r="D96" s="1" t="s">
        <v>148</v>
      </c>
    </row>
    <row r="97" spans="1:4">
      <c r="A97">
        <v>96</v>
      </c>
      <c r="B97" s="1" t="s">
        <v>102</v>
      </c>
      <c r="C97" s="1" t="s">
        <v>1462</v>
      </c>
      <c r="D97" s="1" t="s">
        <v>148</v>
      </c>
    </row>
    <row r="98" spans="1:4">
      <c r="A98">
        <v>97</v>
      </c>
      <c r="B98" s="1" t="s">
        <v>103</v>
      </c>
      <c r="C98" s="1" t="s">
        <v>1463</v>
      </c>
      <c r="D98" s="1" t="s">
        <v>148</v>
      </c>
    </row>
    <row r="99" spans="1:4">
      <c r="A99">
        <v>98</v>
      </c>
      <c r="B99" s="1" t="s">
        <v>104</v>
      </c>
      <c r="C99" s="1" t="s">
        <v>1464</v>
      </c>
      <c r="D99" s="1" t="s">
        <v>148</v>
      </c>
    </row>
    <row r="100" spans="1:4">
      <c r="A100">
        <v>99</v>
      </c>
      <c r="B100" s="1" t="s">
        <v>105</v>
      </c>
      <c r="C100" s="1" t="s">
        <v>1465</v>
      </c>
      <c r="D100" s="1" t="s">
        <v>148</v>
      </c>
    </row>
    <row r="101" spans="1:4">
      <c r="A101">
        <v>100</v>
      </c>
      <c r="B101" s="1" t="s">
        <v>106</v>
      </c>
      <c r="C101" s="1" t="s">
        <v>1868</v>
      </c>
      <c r="D101" s="1" t="s">
        <v>148</v>
      </c>
    </row>
    <row r="102" spans="1:4">
      <c r="A102">
        <v>101</v>
      </c>
      <c r="B102" s="1" t="s">
        <v>107</v>
      </c>
      <c r="C102" s="1" t="s">
        <v>1466</v>
      </c>
      <c r="D102" s="1" t="s">
        <v>148</v>
      </c>
    </row>
    <row r="103" spans="1:4">
      <c r="A103">
        <v>102</v>
      </c>
      <c r="B103" s="1" t="s">
        <v>108</v>
      </c>
      <c r="C103" s="1" t="s">
        <v>4710</v>
      </c>
      <c r="D103" s="1" t="s">
        <v>148</v>
      </c>
    </row>
    <row r="104" spans="1:4">
      <c r="A104">
        <v>103</v>
      </c>
      <c r="B104" s="1" t="s">
        <v>109</v>
      </c>
      <c r="C104" s="1" t="s">
        <v>1465</v>
      </c>
      <c r="D104" s="1" t="s">
        <v>148</v>
      </c>
    </row>
    <row r="105" spans="1:4">
      <c r="A105">
        <v>104</v>
      </c>
      <c r="B105" s="1" t="s">
        <v>110</v>
      </c>
      <c r="C105" s="1" t="s">
        <v>1805</v>
      </c>
      <c r="D105" s="1" t="s">
        <v>148</v>
      </c>
    </row>
    <row r="106" spans="1:4">
      <c r="A106">
        <v>105</v>
      </c>
      <c r="B106" s="1" t="s">
        <v>64</v>
      </c>
      <c r="C106" s="1" t="s">
        <v>2464</v>
      </c>
      <c r="D106" s="1" t="s">
        <v>148</v>
      </c>
    </row>
    <row r="107" spans="1:4">
      <c r="A107">
        <v>106</v>
      </c>
      <c r="B107" s="1" t="s">
        <v>111</v>
      </c>
      <c r="C107" s="1" t="s">
        <v>1806</v>
      </c>
      <c r="D107" s="1" t="s">
        <v>148</v>
      </c>
    </row>
    <row r="108" spans="1:4">
      <c r="A108">
        <v>107</v>
      </c>
      <c r="B108" s="1" t="s">
        <v>112</v>
      </c>
      <c r="C108" s="1" t="s">
        <v>1807</v>
      </c>
      <c r="D108" s="1" t="s">
        <v>148</v>
      </c>
    </row>
    <row r="109" spans="1:4">
      <c r="A109">
        <v>108</v>
      </c>
      <c r="B109" s="1" t="s">
        <v>113</v>
      </c>
      <c r="C109" s="1" t="s">
        <v>1758</v>
      </c>
      <c r="D109" s="1" t="s">
        <v>148</v>
      </c>
    </row>
    <row r="110" spans="1:4">
      <c r="A110">
        <v>109</v>
      </c>
      <c r="B110" s="1" t="s">
        <v>66</v>
      </c>
      <c r="C110" s="1" t="s">
        <v>2464</v>
      </c>
      <c r="D110" s="1" t="s">
        <v>148</v>
      </c>
    </row>
    <row r="111" spans="1:4">
      <c r="A111">
        <v>110</v>
      </c>
      <c r="B111" s="1" t="s">
        <v>114</v>
      </c>
      <c r="C111" s="1" t="s">
        <v>1678</v>
      </c>
      <c r="D111" s="1" t="s">
        <v>148</v>
      </c>
    </row>
    <row r="112" spans="1:4">
      <c r="A112">
        <v>111</v>
      </c>
      <c r="B112" s="1" t="s">
        <v>66</v>
      </c>
      <c r="C112" s="1" t="s">
        <v>2464</v>
      </c>
      <c r="D112" s="1" t="s">
        <v>148</v>
      </c>
    </row>
    <row r="113" spans="1:4">
      <c r="A113">
        <v>112</v>
      </c>
      <c r="B113" s="1" t="s">
        <v>115</v>
      </c>
      <c r="C113" s="1" t="s">
        <v>1467</v>
      </c>
      <c r="D113" s="1" t="s">
        <v>148</v>
      </c>
    </row>
    <row r="114" spans="1:4">
      <c r="A114">
        <v>113</v>
      </c>
      <c r="B114" s="1" t="s">
        <v>1468</v>
      </c>
      <c r="C114" s="1" t="s">
        <v>2091</v>
      </c>
      <c r="D114" s="1" t="s">
        <v>148</v>
      </c>
    </row>
    <row r="115" spans="1:4">
      <c r="A115">
        <v>114</v>
      </c>
      <c r="B115" s="1" t="s">
        <v>116</v>
      </c>
      <c r="C115" s="1" t="s">
        <v>1469</v>
      </c>
      <c r="D115" s="1" t="s">
        <v>148</v>
      </c>
    </row>
    <row r="116" spans="1:4">
      <c r="A116">
        <v>115</v>
      </c>
      <c r="B116" s="1" t="s">
        <v>117</v>
      </c>
      <c r="C116" s="1" t="s">
        <v>1470</v>
      </c>
      <c r="D116" s="1" t="s">
        <v>148</v>
      </c>
    </row>
    <row r="117" spans="1:4">
      <c r="A117">
        <v>116</v>
      </c>
      <c r="B117" s="1" t="s">
        <v>1471</v>
      </c>
      <c r="C117" s="1" t="s">
        <v>1472</v>
      </c>
      <c r="D117" s="1" t="s">
        <v>148</v>
      </c>
    </row>
    <row r="118" spans="1:4">
      <c r="A118">
        <v>117</v>
      </c>
      <c r="B118" s="1" t="s">
        <v>118</v>
      </c>
      <c r="C118" s="1" t="s">
        <v>1232</v>
      </c>
      <c r="D118" s="1" t="s">
        <v>148</v>
      </c>
    </row>
    <row r="119" spans="1:4">
      <c r="A119">
        <v>118</v>
      </c>
      <c r="B119" s="1" t="s">
        <v>119</v>
      </c>
      <c r="C119" s="1" t="s">
        <v>1473</v>
      </c>
      <c r="D119" s="1" t="s">
        <v>148</v>
      </c>
    </row>
    <row r="120" spans="1:4">
      <c r="A120">
        <v>119</v>
      </c>
      <c r="B120" s="1" t="s">
        <v>120</v>
      </c>
      <c r="C120" s="1" t="s">
        <v>1474</v>
      </c>
      <c r="D120" s="1" t="s">
        <v>148</v>
      </c>
    </row>
    <row r="121" spans="1:4">
      <c r="A121">
        <v>120</v>
      </c>
      <c r="B121" s="1" t="s">
        <v>121</v>
      </c>
      <c r="C121" s="1" t="s">
        <v>1475</v>
      </c>
      <c r="D121" s="1" t="s">
        <v>148</v>
      </c>
    </row>
    <row r="122" spans="1:4">
      <c r="A122">
        <v>121</v>
      </c>
      <c r="B122" s="1" t="s">
        <v>122</v>
      </c>
      <c r="C122" s="1" t="s">
        <v>1476</v>
      </c>
      <c r="D122" s="1" t="s">
        <v>148</v>
      </c>
    </row>
    <row r="123" spans="1:4">
      <c r="A123">
        <v>122</v>
      </c>
      <c r="B123" s="1" t="s">
        <v>123</v>
      </c>
      <c r="C123" s="1" t="s">
        <v>1477</v>
      </c>
      <c r="D123" s="1" t="s">
        <v>148</v>
      </c>
    </row>
    <row r="124" spans="1:4">
      <c r="A124">
        <v>123</v>
      </c>
      <c r="B124" s="1" t="s">
        <v>1478</v>
      </c>
      <c r="C124" s="1" t="s">
        <v>1479</v>
      </c>
      <c r="D124" s="1" t="s">
        <v>148</v>
      </c>
    </row>
    <row r="125" spans="1:4">
      <c r="A125">
        <v>124</v>
      </c>
      <c r="B125" s="1" t="s">
        <v>124</v>
      </c>
      <c r="C125" s="1" t="s">
        <v>1480</v>
      </c>
      <c r="D125" s="1" t="s">
        <v>148</v>
      </c>
    </row>
    <row r="126" spans="1:4">
      <c r="A126">
        <v>125</v>
      </c>
      <c r="B126" s="1" t="s">
        <v>125</v>
      </c>
      <c r="C126" s="1" t="s">
        <v>1481</v>
      </c>
      <c r="D126" s="1" t="s">
        <v>148</v>
      </c>
    </row>
    <row r="127" spans="1:4">
      <c r="A127">
        <v>126</v>
      </c>
      <c r="B127" s="1" t="s">
        <v>126</v>
      </c>
      <c r="C127" s="1" t="s">
        <v>1482</v>
      </c>
      <c r="D127" s="1" t="s">
        <v>148</v>
      </c>
    </row>
    <row r="128" spans="1:4">
      <c r="A128">
        <v>127</v>
      </c>
      <c r="B128" s="1" t="s">
        <v>127</v>
      </c>
      <c r="C128" s="1" t="s">
        <v>1483</v>
      </c>
      <c r="D128" s="1" t="s">
        <v>148</v>
      </c>
    </row>
    <row r="129" spans="1:4">
      <c r="A129">
        <v>128</v>
      </c>
      <c r="B129" s="1" t="s">
        <v>128</v>
      </c>
      <c r="C129" s="1" t="s">
        <v>1754</v>
      </c>
      <c r="D129" s="1" t="s">
        <v>148</v>
      </c>
    </row>
    <row r="130" spans="1:4">
      <c r="A130">
        <v>129</v>
      </c>
      <c r="B130" s="1" t="s">
        <v>129</v>
      </c>
      <c r="C130" s="1" t="s">
        <v>1757</v>
      </c>
      <c r="D130" s="1" t="s">
        <v>148</v>
      </c>
    </row>
    <row r="131" spans="1:4">
      <c r="A131">
        <v>130</v>
      </c>
      <c r="B131" s="1" t="s">
        <v>130</v>
      </c>
      <c r="C131" s="1" t="s">
        <v>1869</v>
      </c>
      <c r="D131" s="1" t="s">
        <v>148</v>
      </c>
    </row>
    <row r="132" spans="1:4">
      <c r="A132">
        <v>131</v>
      </c>
      <c r="B132" s="1" t="s">
        <v>131</v>
      </c>
      <c r="C132" s="1" t="s">
        <v>1808</v>
      </c>
      <c r="D132" s="1" t="s">
        <v>148</v>
      </c>
    </row>
    <row r="133" spans="1:4">
      <c r="A133">
        <v>132</v>
      </c>
      <c r="B133" s="1" t="s">
        <v>132</v>
      </c>
      <c r="C133" s="1" t="s">
        <v>1870</v>
      </c>
      <c r="D133" s="1" t="s">
        <v>148</v>
      </c>
    </row>
    <row r="134" spans="1:4">
      <c r="A134">
        <v>133</v>
      </c>
      <c r="B134" s="1" t="s">
        <v>133</v>
      </c>
      <c r="C134" s="1" t="s">
        <v>1871</v>
      </c>
      <c r="D134" s="1" t="s">
        <v>148</v>
      </c>
    </row>
    <row r="135" spans="1:4">
      <c r="A135">
        <v>134</v>
      </c>
      <c r="B135" s="1" t="s">
        <v>134</v>
      </c>
      <c r="C135" s="1" t="s">
        <v>1484</v>
      </c>
      <c r="D135" s="1" t="s">
        <v>148</v>
      </c>
    </row>
    <row r="136" spans="1:4">
      <c r="A136">
        <v>135</v>
      </c>
      <c r="B136" s="1" t="s">
        <v>135</v>
      </c>
      <c r="C136" s="1" t="s">
        <v>1872</v>
      </c>
      <c r="D136" s="1" t="s">
        <v>148</v>
      </c>
    </row>
    <row r="137" spans="1:4">
      <c r="A137">
        <v>136</v>
      </c>
      <c r="B137" s="1" t="s">
        <v>136</v>
      </c>
      <c r="C137" s="1" t="s">
        <v>1871</v>
      </c>
      <c r="D137" s="1" t="s">
        <v>148</v>
      </c>
    </row>
    <row r="138" spans="1:4">
      <c r="A138">
        <v>137</v>
      </c>
      <c r="B138" s="1" t="s">
        <v>137</v>
      </c>
      <c r="C138" s="1" t="s">
        <v>1485</v>
      </c>
      <c r="D138" s="1" t="s">
        <v>148</v>
      </c>
    </row>
    <row r="139" spans="1:4">
      <c r="A139">
        <v>138</v>
      </c>
      <c r="B139" s="1" t="s">
        <v>138</v>
      </c>
      <c r="C139" s="1" t="s">
        <v>1761</v>
      </c>
      <c r="D139" s="1" t="s">
        <v>148</v>
      </c>
    </row>
    <row r="140" spans="1:4">
      <c r="A140">
        <v>139</v>
      </c>
      <c r="B140" s="1" t="s">
        <v>139</v>
      </c>
      <c r="C140" s="1" t="s">
        <v>1762</v>
      </c>
      <c r="D140" s="1" t="s">
        <v>148</v>
      </c>
    </row>
    <row r="141" spans="1:4">
      <c r="A141">
        <v>140</v>
      </c>
      <c r="B141" s="1" t="s">
        <v>140</v>
      </c>
      <c r="C141" s="1" t="s">
        <v>1755</v>
      </c>
      <c r="D141" s="1" t="s">
        <v>148</v>
      </c>
    </row>
    <row r="142" spans="1:4">
      <c r="A142">
        <v>141</v>
      </c>
      <c r="B142" s="1" t="s">
        <v>141</v>
      </c>
      <c r="C142" s="1" t="s">
        <v>1486</v>
      </c>
      <c r="D142" s="1" t="s">
        <v>148</v>
      </c>
    </row>
    <row r="143" spans="1:4">
      <c r="A143">
        <v>142</v>
      </c>
      <c r="B143" s="1" t="s">
        <v>142</v>
      </c>
      <c r="C143" s="1" t="s">
        <v>1487</v>
      </c>
      <c r="D143" s="1" t="s">
        <v>148</v>
      </c>
    </row>
    <row r="144" spans="1:4">
      <c r="A144">
        <v>143</v>
      </c>
      <c r="B144" s="1" t="s">
        <v>143</v>
      </c>
      <c r="C144" s="1"/>
      <c r="D144" s="1" t="s">
        <v>148</v>
      </c>
    </row>
    <row r="145" spans="1:4">
      <c r="A145">
        <v>144</v>
      </c>
      <c r="B145" s="1" t="s">
        <v>144</v>
      </c>
      <c r="C145" s="1"/>
      <c r="D145" s="1" t="s">
        <v>148</v>
      </c>
    </row>
    <row r="146" spans="1:4">
      <c r="A146">
        <v>145</v>
      </c>
      <c r="B146" s="1" t="s">
        <v>145</v>
      </c>
      <c r="C146" s="1"/>
      <c r="D146" s="1" t="s">
        <v>148</v>
      </c>
    </row>
    <row r="147" spans="1:4">
      <c r="A147">
        <v>146</v>
      </c>
      <c r="B147" s="1" t="s">
        <v>146</v>
      </c>
      <c r="C147" s="1"/>
      <c r="D147" s="1" t="s">
        <v>148</v>
      </c>
    </row>
    <row r="148" spans="1:4">
      <c r="A148">
        <v>147</v>
      </c>
      <c r="B148" s="1" t="s">
        <v>147</v>
      </c>
      <c r="C148" s="1" t="s">
        <v>1488</v>
      </c>
      <c r="D148" s="1" t="s">
        <v>148</v>
      </c>
    </row>
    <row r="149" spans="1:4">
      <c r="A149">
        <v>148</v>
      </c>
      <c r="B149" s="1" t="s">
        <v>149</v>
      </c>
      <c r="C149" s="1"/>
      <c r="D149" s="1" t="s">
        <v>164</v>
      </c>
    </row>
    <row r="150" spans="1:4">
      <c r="A150">
        <v>149</v>
      </c>
      <c r="B150" s="1" t="s">
        <v>150</v>
      </c>
      <c r="C150" s="1"/>
      <c r="D150" s="1" t="s">
        <v>164</v>
      </c>
    </row>
    <row r="151" spans="1:4">
      <c r="A151">
        <v>150</v>
      </c>
      <c r="B151" s="1" t="s">
        <v>151</v>
      </c>
      <c r="C151" s="1"/>
      <c r="D151" s="1" t="s">
        <v>164</v>
      </c>
    </row>
    <row r="152" spans="1:4">
      <c r="A152">
        <v>151</v>
      </c>
      <c r="B152" s="1" t="s">
        <v>152</v>
      </c>
      <c r="C152" s="1"/>
      <c r="D152" s="1" t="s">
        <v>164</v>
      </c>
    </row>
    <row r="153" spans="1:4">
      <c r="A153">
        <v>152</v>
      </c>
      <c r="B153" s="1" t="s">
        <v>153</v>
      </c>
      <c r="C153" s="1"/>
      <c r="D153" s="1" t="s">
        <v>164</v>
      </c>
    </row>
    <row r="154" spans="1:4">
      <c r="A154">
        <v>153</v>
      </c>
      <c r="B154" s="1" t="s">
        <v>154</v>
      </c>
      <c r="C154" s="1"/>
      <c r="D154" s="1" t="s">
        <v>164</v>
      </c>
    </row>
    <row r="155" spans="1:4">
      <c r="A155">
        <v>154</v>
      </c>
      <c r="B155" s="1" t="s">
        <v>155</v>
      </c>
      <c r="C155" s="1"/>
      <c r="D155" s="1" t="s">
        <v>164</v>
      </c>
    </row>
    <row r="156" spans="1:4">
      <c r="A156">
        <v>155</v>
      </c>
      <c r="B156" s="1" t="s">
        <v>156</v>
      </c>
      <c r="C156" s="1"/>
      <c r="D156" s="1" t="s">
        <v>164</v>
      </c>
    </row>
    <row r="157" spans="1:4">
      <c r="A157">
        <v>156</v>
      </c>
      <c r="B157" s="1" t="s">
        <v>157</v>
      </c>
      <c r="C157" s="1"/>
      <c r="D157" s="1" t="s">
        <v>164</v>
      </c>
    </row>
    <row r="158" spans="1:4">
      <c r="A158">
        <v>157</v>
      </c>
      <c r="B158" s="1" t="s">
        <v>158</v>
      </c>
      <c r="C158" s="1"/>
      <c r="D158" s="1" t="s">
        <v>164</v>
      </c>
    </row>
    <row r="159" spans="1:4">
      <c r="A159">
        <v>158</v>
      </c>
      <c r="B159" s="1" t="s">
        <v>159</v>
      </c>
      <c r="C159" s="1"/>
      <c r="D159" s="1" t="s">
        <v>164</v>
      </c>
    </row>
    <row r="160" spans="1:4">
      <c r="A160">
        <v>159</v>
      </c>
      <c r="B160" s="1" t="s">
        <v>160</v>
      </c>
      <c r="C160" s="1"/>
      <c r="D160" s="1" t="s">
        <v>164</v>
      </c>
    </row>
    <row r="161" spans="1:4">
      <c r="A161">
        <v>160</v>
      </c>
      <c r="B161" s="1" t="s">
        <v>161</v>
      </c>
      <c r="C161" s="1"/>
      <c r="D161" s="1" t="s">
        <v>164</v>
      </c>
    </row>
    <row r="162" spans="1:4">
      <c r="A162">
        <v>161</v>
      </c>
      <c r="B162" s="1" t="s">
        <v>162</v>
      </c>
      <c r="C162" s="1" t="s">
        <v>1873</v>
      </c>
      <c r="D162" s="1" t="s">
        <v>164</v>
      </c>
    </row>
    <row r="163" spans="1:4">
      <c r="A163">
        <v>162</v>
      </c>
      <c r="B163" s="1" t="s">
        <v>163</v>
      </c>
      <c r="C163" s="1" t="s">
        <v>1678</v>
      </c>
      <c r="D163" s="1" t="s">
        <v>164</v>
      </c>
    </row>
    <row r="164" spans="1:4">
      <c r="A164">
        <v>163</v>
      </c>
      <c r="B164" s="1" t="s">
        <v>149</v>
      </c>
      <c r="C164" s="1"/>
      <c r="D164" s="1" t="s">
        <v>165</v>
      </c>
    </row>
    <row r="165" spans="1:4">
      <c r="A165">
        <v>164</v>
      </c>
      <c r="B165" s="1" t="s">
        <v>150</v>
      </c>
      <c r="C165" s="1"/>
      <c r="D165" s="1" t="s">
        <v>165</v>
      </c>
    </row>
    <row r="166" spans="1:4">
      <c r="A166">
        <v>165</v>
      </c>
      <c r="B166" s="1" t="s">
        <v>151</v>
      </c>
      <c r="C166" s="1"/>
      <c r="D166" s="1" t="s">
        <v>165</v>
      </c>
    </row>
    <row r="167" spans="1:4">
      <c r="A167">
        <v>166</v>
      </c>
      <c r="B167" s="1" t="s">
        <v>152</v>
      </c>
      <c r="C167" s="1"/>
      <c r="D167" s="1" t="s">
        <v>165</v>
      </c>
    </row>
    <row r="168" spans="1:4">
      <c r="A168">
        <v>167</v>
      </c>
      <c r="B168" s="1" t="s">
        <v>153</v>
      </c>
      <c r="C168" s="1"/>
      <c r="D168" s="1" t="s">
        <v>165</v>
      </c>
    </row>
    <row r="169" spans="1:4">
      <c r="A169">
        <v>168</v>
      </c>
      <c r="B169" s="1" t="s">
        <v>154</v>
      </c>
      <c r="C169" s="1"/>
      <c r="D169" s="1" t="s">
        <v>165</v>
      </c>
    </row>
    <row r="170" spans="1:4">
      <c r="A170">
        <v>169</v>
      </c>
      <c r="B170" s="1" t="s">
        <v>155</v>
      </c>
      <c r="C170" s="1"/>
      <c r="D170" s="1" t="s">
        <v>165</v>
      </c>
    </row>
    <row r="171" spans="1:4">
      <c r="A171">
        <v>170</v>
      </c>
      <c r="B171" s="1" t="s">
        <v>156</v>
      </c>
      <c r="C171" s="1"/>
      <c r="D171" s="1" t="s">
        <v>165</v>
      </c>
    </row>
    <row r="172" spans="1:4">
      <c r="A172">
        <v>171</v>
      </c>
      <c r="B172" s="1" t="s">
        <v>157</v>
      </c>
      <c r="C172" s="1"/>
      <c r="D172" s="1" t="s">
        <v>165</v>
      </c>
    </row>
    <row r="173" spans="1:4">
      <c r="A173">
        <v>172</v>
      </c>
      <c r="B173" s="1" t="s">
        <v>158</v>
      </c>
      <c r="C173" s="1"/>
      <c r="D173" s="1" t="s">
        <v>165</v>
      </c>
    </row>
    <row r="174" spans="1:4">
      <c r="A174">
        <v>173</v>
      </c>
      <c r="B174" s="1" t="s">
        <v>159</v>
      </c>
      <c r="C174" s="1"/>
      <c r="D174" s="1" t="s">
        <v>165</v>
      </c>
    </row>
    <row r="175" spans="1:4">
      <c r="A175">
        <v>174</v>
      </c>
      <c r="B175" s="1" t="s">
        <v>160</v>
      </c>
      <c r="C175" s="1"/>
      <c r="D175" s="1" t="s">
        <v>165</v>
      </c>
    </row>
    <row r="176" spans="1:4">
      <c r="A176">
        <v>175</v>
      </c>
      <c r="B176" s="1" t="s">
        <v>161</v>
      </c>
      <c r="C176" s="1"/>
      <c r="D176" s="1" t="s">
        <v>165</v>
      </c>
    </row>
    <row r="177" spans="1:4">
      <c r="A177">
        <v>176</v>
      </c>
      <c r="B177" s="1" t="s">
        <v>162</v>
      </c>
      <c r="C177" s="1" t="s">
        <v>1873</v>
      </c>
      <c r="D177" s="1" t="s">
        <v>165</v>
      </c>
    </row>
    <row r="178" spans="1:4">
      <c r="A178">
        <v>177</v>
      </c>
      <c r="B178" s="1" t="s">
        <v>163</v>
      </c>
      <c r="C178" s="1" t="s">
        <v>1678</v>
      </c>
      <c r="D178" s="1" t="s">
        <v>165</v>
      </c>
    </row>
    <row r="179" spans="1:4">
      <c r="A179">
        <v>180</v>
      </c>
      <c r="B179" s="1" t="s">
        <v>166</v>
      </c>
      <c r="C179" s="1" t="s">
        <v>1874</v>
      </c>
      <c r="D179" s="1" t="s">
        <v>271</v>
      </c>
    </row>
    <row r="180" spans="1:4">
      <c r="A180">
        <v>181</v>
      </c>
      <c r="B180" s="1" t="s">
        <v>167</v>
      </c>
      <c r="C180" s="1" t="s">
        <v>1444</v>
      </c>
      <c r="D180" s="1" t="s">
        <v>271</v>
      </c>
    </row>
    <row r="181" spans="1:4">
      <c r="A181">
        <v>182</v>
      </c>
      <c r="B181" s="1" t="s">
        <v>168</v>
      </c>
      <c r="C181" s="1" t="s">
        <v>1385</v>
      </c>
      <c r="D181" s="1" t="s">
        <v>271</v>
      </c>
    </row>
    <row r="182" spans="1:4">
      <c r="A182">
        <v>183</v>
      </c>
      <c r="B182" s="1" t="s">
        <v>169</v>
      </c>
      <c r="C182" s="1" t="s">
        <v>1386</v>
      </c>
      <c r="D182" s="1" t="s">
        <v>271</v>
      </c>
    </row>
    <row r="183" spans="1:4">
      <c r="A183">
        <v>184</v>
      </c>
      <c r="B183" s="1" t="s">
        <v>170</v>
      </c>
      <c r="C183" s="1" t="s">
        <v>1387</v>
      </c>
      <c r="D183" s="1" t="s">
        <v>271</v>
      </c>
    </row>
    <row r="184" spans="1:4">
      <c r="A184">
        <v>185</v>
      </c>
      <c r="B184" s="1" t="s">
        <v>171</v>
      </c>
      <c r="C184" s="1" t="s">
        <v>1489</v>
      </c>
      <c r="D184" s="1" t="s">
        <v>271</v>
      </c>
    </row>
    <row r="185" spans="1:4">
      <c r="A185">
        <v>186</v>
      </c>
      <c r="B185" s="1" t="s">
        <v>172</v>
      </c>
      <c r="C185" s="1" t="s">
        <v>1490</v>
      </c>
      <c r="D185" s="1" t="s">
        <v>271</v>
      </c>
    </row>
    <row r="186" spans="1:4">
      <c r="A186">
        <v>187</v>
      </c>
      <c r="B186" s="1" t="s">
        <v>173</v>
      </c>
      <c r="C186" s="1" t="s">
        <v>1491</v>
      </c>
      <c r="D186" s="1" t="s">
        <v>271</v>
      </c>
    </row>
    <row r="187" spans="1:4">
      <c r="A187">
        <v>188</v>
      </c>
      <c r="B187" s="1" t="s">
        <v>174</v>
      </c>
      <c r="C187" s="1" t="s">
        <v>1492</v>
      </c>
      <c r="D187" s="1" t="s">
        <v>271</v>
      </c>
    </row>
    <row r="188" spans="1:4">
      <c r="A188">
        <v>189</v>
      </c>
      <c r="B188" s="1" t="s">
        <v>175</v>
      </c>
      <c r="C188" s="1" t="s">
        <v>1493</v>
      </c>
      <c r="D188" s="1" t="s">
        <v>271</v>
      </c>
    </row>
    <row r="189" spans="1:4">
      <c r="A189">
        <v>190</v>
      </c>
      <c r="B189" s="1" t="s">
        <v>176</v>
      </c>
      <c r="C189" s="1" t="s">
        <v>1494</v>
      </c>
      <c r="D189" s="1" t="s">
        <v>271</v>
      </c>
    </row>
    <row r="190" spans="1:4">
      <c r="A190">
        <v>191</v>
      </c>
      <c r="B190" s="1" t="s">
        <v>177</v>
      </c>
      <c r="C190" s="1" t="s">
        <v>1495</v>
      </c>
      <c r="D190" s="1" t="s">
        <v>271</v>
      </c>
    </row>
    <row r="191" spans="1:4">
      <c r="A191">
        <v>192</v>
      </c>
      <c r="B191" s="1" t="s">
        <v>178</v>
      </c>
      <c r="C191" s="1" t="s">
        <v>1496</v>
      </c>
      <c r="D191" s="1" t="s">
        <v>271</v>
      </c>
    </row>
    <row r="192" spans="1:4">
      <c r="A192">
        <v>193</v>
      </c>
      <c r="B192" s="1" t="s">
        <v>179</v>
      </c>
      <c r="C192" s="1" t="s">
        <v>1497</v>
      </c>
      <c r="D192" s="1" t="s">
        <v>271</v>
      </c>
    </row>
    <row r="193" spans="1:4">
      <c r="A193">
        <v>194</v>
      </c>
      <c r="B193" s="1" t="s">
        <v>180</v>
      </c>
      <c r="C193" s="1" t="s">
        <v>1875</v>
      </c>
      <c r="D193" s="1" t="s">
        <v>271</v>
      </c>
    </row>
    <row r="194" spans="1:4">
      <c r="A194">
        <v>195</v>
      </c>
      <c r="B194" s="1" t="s">
        <v>181</v>
      </c>
      <c r="C194" s="1" t="s">
        <v>1876</v>
      </c>
      <c r="D194" s="1" t="s">
        <v>271</v>
      </c>
    </row>
    <row r="195" spans="1:4">
      <c r="A195">
        <v>196</v>
      </c>
      <c r="B195" s="1" t="s">
        <v>182</v>
      </c>
      <c r="C195" s="1" t="s">
        <v>1877</v>
      </c>
      <c r="D195" s="1" t="s">
        <v>271</v>
      </c>
    </row>
    <row r="196" spans="1:4">
      <c r="A196">
        <v>197</v>
      </c>
      <c r="B196" s="1" t="s">
        <v>183</v>
      </c>
      <c r="C196" s="1" t="s">
        <v>1878</v>
      </c>
      <c r="D196" s="1" t="s">
        <v>271</v>
      </c>
    </row>
    <row r="197" spans="1:4">
      <c r="A197">
        <v>198</v>
      </c>
      <c r="B197" s="1" t="s">
        <v>184</v>
      </c>
      <c r="C197" s="1" t="s">
        <v>1879</v>
      </c>
      <c r="D197" s="1" t="s">
        <v>271</v>
      </c>
    </row>
    <row r="198" spans="1:4">
      <c r="A198">
        <v>200</v>
      </c>
      <c r="B198" s="1" t="s">
        <v>185</v>
      </c>
      <c r="C198" s="1" t="s">
        <v>1880</v>
      </c>
      <c r="D198" s="1" t="s">
        <v>271</v>
      </c>
    </row>
    <row r="199" spans="1:4">
      <c r="A199">
        <v>201</v>
      </c>
      <c r="B199" s="1" t="s">
        <v>186</v>
      </c>
      <c r="C199" s="1" t="s">
        <v>1881</v>
      </c>
      <c r="D199" s="1" t="s">
        <v>271</v>
      </c>
    </row>
    <row r="200" spans="1:4">
      <c r="A200">
        <v>202</v>
      </c>
      <c r="B200" s="1" t="s">
        <v>187</v>
      </c>
      <c r="C200" s="1" t="s">
        <v>1882</v>
      </c>
      <c r="D200" s="1" t="s">
        <v>271</v>
      </c>
    </row>
    <row r="201" spans="1:4">
      <c r="A201">
        <v>203</v>
      </c>
      <c r="B201" s="1" t="s">
        <v>188</v>
      </c>
      <c r="C201" s="1" t="s">
        <v>1883</v>
      </c>
      <c r="D201" s="1" t="s">
        <v>271</v>
      </c>
    </row>
    <row r="202" spans="1:4">
      <c r="A202">
        <v>204</v>
      </c>
      <c r="B202" s="1" t="s">
        <v>189</v>
      </c>
      <c r="C202" s="1" t="s">
        <v>2574</v>
      </c>
      <c r="D202" s="1" t="s">
        <v>271</v>
      </c>
    </row>
    <row r="203" spans="1:4">
      <c r="A203">
        <v>205</v>
      </c>
      <c r="B203" s="1" t="s">
        <v>190</v>
      </c>
      <c r="C203" s="1" t="s">
        <v>1884</v>
      </c>
      <c r="D203" s="1" t="s">
        <v>271</v>
      </c>
    </row>
    <row r="204" spans="1:4">
      <c r="A204">
        <v>206</v>
      </c>
      <c r="B204" s="1" t="s">
        <v>191</v>
      </c>
      <c r="C204" s="1" t="s">
        <v>1885</v>
      </c>
      <c r="D204" s="1" t="s">
        <v>271</v>
      </c>
    </row>
    <row r="205" spans="1:4">
      <c r="A205">
        <v>207</v>
      </c>
      <c r="B205" s="1" t="s">
        <v>186</v>
      </c>
      <c r="C205" s="1" t="s">
        <v>1881</v>
      </c>
      <c r="D205" s="1" t="s">
        <v>271</v>
      </c>
    </row>
    <row r="206" spans="1:4">
      <c r="A206">
        <v>208</v>
      </c>
      <c r="B206" s="1" t="s">
        <v>192</v>
      </c>
      <c r="C206" s="1" t="s">
        <v>1886</v>
      </c>
      <c r="D206" s="1" t="s">
        <v>271</v>
      </c>
    </row>
    <row r="207" spans="1:4">
      <c r="A207">
        <v>209</v>
      </c>
      <c r="B207" s="1" t="s">
        <v>193</v>
      </c>
      <c r="C207" s="1" t="s">
        <v>1887</v>
      </c>
      <c r="D207" s="1" t="s">
        <v>271</v>
      </c>
    </row>
    <row r="208" spans="1:4">
      <c r="A208">
        <v>210</v>
      </c>
      <c r="B208" s="1" t="s">
        <v>194</v>
      </c>
      <c r="C208" s="1" t="s">
        <v>1888</v>
      </c>
      <c r="D208" s="1" t="s">
        <v>271</v>
      </c>
    </row>
    <row r="209" spans="1:4">
      <c r="A209">
        <v>211</v>
      </c>
      <c r="B209" s="1" t="s">
        <v>195</v>
      </c>
      <c r="C209" s="1" t="s">
        <v>1498</v>
      </c>
      <c r="D209" s="1" t="s">
        <v>271</v>
      </c>
    </row>
    <row r="210" spans="1:4">
      <c r="A210">
        <v>212</v>
      </c>
      <c r="B210" s="1" t="s">
        <v>196</v>
      </c>
      <c r="C210" s="1" t="s">
        <v>1889</v>
      </c>
      <c r="D210" s="1" t="s">
        <v>271</v>
      </c>
    </row>
    <row r="211" spans="1:4">
      <c r="A211">
        <v>213</v>
      </c>
      <c r="B211" s="1" t="s">
        <v>197</v>
      </c>
      <c r="C211" s="1" t="s">
        <v>4713</v>
      </c>
      <c r="D211" s="1" t="s">
        <v>271</v>
      </c>
    </row>
    <row r="212" spans="1:4">
      <c r="A212">
        <v>214</v>
      </c>
      <c r="B212" s="1" t="s">
        <v>198</v>
      </c>
      <c r="C212" s="1" t="s">
        <v>1890</v>
      </c>
      <c r="D212" s="1" t="s">
        <v>271</v>
      </c>
    </row>
    <row r="213" spans="1:4">
      <c r="A213">
        <v>215</v>
      </c>
      <c r="B213" s="1" t="s">
        <v>199</v>
      </c>
      <c r="C213" s="1" t="s">
        <v>1891</v>
      </c>
      <c r="D213" s="1" t="s">
        <v>271</v>
      </c>
    </row>
    <row r="214" spans="1:4">
      <c r="A214">
        <v>216</v>
      </c>
      <c r="B214" s="1" t="s">
        <v>200</v>
      </c>
      <c r="C214" s="1" t="s">
        <v>1892</v>
      </c>
      <c r="D214" s="1" t="s">
        <v>271</v>
      </c>
    </row>
    <row r="215" spans="1:4">
      <c r="A215">
        <v>217</v>
      </c>
      <c r="B215" s="1" t="s">
        <v>201</v>
      </c>
      <c r="C215" s="1" t="s">
        <v>1499</v>
      </c>
      <c r="D215" s="1" t="s">
        <v>271</v>
      </c>
    </row>
    <row r="216" spans="1:4">
      <c r="A216">
        <v>218</v>
      </c>
      <c r="B216" s="1" t="s">
        <v>202</v>
      </c>
      <c r="C216" s="1" t="s">
        <v>1726</v>
      </c>
      <c r="D216" s="1" t="s">
        <v>271</v>
      </c>
    </row>
    <row r="217" spans="1:4">
      <c r="A217">
        <v>219</v>
      </c>
      <c r="B217" s="1" t="s">
        <v>203</v>
      </c>
      <c r="C217" s="1" t="s">
        <v>1727</v>
      </c>
      <c r="D217" s="1" t="s">
        <v>271</v>
      </c>
    </row>
    <row r="218" spans="1:4">
      <c r="A218">
        <v>220</v>
      </c>
      <c r="B218" s="1" t="s">
        <v>204</v>
      </c>
      <c r="C218" s="1" t="s">
        <v>1728</v>
      </c>
      <c r="D218" s="1" t="s">
        <v>271</v>
      </c>
    </row>
    <row r="219" spans="1:4">
      <c r="A219">
        <v>221</v>
      </c>
      <c r="B219" s="1" t="s">
        <v>205</v>
      </c>
      <c r="C219" s="1" t="s">
        <v>1729</v>
      </c>
      <c r="D219" s="1" t="s">
        <v>271</v>
      </c>
    </row>
    <row r="220" spans="1:4">
      <c r="A220">
        <v>222</v>
      </c>
      <c r="B220" s="1" t="s">
        <v>206</v>
      </c>
      <c r="C220" s="1" t="s">
        <v>1730</v>
      </c>
      <c r="D220" s="1" t="s">
        <v>271</v>
      </c>
    </row>
    <row r="221" spans="1:4">
      <c r="A221">
        <v>223</v>
      </c>
      <c r="B221" s="1" t="s">
        <v>207</v>
      </c>
      <c r="C221" s="1" t="s">
        <v>1731</v>
      </c>
      <c r="D221" s="1" t="s">
        <v>271</v>
      </c>
    </row>
    <row r="222" spans="1:4">
      <c r="A222">
        <v>224</v>
      </c>
      <c r="B222" s="1" t="s">
        <v>208</v>
      </c>
      <c r="C222" s="1" t="s">
        <v>1732</v>
      </c>
      <c r="D222" s="1" t="s">
        <v>271</v>
      </c>
    </row>
    <row r="223" spans="1:4">
      <c r="A223">
        <v>225</v>
      </c>
      <c r="B223" s="1" t="s">
        <v>209</v>
      </c>
      <c r="C223" s="1" t="s">
        <v>1733</v>
      </c>
      <c r="D223" s="1" t="s">
        <v>271</v>
      </c>
    </row>
    <row r="224" spans="1:4">
      <c r="A224">
        <v>226</v>
      </c>
      <c r="B224" s="1" t="s">
        <v>210</v>
      </c>
      <c r="C224" s="1" t="s">
        <v>1734</v>
      </c>
      <c r="D224" s="1" t="s">
        <v>271</v>
      </c>
    </row>
    <row r="225" spans="1:4">
      <c r="A225">
        <v>227</v>
      </c>
      <c r="B225" s="1" t="s">
        <v>211</v>
      </c>
      <c r="C225" s="1" t="s">
        <v>1735</v>
      </c>
      <c r="D225" s="1" t="s">
        <v>271</v>
      </c>
    </row>
    <row r="226" spans="1:4">
      <c r="A226">
        <v>228</v>
      </c>
      <c r="B226" s="1" t="s">
        <v>212</v>
      </c>
      <c r="C226" s="1" t="s">
        <v>1736</v>
      </c>
      <c r="D226" s="1" t="s">
        <v>271</v>
      </c>
    </row>
    <row r="227" spans="1:4">
      <c r="A227">
        <v>229</v>
      </c>
      <c r="B227" s="1" t="s">
        <v>213</v>
      </c>
      <c r="C227" s="1" t="s">
        <v>1737</v>
      </c>
      <c r="D227" s="1" t="s">
        <v>271</v>
      </c>
    </row>
    <row r="228" spans="1:4">
      <c r="A228">
        <v>230</v>
      </c>
      <c r="B228" s="1" t="s">
        <v>214</v>
      </c>
      <c r="C228" s="1" t="s">
        <v>1893</v>
      </c>
      <c r="D228" s="1" t="s">
        <v>271</v>
      </c>
    </row>
    <row r="229" spans="1:4">
      <c r="A229">
        <v>231</v>
      </c>
      <c r="B229" s="1" t="s">
        <v>215</v>
      </c>
      <c r="C229" s="1" t="s">
        <v>1894</v>
      </c>
      <c r="D229" s="1" t="s">
        <v>271</v>
      </c>
    </row>
    <row r="230" spans="1:4">
      <c r="A230">
        <v>232</v>
      </c>
      <c r="B230" s="1" t="s">
        <v>216</v>
      </c>
      <c r="C230" s="1" t="s">
        <v>1500</v>
      </c>
      <c r="D230" s="1" t="s">
        <v>271</v>
      </c>
    </row>
    <row r="231" spans="1:4">
      <c r="A231">
        <v>233</v>
      </c>
      <c r="B231" s="1" t="s">
        <v>217</v>
      </c>
      <c r="C231" s="1" t="s">
        <v>1501</v>
      </c>
      <c r="D231" s="1" t="s">
        <v>271</v>
      </c>
    </row>
    <row r="232" spans="1:4">
      <c r="A232">
        <v>234</v>
      </c>
      <c r="B232" s="1" t="s">
        <v>218</v>
      </c>
      <c r="C232" s="1" t="s">
        <v>1502</v>
      </c>
      <c r="D232" s="1" t="s">
        <v>271</v>
      </c>
    </row>
    <row r="233" spans="1:4">
      <c r="A233">
        <v>235</v>
      </c>
      <c r="B233" s="1" t="s">
        <v>219</v>
      </c>
      <c r="C233" s="1" t="s">
        <v>1895</v>
      </c>
      <c r="D233" s="1" t="s">
        <v>271</v>
      </c>
    </row>
    <row r="234" spans="1:4">
      <c r="A234">
        <v>236</v>
      </c>
      <c r="B234" s="1" t="s">
        <v>220</v>
      </c>
      <c r="C234" s="1" t="s">
        <v>1896</v>
      </c>
      <c r="D234" s="1" t="s">
        <v>271</v>
      </c>
    </row>
    <row r="235" spans="1:4">
      <c r="A235">
        <v>237</v>
      </c>
      <c r="B235" s="1" t="s">
        <v>56</v>
      </c>
      <c r="C235" s="1" t="s">
        <v>1750</v>
      </c>
      <c r="D235" s="1" t="s">
        <v>271</v>
      </c>
    </row>
    <row r="236" spans="1:4">
      <c r="A236">
        <v>238</v>
      </c>
      <c r="B236" s="1" t="s">
        <v>221</v>
      </c>
      <c r="C236" s="1" t="s">
        <v>1976</v>
      </c>
      <c r="D236" s="1" t="s">
        <v>271</v>
      </c>
    </row>
    <row r="237" spans="1:4">
      <c r="A237">
        <v>239</v>
      </c>
      <c r="B237" s="1" t="s">
        <v>222</v>
      </c>
      <c r="C237" s="1" t="s">
        <v>1897</v>
      </c>
      <c r="D237" s="1" t="s">
        <v>271</v>
      </c>
    </row>
    <row r="238" spans="1:4">
      <c r="A238">
        <v>240</v>
      </c>
      <c r="B238" s="1" t="s">
        <v>223</v>
      </c>
      <c r="C238" s="1" t="s">
        <v>1977</v>
      </c>
      <c r="D238" s="1" t="s">
        <v>271</v>
      </c>
    </row>
    <row r="239" spans="1:4">
      <c r="A239">
        <v>241</v>
      </c>
      <c r="B239" s="1" t="s">
        <v>219</v>
      </c>
      <c r="C239" s="1" t="s">
        <v>1898</v>
      </c>
      <c r="D239" s="1" t="s">
        <v>271</v>
      </c>
    </row>
    <row r="240" spans="1:4">
      <c r="A240">
        <v>242</v>
      </c>
      <c r="B240" s="1" t="s">
        <v>224</v>
      </c>
      <c r="C240" s="1" t="s">
        <v>1899</v>
      </c>
      <c r="D240" s="1" t="s">
        <v>271</v>
      </c>
    </row>
    <row r="241" spans="1:4">
      <c r="A241">
        <v>243</v>
      </c>
      <c r="B241" s="1" t="s">
        <v>56</v>
      </c>
      <c r="C241" s="1"/>
      <c r="D241" s="1" t="s">
        <v>271</v>
      </c>
    </row>
    <row r="242" spans="1:4">
      <c r="A242">
        <v>244</v>
      </c>
      <c r="B242" s="1" t="s">
        <v>225</v>
      </c>
      <c r="C242" s="1" t="s">
        <v>1900</v>
      </c>
      <c r="D242" s="1" t="s">
        <v>271</v>
      </c>
    </row>
    <row r="243" spans="1:4">
      <c r="A243">
        <v>245</v>
      </c>
      <c r="B243" s="1" t="s">
        <v>226</v>
      </c>
      <c r="C243" s="1" t="s">
        <v>1901</v>
      </c>
      <c r="D243" s="1" t="s">
        <v>271</v>
      </c>
    </row>
    <row r="244" spans="1:4">
      <c r="A244">
        <v>246</v>
      </c>
      <c r="B244" s="1" t="s">
        <v>227</v>
      </c>
      <c r="C244" s="1" t="s">
        <v>1902</v>
      </c>
      <c r="D244" s="1" t="s">
        <v>271</v>
      </c>
    </row>
    <row r="245" spans="1:4">
      <c r="A245">
        <v>247</v>
      </c>
      <c r="B245" s="1" t="s">
        <v>228</v>
      </c>
      <c r="C245" s="1" t="s">
        <v>1903</v>
      </c>
      <c r="D245" s="1" t="s">
        <v>271</v>
      </c>
    </row>
    <row r="246" spans="1:4">
      <c r="A246">
        <v>248</v>
      </c>
      <c r="B246" s="1" t="s">
        <v>229</v>
      </c>
      <c r="C246" s="1" t="s">
        <v>1904</v>
      </c>
      <c r="D246" s="1" t="s">
        <v>271</v>
      </c>
    </row>
    <row r="247" spans="1:4">
      <c r="A247">
        <v>249</v>
      </c>
      <c r="B247" s="1" t="s">
        <v>230</v>
      </c>
      <c r="C247" s="1" t="s">
        <v>1978</v>
      </c>
      <c r="D247" s="1" t="s">
        <v>271</v>
      </c>
    </row>
    <row r="248" spans="1:4">
      <c r="A248">
        <v>250</v>
      </c>
      <c r="B248" s="1" t="s">
        <v>231</v>
      </c>
      <c r="C248" s="1" t="s">
        <v>1979</v>
      </c>
      <c r="D248" s="1" t="s">
        <v>271</v>
      </c>
    </row>
    <row r="249" spans="1:4">
      <c r="A249">
        <v>251</v>
      </c>
      <c r="B249" s="1" t="s">
        <v>232</v>
      </c>
      <c r="C249" s="1" t="s">
        <v>1980</v>
      </c>
      <c r="D249" s="1" t="s">
        <v>271</v>
      </c>
    </row>
    <row r="250" spans="1:4">
      <c r="A250">
        <v>252</v>
      </c>
      <c r="B250" s="1" t="s">
        <v>233</v>
      </c>
      <c r="C250" s="1" t="s">
        <v>1981</v>
      </c>
      <c r="D250" s="1" t="s">
        <v>271</v>
      </c>
    </row>
    <row r="251" spans="1:4">
      <c r="A251">
        <v>253</v>
      </c>
      <c r="B251" s="1" t="s">
        <v>234</v>
      </c>
      <c r="C251" s="1" t="s">
        <v>1982</v>
      </c>
      <c r="D251" s="1" t="s">
        <v>271</v>
      </c>
    </row>
    <row r="252" spans="1:4">
      <c r="A252">
        <v>254</v>
      </c>
      <c r="B252" s="1" t="s">
        <v>235</v>
      </c>
      <c r="C252" s="1" t="s">
        <v>1983</v>
      </c>
      <c r="D252" s="1" t="s">
        <v>271</v>
      </c>
    </row>
    <row r="253" spans="1:4">
      <c r="A253">
        <v>255</v>
      </c>
      <c r="B253" s="1" t="s">
        <v>236</v>
      </c>
      <c r="C253" s="1" t="s">
        <v>1905</v>
      </c>
      <c r="D253" s="1" t="s">
        <v>271</v>
      </c>
    </row>
    <row r="254" spans="1:4">
      <c r="A254">
        <v>256</v>
      </c>
      <c r="B254" s="1" t="s">
        <v>237</v>
      </c>
      <c r="C254" s="1" t="s">
        <v>4646</v>
      </c>
      <c r="D254" s="1" t="s">
        <v>271</v>
      </c>
    </row>
    <row r="255" spans="1:4">
      <c r="A255">
        <v>257</v>
      </c>
      <c r="B255" s="1" t="s">
        <v>238</v>
      </c>
      <c r="C255" s="1" t="s">
        <v>1809</v>
      </c>
      <c r="D255" s="1" t="s">
        <v>271</v>
      </c>
    </row>
    <row r="256" spans="1:4">
      <c r="A256">
        <v>258</v>
      </c>
      <c r="B256" s="1" t="s">
        <v>239</v>
      </c>
      <c r="C256" s="1" t="s">
        <v>1503</v>
      </c>
      <c r="D256" s="1" t="s">
        <v>271</v>
      </c>
    </row>
    <row r="257" spans="1:4">
      <c r="A257">
        <v>259</v>
      </c>
      <c r="B257" s="1" t="s">
        <v>240</v>
      </c>
      <c r="C257" s="1" t="s">
        <v>1937</v>
      </c>
      <c r="D257" s="1" t="s">
        <v>271</v>
      </c>
    </row>
    <row r="258" spans="1:4">
      <c r="A258">
        <v>260</v>
      </c>
      <c r="B258" s="1" t="s">
        <v>241</v>
      </c>
      <c r="C258" s="1" t="s">
        <v>1938</v>
      </c>
      <c r="D258" s="1" t="s">
        <v>271</v>
      </c>
    </row>
    <row r="259" spans="1:4">
      <c r="A259">
        <v>261</v>
      </c>
      <c r="B259" s="1" t="s">
        <v>242</v>
      </c>
      <c r="C259" s="1" t="s">
        <v>1906</v>
      </c>
      <c r="D259" s="1" t="s">
        <v>271</v>
      </c>
    </row>
    <row r="260" spans="1:4">
      <c r="A260">
        <v>262</v>
      </c>
      <c r="B260" s="1" t="s">
        <v>243</v>
      </c>
      <c r="C260" s="1" t="s">
        <v>1907</v>
      </c>
      <c r="D260" s="1" t="s">
        <v>271</v>
      </c>
    </row>
    <row r="261" spans="1:4">
      <c r="A261">
        <v>263</v>
      </c>
      <c r="B261" s="1" t="s">
        <v>244</v>
      </c>
      <c r="C261" s="1" t="s">
        <v>1810</v>
      </c>
      <c r="D261" s="1" t="s">
        <v>271</v>
      </c>
    </row>
    <row r="262" spans="1:4">
      <c r="A262">
        <v>264</v>
      </c>
      <c r="B262" s="1" t="s">
        <v>245</v>
      </c>
      <c r="C262" s="1" t="s">
        <v>1811</v>
      </c>
      <c r="D262" s="1" t="s">
        <v>271</v>
      </c>
    </row>
    <row r="263" spans="1:4">
      <c r="A263">
        <v>265</v>
      </c>
      <c r="B263" s="1" t="s">
        <v>246</v>
      </c>
      <c r="C263" s="1" t="s">
        <v>1908</v>
      </c>
      <c r="D263" s="1" t="s">
        <v>271</v>
      </c>
    </row>
    <row r="264" spans="1:4">
      <c r="A264">
        <v>266</v>
      </c>
      <c r="B264" s="1" t="s">
        <v>247</v>
      </c>
      <c r="C264" s="1" t="s">
        <v>1812</v>
      </c>
      <c r="D264" s="1" t="s">
        <v>271</v>
      </c>
    </row>
    <row r="265" spans="1:4">
      <c r="A265">
        <v>267</v>
      </c>
      <c r="B265" s="1" t="s">
        <v>248</v>
      </c>
      <c r="C265" s="1" t="s">
        <v>1813</v>
      </c>
      <c r="D265" s="1" t="s">
        <v>271</v>
      </c>
    </row>
    <row r="266" spans="1:4">
      <c r="A266">
        <v>268</v>
      </c>
      <c r="B266" s="1" t="s">
        <v>249</v>
      </c>
      <c r="C266" s="1" t="s">
        <v>1814</v>
      </c>
      <c r="D266" s="1" t="s">
        <v>271</v>
      </c>
    </row>
    <row r="267" spans="1:4">
      <c r="A267">
        <v>269</v>
      </c>
      <c r="B267" s="1" t="s">
        <v>250</v>
      </c>
      <c r="C267" s="1" t="s">
        <v>1984</v>
      </c>
      <c r="D267" s="1" t="s">
        <v>271</v>
      </c>
    </row>
    <row r="268" spans="1:4">
      <c r="A268">
        <v>270</v>
      </c>
      <c r="B268" s="1" t="s">
        <v>251</v>
      </c>
      <c r="C268" s="1" t="s">
        <v>1815</v>
      </c>
      <c r="D268" s="1" t="s">
        <v>271</v>
      </c>
    </row>
    <row r="269" spans="1:4">
      <c r="A269">
        <v>271</v>
      </c>
      <c r="B269" s="1" t="s">
        <v>252</v>
      </c>
      <c r="C269" s="1" t="s">
        <v>1816</v>
      </c>
      <c r="D269" s="1" t="s">
        <v>271</v>
      </c>
    </row>
    <row r="270" spans="1:4">
      <c r="A270">
        <v>272</v>
      </c>
      <c r="B270" s="1" t="s">
        <v>253</v>
      </c>
      <c r="C270" s="1" t="s">
        <v>1817</v>
      </c>
      <c r="D270" s="1" t="s">
        <v>271</v>
      </c>
    </row>
    <row r="271" spans="1:4">
      <c r="A271">
        <v>273</v>
      </c>
      <c r="B271" s="1" t="s">
        <v>254</v>
      </c>
      <c r="C271" s="1" t="s">
        <v>1818</v>
      </c>
      <c r="D271" s="1" t="s">
        <v>271</v>
      </c>
    </row>
    <row r="272" spans="1:4">
      <c r="A272">
        <v>274</v>
      </c>
      <c r="B272" s="1" t="s">
        <v>255</v>
      </c>
      <c r="C272" s="1" t="s">
        <v>1819</v>
      </c>
      <c r="D272" s="1" t="s">
        <v>271</v>
      </c>
    </row>
    <row r="273" spans="1:4">
      <c r="A273">
        <v>275</v>
      </c>
      <c r="B273" s="1" t="s">
        <v>256</v>
      </c>
      <c r="C273" s="1" t="s">
        <v>1820</v>
      </c>
      <c r="D273" s="1" t="s">
        <v>271</v>
      </c>
    </row>
    <row r="274" spans="1:4">
      <c r="A274">
        <v>276</v>
      </c>
      <c r="B274" s="1" t="s">
        <v>257</v>
      </c>
      <c r="C274" s="1" t="s">
        <v>1821</v>
      </c>
      <c r="D274" s="1" t="s">
        <v>271</v>
      </c>
    </row>
    <row r="275" spans="1:4">
      <c r="A275">
        <v>277</v>
      </c>
      <c r="B275" s="1" t="s">
        <v>258</v>
      </c>
      <c r="C275" s="1" t="s">
        <v>1985</v>
      </c>
      <c r="D275" s="1" t="s">
        <v>271</v>
      </c>
    </row>
    <row r="276" spans="1:4">
      <c r="A276">
        <v>278</v>
      </c>
      <c r="B276" s="1"/>
      <c r="C276" s="1" t="s">
        <v>2464</v>
      </c>
      <c r="D276" s="1" t="s">
        <v>271</v>
      </c>
    </row>
    <row r="277" spans="1:4">
      <c r="A277">
        <v>279</v>
      </c>
      <c r="B277" s="1" t="s">
        <v>56</v>
      </c>
      <c r="C277" s="1"/>
      <c r="D277" s="1" t="s">
        <v>271</v>
      </c>
    </row>
    <row r="278" spans="1:4">
      <c r="A278">
        <v>280</v>
      </c>
      <c r="B278" s="1" t="s">
        <v>92</v>
      </c>
      <c r="C278" s="1"/>
      <c r="D278" s="1" t="s">
        <v>271</v>
      </c>
    </row>
    <row r="279" spans="1:4">
      <c r="A279">
        <v>281</v>
      </c>
      <c r="B279" s="1" t="s">
        <v>259</v>
      </c>
      <c r="C279" s="1" t="s">
        <v>1909</v>
      </c>
      <c r="D279" s="1" t="s">
        <v>271</v>
      </c>
    </row>
    <row r="280" spans="1:4">
      <c r="A280">
        <v>282</v>
      </c>
      <c r="B280" s="1" t="s">
        <v>260</v>
      </c>
      <c r="C280" s="1" t="s">
        <v>1910</v>
      </c>
      <c r="D280" s="1" t="s">
        <v>271</v>
      </c>
    </row>
    <row r="281" spans="1:4">
      <c r="A281">
        <v>283</v>
      </c>
      <c r="B281" s="1" t="s">
        <v>261</v>
      </c>
      <c r="C281" s="1" t="s">
        <v>1359</v>
      </c>
      <c r="D281" s="1" t="s">
        <v>271</v>
      </c>
    </row>
    <row r="282" spans="1:4">
      <c r="A282">
        <v>284</v>
      </c>
      <c r="B282" s="1" t="s">
        <v>262</v>
      </c>
      <c r="C282" s="1" t="s">
        <v>1911</v>
      </c>
      <c r="D282" s="1" t="s">
        <v>271</v>
      </c>
    </row>
    <row r="283" spans="1:4">
      <c r="A283">
        <v>285</v>
      </c>
      <c r="B283" s="1" t="s">
        <v>263</v>
      </c>
      <c r="C283" s="1" t="s">
        <v>1360</v>
      </c>
      <c r="D283" s="1" t="s">
        <v>271</v>
      </c>
    </row>
    <row r="284" spans="1:4">
      <c r="A284">
        <v>286</v>
      </c>
      <c r="B284" s="1" t="s">
        <v>264</v>
      </c>
      <c r="C284" s="1" t="s">
        <v>1361</v>
      </c>
      <c r="D284" s="1" t="s">
        <v>271</v>
      </c>
    </row>
    <row r="285" spans="1:4">
      <c r="A285">
        <v>287</v>
      </c>
      <c r="B285" s="1" t="s">
        <v>265</v>
      </c>
      <c r="C285" s="1" t="s">
        <v>1305</v>
      </c>
      <c r="D285" s="1" t="s">
        <v>271</v>
      </c>
    </row>
    <row r="286" spans="1:4">
      <c r="A286">
        <v>288</v>
      </c>
      <c r="B286" s="1" t="s">
        <v>266</v>
      </c>
      <c r="C286" s="1" t="s">
        <v>1504</v>
      </c>
      <c r="D286" s="1" t="s">
        <v>271</v>
      </c>
    </row>
    <row r="287" spans="1:4">
      <c r="A287">
        <v>289</v>
      </c>
      <c r="B287" s="1" t="s">
        <v>267</v>
      </c>
      <c r="C287" s="1" t="s">
        <v>1912</v>
      </c>
      <c r="D287" s="1" t="s">
        <v>271</v>
      </c>
    </row>
    <row r="288" spans="1:4">
      <c r="A288">
        <v>290</v>
      </c>
      <c r="B288" s="1" t="s">
        <v>268</v>
      </c>
      <c r="C288" s="1" t="s">
        <v>1824</v>
      </c>
      <c r="D288" s="1" t="s">
        <v>271</v>
      </c>
    </row>
    <row r="289" spans="1:4">
      <c r="A289">
        <v>291</v>
      </c>
      <c r="B289" s="1" t="s">
        <v>269</v>
      </c>
      <c r="C289" s="1" t="s">
        <v>1913</v>
      </c>
      <c r="D289" s="1" t="s">
        <v>271</v>
      </c>
    </row>
    <row r="290" spans="1:4">
      <c r="A290">
        <v>292</v>
      </c>
      <c r="B290" s="1" t="s">
        <v>220</v>
      </c>
      <c r="C290" s="1" t="s">
        <v>1896</v>
      </c>
      <c r="D290" s="1" t="s">
        <v>271</v>
      </c>
    </row>
    <row r="291" spans="1:4">
      <c r="A291">
        <v>293</v>
      </c>
      <c r="B291" s="1" t="s">
        <v>270</v>
      </c>
      <c r="C291" s="1" t="s">
        <v>1986</v>
      </c>
      <c r="D291" s="1" t="s">
        <v>271</v>
      </c>
    </row>
    <row r="292" spans="1:4">
      <c r="A292">
        <v>300</v>
      </c>
      <c r="B292" s="1" t="s">
        <v>272</v>
      </c>
      <c r="C292" s="1" t="s">
        <v>1738</v>
      </c>
      <c r="D292" s="1" t="s">
        <v>1198</v>
      </c>
    </row>
    <row r="293" spans="1:4">
      <c r="A293">
        <v>301</v>
      </c>
      <c r="B293" s="1" t="s">
        <v>273</v>
      </c>
      <c r="C293" s="1" t="s">
        <v>1739</v>
      </c>
      <c r="D293" s="1" t="s">
        <v>1198</v>
      </c>
    </row>
    <row r="294" spans="1:4">
      <c r="A294">
        <v>302</v>
      </c>
      <c r="B294" s="1" t="s">
        <v>274</v>
      </c>
      <c r="C294" s="1" t="s">
        <v>1740</v>
      </c>
      <c r="D294" s="1" t="s">
        <v>1198</v>
      </c>
    </row>
    <row r="295" spans="1:4">
      <c r="A295">
        <v>303</v>
      </c>
      <c r="B295" s="1" t="s">
        <v>275</v>
      </c>
      <c r="C295" s="1" t="s">
        <v>1741</v>
      </c>
      <c r="D295" s="1" t="s">
        <v>1198</v>
      </c>
    </row>
    <row r="296" spans="1:4">
      <c r="A296">
        <v>304</v>
      </c>
      <c r="B296" s="1" t="s">
        <v>276</v>
      </c>
      <c r="C296" s="1" t="s">
        <v>1742</v>
      </c>
      <c r="D296" s="1" t="s">
        <v>1198</v>
      </c>
    </row>
    <row r="297" spans="1:4">
      <c r="A297">
        <v>305</v>
      </c>
      <c r="B297" s="1" t="s">
        <v>277</v>
      </c>
      <c r="C297" s="1" t="s">
        <v>1743</v>
      </c>
      <c r="D297" s="1" t="s">
        <v>1198</v>
      </c>
    </row>
    <row r="298" spans="1:4">
      <c r="A298">
        <v>306</v>
      </c>
      <c r="B298" s="1" t="s">
        <v>278</v>
      </c>
      <c r="C298" s="1" t="s">
        <v>1744</v>
      </c>
      <c r="D298" s="1" t="s">
        <v>1198</v>
      </c>
    </row>
    <row r="299" spans="1:4">
      <c r="A299">
        <v>307</v>
      </c>
      <c r="B299" s="1" t="s">
        <v>279</v>
      </c>
      <c r="C299" s="1" t="s">
        <v>1745</v>
      </c>
      <c r="D299" s="1" t="s">
        <v>1198</v>
      </c>
    </row>
    <row r="300" spans="1:4">
      <c r="A300">
        <v>308</v>
      </c>
      <c r="B300" s="1" t="s">
        <v>280</v>
      </c>
      <c r="C300" s="1" t="s">
        <v>1746</v>
      </c>
      <c r="D300" s="1" t="s">
        <v>1198</v>
      </c>
    </row>
    <row r="301" spans="1:4">
      <c r="A301">
        <v>309</v>
      </c>
      <c r="B301" s="1" t="s">
        <v>281</v>
      </c>
      <c r="C301" s="1" t="s">
        <v>1747</v>
      </c>
      <c r="D301" s="1" t="s">
        <v>1198</v>
      </c>
    </row>
    <row r="302" spans="1:4">
      <c r="A302">
        <v>310</v>
      </c>
      <c r="B302" s="1" t="s">
        <v>282</v>
      </c>
      <c r="C302" s="1" t="s">
        <v>1748</v>
      </c>
      <c r="D302" s="1" t="s">
        <v>1198</v>
      </c>
    </row>
    <row r="303" spans="1:4">
      <c r="A303">
        <v>311</v>
      </c>
      <c r="B303" s="1" t="s">
        <v>283</v>
      </c>
      <c r="C303" s="1" t="s">
        <v>2035</v>
      </c>
      <c r="D303" s="1" t="s">
        <v>1198</v>
      </c>
    </row>
    <row r="304" spans="1:4">
      <c r="A304">
        <v>312</v>
      </c>
      <c r="B304" s="1" t="s">
        <v>284</v>
      </c>
      <c r="C304" s="1" t="s">
        <v>1749</v>
      </c>
      <c r="D304" s="1" t="s">
        <v>1198</v>
      </c>
    </row>
    <row r="305" spans="1:4">
      <c r="A305">
        <v>313</v>
      </c>
      <c r="B305" s="1" t="s">
        <v>56</v>
      </c>
      <c r="C305" s="1"/>
      <c r="D305" s="1" t="s">
        <v>1198</v>
      </c>
    </row>
    <row r="306" spans="1:4">
      <c r="A306">
        <v>314</v>
      </c>
      <c r="B306" s="1" t="s">
        <v>285</v>
      </c>
      <c r="C306" s="1" t="s">
        <v>1505</v>
      </c>
      <c r="D306" s="1" t="s">
        <v>1199</v>
      </c>
    </row>
    <row r="307" spans="1:4">
      <c r="A307">
        <v>315</v>
      </c>
      <c r="B307" s="1" t="s">
        <v>286</v>
      </c>
      <c r="C307" s="1" t="s">
        <v>1506</v>
      </c>
      <c r="D307" s="1" t="s">
        <v>1199</v>
      </c>
    </row>
    <row r="308" spans="1:4">
      <c r="A308">
        <v>316</v>
      </c>
      <c r="B308" s="1" t="s">
        <v>287</v>
      </c>
      <c r="C308" s="1" t="s">
        <v>1507</v>
      </c>
      <c r="D308" s="1" t="s">
        <v>1199</v>
      </c>
    </row>
    <row r="309" spans="1:4">
      <c r="A309">
        <v>317</v>
      </c>
      <c r="B309" s="1" t="s">
        <v>288</v>
      </c>
      <c r="C309" s="1" t="s">
        <v>1293</v>
      </c>
      <c r="D309" s="1" t="s">
        <v>1199</v>
      </c>
    </row>
    <row r="310" spans="1:4">
      <c r="A310">
        <v>318</v>
      </c>
      <c r="B310" s="1" t="s">
        <v>289</v>
      </c>
      <c r="C310" s="1" t="s">
        <v>1288</v>
      </c>
      <c r="D310" s="1" t="s">
        <v>1199</v>
      </c>
    </row>
    <row r="311" spans="1:4">
      <c r="A311">
        <v>319</v>
      </c>
      <c r="B311" s="1" t="s">
        <v>290</v>
      </c>
      <c r="C311" s="1" t="s">
        <v>1289</v>
      </c>
      <c r="D311" s="1" t="s">
        <v>1199</v>
      </c>
    </row>
    <row r="312" spans="1:4">
      <c r="A312">
        <v>320</v>
      </c>
      <c r="B312" s="1" t="s">
        <v>291</v>
      </c>
      <c r="C312" s="1" t="s">
        <v>1290</v>
      </c>
      <c r="D312" s="1" t="s">
        <v>1199</v>
      </c>
    </row>
    <row r="313" spans="1:4">
      <c r="A313">
        <v>321</v>
      </c>
      <c r="B313" s="1" t="s">
        <v>1508</v>
      </c>
      <c r="C313" s="1" t="s">
        <v>1292</v>
      </c>
      <c r="D313" s="1" t="s">
        <v>1199</v>
      </c>
    </row>
    <row r="314" spans="1:4">
      <c r="A314">
        <v>322</v>
      </c>
      <c r="B314" s="1" t="s">
        <v>292</v>
      </c>
      <c r="C314" s="1" t="s">
        <v>1294</v>
      </c>
      <c r="D314" s="1" t="s">
        <v>1199</v>
      </c>
    </row>
    <row r="315" spans="1:4">
      <c r="A315">
        <v>323</v>
      </c>
      <c r="B315" s="1" t="s">
        <v>293</v>
      </c>
      <c r="C315" s="1" t="s">
        <v>1295</v>
      </c>
      <c r="D315" s="1" t="s">
        <v>1199</v>
      </c>
    </row>
    <row r="316" spans="1:4">
      <c r="A316">
        <v>324</v>
      </c>
      <c r="B316" s="1" t="s">
        <v>294</v>
      </c>
      <c r="C316" s="1" t="s">
        <v>1759</v>
      </c>
      <c r="D316" s="1" t="s">
        <v>1199</v>
      </c>
    </row>
    <row r="317" spans="1:4">
      <c r="A317">
        <v>325</v>
      </c>
      <c r="B317" s="1" t="s">
        <v>295</v>
      </c>
      <c r="C317" s="1" t="s">
        <v>1760</v>
      </c>
      <c r="D317" s="1" t="s">
        <v>1199</v>
      </c>
    </row>
    <row r="318" spans="1:4">
      <c r="A318">
        <v>326</v>
      </c>
      <c r="B318" s="1" t="s">
        <v>296</v>
      </c>
      <c r="C318" s="1" t="s">
        <v>1296</v>
      </c>
      <c r="D318" s="1" t="s">
        <v>1199</v>
      </c>
    </row>
    <row r="319" spans="1:4">
      <c r="A319">
        <v>327</v>
      </c>
      <c r="B319" s="1" t="s">
        <v>297</v>
      </c>
      <c r="C319" s="1" t="s">
        <v>1297</v>
      </c>
      <c r="D319" s="1" t="s">
        <v>1199</v>
      </c>
    </row>
    <row r="320" spans="1:4">
      <c r="A320">
        <v>328</v>
      </c>
      <c r="B320" s="1" t="s">
        <v>298</v>
      </c>
      <c r="C320" s="1" t="s">
        <v>1509</v>
      </c>
      <c r="D320" s="1" t="s">
        <v>1199</v>
      </c>
    </row>
    <row r="321" spans="1:4">
      <c r="A321">
        <v>329</v>
      </c>
      <c r="B321" s="1" t="s">
        <v>299</v>
      </c>
      <c r="C321" s="1" t="s">
        <v>1298</v>
      </c>
      <c r="D321" s="1" t="s">
        <v>1199</v>
      </c>
    </row>
    <row r="322" spans="1:4">
      <c r="A322">
        <v>330</v>
      </c>
      <c r="B322" s="1" t="s">
        <v>300</v>
      </c>
      <c r="C322" s="1" t="s">
        <v>1299</v>
      </c>
      <c r="D322" s="1" t="s">
        <v>1199</v>
      </c>
    </row>
    <row r="323" spans="1:4">
      <c r="A323">
        <v>331</v>
      </c>
      <c r="B323" s="1" t="s">
        <v>301</v>
      </c>
      <c r="C323" s="1" t="s">
        <v>1300</v>
      </c>
      <c r="D323" s="1" t="s">
        <v>1199</v>
      </c>
    </row>
    <row r="324" spans="1:4">
      <c r="A324">
        <v>332</v>
      </c>
      <c r="B324" s="1" t="s">
        <v>302</v>
      </c>
      <c r="C324" s="1" t="s">
        <v>1301</v>
      </c>
      <c r="D324" s="1" t="s">
        <v>1199</v>
      </c>
    </row>
    <row r="325" spans="1:4">
      <c r="A325">
        <v>333</v>
      </c>
      <c r="B325" s="1" t="s">
        <v>303</v>
      </c>
      <c r="C325" s="1" t="s">
        <v>1302</v>
      </c>
      <c r="D325" s="1" t="s">
        <v>1199</v>
      </c>
    </row>
    <row r="326" spans="1:4">
      <c r="A326">
        <v>334</v>
      </c>
      <c r="B326" s="1" t="s">
        <v>304</v>
      </c>
      <c r="C326" s="1" t="s">
        <v>1510</v>
      </c>
      <c r="D326" s="1" t="s">
        <v>1199</v>
      </c>
    </row>
    <row r="327" spans="1:4">
      <c r="A327">
        <v>335</v>
      </c>
      <c r="B327" s="1" t="s">
        <v>305</v>
      </c>
      <c r="C327" s="1" t="s">
        <v>1303</v>
      </c>
      <c r="D327" s="1" t="s">
        <v>1199</v>
      </c>
    </row>
    <row r="328" spans="1:4">
      <c r="A328">
        <v>336</v>
      </c>
      <c r="B328" s="1" t="s">
        <v>306</v>
      </c>
      <c r="C328" s="1" t="s">
        <v>1511</v>
      </c>
      <c r="D328" s="1" t="s">
        <v>1199</v>
      </c>
    </row>
    <row r="329" spans="1:4">
      <c r="A329">
        <v>337</v>
      </c>
      <c r="B329" s="1" t="s">
        <v>307</v>
      </c>
      <c r="C329" s="1" t="s">
        <v>1512</v>
      </c>
      <c r="D329" s="1" t="s">
        <v>1199</v>
      </c>
    </row>
    <row r="330" spans="1:4">
      <c r="A330">
        <v>338</v>
      </c>
      <c r="B330" s="1" t="s">
        <v>308</v>
      </c>
      <c r="C330" s="1" t="s">
        <v>1513</v>
      </c>
      <c r="D330" s="1" t="s">
        <v>1199</v>
      </c>
    </row>
    <row r="331" spans="1:4">
      <c r="A331">
        <v>339</v>
      </c>
      <c r="B331" s="1" t="s">
        <v>309</v>
      </c>
      <c r="C331" s="1" t="s">
        <v>1514</v>
      </c>
      <c r="D331" s="1" t="s">
        <v>1199</v>
      </c>
    </row>
    <row r="332" spans="1:4">
      <c r="A332">
        <v>340</v>
      </c>
      <c r="B332" s="1" t="s">
        <v>310</v>
      </c>
      <c r="C332" s="1" t="s">
        <v>1304</v>
      </c>
      <c r="D332" s="1" t="s">
        <v>1199</v>
      </c>
    </row>
    <row r="333" spans="1:4">
      <c r="A333">
        <v>341</v>
      </c>
      <c r="B333" s="1" t="s">
        <v>311</v>
      </c>
      <c r="C333" s="1" t="s">
        <v>1515</v>
      </c>
      <c r="D333" s="1" t="s">
        <v>1199</v>
      </c>
    </row>
    <row r="334" spans="1:4">
      <c r="A334">
        <v>342</v>
      </c>
      <c r="B334" s="1" t="s">
        <v>265</v>
      </c>
      <c r="C334" s="1" t="s">
        <v>1305</v>
      </c>
      <c r="D334" s="1" t="s">
        <v>1199</v>
      </c>
    </row>
    <row r="335" spans="1:4">
      <c r="A335">
        <v>343</v>
      </c>
      <c r="B335" s="1" t="s">
        <v>312</v>
      </c>
      <c r="C335" s="1" t="s">
        <v>1516</v>
      </c>
      <c r="D335" s="1" t="s">
        <v>1199</v>
      </c>
    </row>
    <row r="336" spans="1:4">
      <c r="A336">
        <v>344</v>
      </c>
      <c r="B336" s="1" t="s">
        <v>313</v>
      </c>
      <c r="C336" s="1" t="s">
        <v>1306</v>
      </c>
      <c r="D336" s="1" t="s">
        <v>1199</v>
      </c>
    </row>
    <row r="337" spans="1:4">
      <c r="A337">
        <v>345</v>
      </c>
      <c r="B337" s="1" t="s">
        <v>314</v>
      </c>
      <c r="C337" s="1" t="s">
        <v>1307</v>
      </c>
      <c r="D337" s="1" t="s">
        <v>1199</v>
      </c>
    </row>
    <row r="338" spans="1:4">
      <c r="A338">
        <v>346</v>
      </c>
      <c r="B338" s="1" t="s">
        <v>315</v>
      </c>
      <c r="C338" s="1" t="s">
        <v>1517</v>
      </c>
      <c r="D338" s="1" t="s">
        <v>1199</v>
      </c>
    </row>
    <row r="339" spans="1:4">
      <c r="A339">
        <v>347</v>
      </c>
      <c r="B339" s="1" t="s">
        <v>316</v>
      </c>
      <c r="C339" s="1" t="s">
        <v>1308</v>
      </c>
      <c r="D339" s="1" t="s">
        <v>1199</v>
      </c>
    </row>
    <row r="340" spans="1:4">
      <c r="A340">
        <v>348</v>
      </c>
      <c r="B340" s="1" t="s">
        <v>317</v>
      </c>
      <c r="C340" s="1" t="s">
        <v>1309</v>
      </c>
      <c r="D340" s="1" t="s">
        <v>1199</v>
      </c>
    </row>
    <row r="341" spans="1:4">
      <c r="A341">
        <v>349</v>
      </c>
      <c r="B341" s="1" t="s">
        <v>318</v>
      </c>
      <c r="C341" s="1" t="s">
        <v>1310</v>
      </c>
      <c r="D341" s="1" t="s">
        <v>1199</v>
      </c>
    </row>
    <row r="342" spans="1:4">
      <c r="A342">
        <v>350</v>
      </c>
      <c r="B342" s="1" t="s">
        <v>1518</v>
      </c>
      <c r="C342" s="1" t="s">
        <v>1519</v>
      </c>
      <c r="D342" s="1" t="s">
        <v>1199</v>
      </c>
    </row>
    <row r="343" spans="1:4">
      <c r="A343">
        <v>351</v>
      </c>
      <c r="B343" s="1" t="s">
        <v>319</v>
      </c>
      <c r="C343" s="1" t="s">
        <v>1520</v>
      </c>
      <c r="D343" s="1" t="s">
        <v>1199</v>
      </c>
    </row>
    <row r="344" spans="1:4">
      <c r="A344">
        <v>352</v>
      </c>
      <c r="B344" s="1" t="s">
        <v>320</v>
      </c>
      <c r="C344" s="1" t="s">
        <v>1311</v>
      </c>
      <c r="D344" s="1" t="s">
        <v>1199</v>
      </c>
    </row>
    <row r="345" spans="1:4">
      <c r="A345">
        <v>353</v>
      </c>
      <c r="B345" s="1" t="s">
        <v>321</v>
      </c>
      <c r="C345" s="1" t="s">
        <v>1312</v>
      </c>
      <c r="D345" s="1" t="s">
        <v>1199</v>
      </c>
    </row>
    <row r="346" spans="1:4">
      <c r="A346">
        <v>354</v>
      </c>
      <c r="B346" s="1" t="s">
        <v>322</v>
      </c>
      <c r="C346" s="1" t="s">
        <v>1521</v>
      </c>
      <c r="D346" s="1" t="s">
        <v>1199</v>
      </c>
    </row>
    <row r="347" spans="1:4">
      <c r="A347">
        <v>355</v>
      </c>
      <c r="B347" s="1" t="s">
        <v>323</v>
      </c>
      <c r="C347" s="1" t="s">
        <v>1522</v>
      </c>
      <c r="D347" s="1" t="s">
        <v>1199</v>
      </c>
    </row>
    <row r="348" spans="1:4">
      <c r="A348">
        <v>356</v>
      </c>
      <c r="B348" s="1" t="s">
        <v>324</v>
      </c>
      <c r="C348" s="1" t="s">
        <v>1313</v>
      </c>
      <c r="D348" s="1" t="s">
        <v>1199</v>
      </c>
    </row>
    <row r="349" spans="1:4">
      <c r="A349">
        <v>357</v>
      </c>
      <c r="B349" s="1" t="s">
        <v>325</v>
      </c>
      <c r="C349" s="1" t="s">
        <v>1314</v>
      </c>
      <c r="D349" s="1" t="s">
        <v>1199</v>
      </c>
    </row>
    <row r="350" spans="1:4">
      <c r="A350">
        <v>358</v>
      </c>
      <c r="B350" s="1" t="s">
        <v>326</v>
      </c>
      <c r="C350" s="1" t="s">
        <v>1315</v>
      </c>
      <c r="D350" s="1" t="s">
        <v>1199</v>
      </c>
    </row>
    <row r="351" spans="1:4">
      <c r="A351">
        <v>359</v>
      </c>
      <c r="B351" s="1" t="s">
        <v>327</v>
      </c>
      <c r="C351" s="1" t="s">
        <v>1316</v>
      </c>
      <c r="D351" s="1" t="s">
        <v>1199</v>
      </c>
    </row>
    <row r="352" spans="1:4">
      <c r="A352">
        <v>360</v>
      </c>
      <c r="B352" s="1" t="s">
        <v>328</v>
      </c>
      <c r="C352" s="1" t="s">
        <v>1317</v>
      </c>
      <c r="D352" s="1" t="s">
        <v>1199</v>
      </c>
    </row>
    <row r="353" spans="1:4">
      <c r="A353">
        <v>361</v>
      </c>
      <c r="B353" s="1" t="s">
        <v>1523</v>
      </c>
      <c r="C353" s="1" t="s">
        <v>1524</v>
      </c>
      <c r="D353" s="1" t="s">
        <v>1199</v>
      </c>
    </row>
    <row r="354" spans="1:4">
      <c r="A354">
        <v>362</v>
      </c>
      <c r="B354" s="1" t="s">
        <v>329</v>
      </c>
      <c r="C354" s="1" t="s">
        <v>1318</v>
      </c>
      <c r="D354" s="1" t="s">
        <v>1199</v>
      </c>
    </row>
    <row r="355" spans="1:4">
      <c r="A355">
        <v>363</v>
      </c>
      <c r="B355" s="1" t="s">
        <v>330</v>
      </c>
      <c r="C355" s="1" t="s">
        <v>1319</v>
      </c>
      <c r="D355" s="1" t="s">
        <v>1199</v>
      </c>
    </row>
    <row r="356" spans="1:4">
      <c r="A356">
        <v>364</v>
      </c>
      <c r="B356" s="1" t="s">
        <v>331</v>
      </c>
      <c r="C356" s="1" t="s">
        <v>1320</v>
      </c>
      <c r="D356" s="1" t="s">
        <v>1199</v>
      </c>
    </row>
    <row r="357" spans="1:4">
      <c r="A357">
        <v>365</v>
      </c>
      <c r="B357" s="1" t="s">
        <v>332</v>
      </c>
      <c r="C357" s="1" t="s">
        <v>1321</v>
      </c>
      <c r="D357" s="1" t="s">
        <v>1199</v>
      </c>
    </row>
    <row r="358" spans="1:4">
      <c r="A358">
        <v>366</v>
      </c>
      <c r="B358" s="1" t="s">
        <v>333</v>
      </c>
      <c r="C358" s="1" t="s">
        <v>1525</v>
      </c>
      <c r="D358" s="1" t="s">
        <v>1199</v>
      </c>
    </row>
    <row r="359" spans="1:4">
      <c r="A359">
        <v>367</v>
      </c>
      <c r="B359" s="1" t="s">
        <v>334</v>
      </c>
      <c r="C359" s="1" t="s">
        <v>1526</v>
      </c>
      <c r="D359" s="1" t="s">
        <v>1199</v>
      </c>
    </row>
    <row r="360" spans="1:4">
      <c r="A360">
        <v>368</v>
      </c>
      <c r="B360" s="1" t="s">
        <v>335</v>
      </c>
      <c r="C360" s="1" t="s">
        <v>1527</v>
      </c>
      <c r="D360" s="1" t="s">
        <v>1199</v>
      </c>
    </row>
    <row r="361" spans="1:4">
      <c r="A361">
        <v>369</v>
      </c>
      <c r="B361" s="1" t="s">
        <v>336</v>
      </c>
      <c r="C361" s="1" t="s">
        <v>1528</v>
      </c>
      <c r="D361" s="1" t="s">
        <v>1199</v>
      </c>
    </row>
    <row r="362" spans="1:4">
      <c r="A362">
        <v>370</v>
      </c>
      <c r="B362" s="1" t="s">
        <v>337</v>
      </c>
      <c r="C362" s="1" t="s">
        <v>1322</v>
      </c>
      <c r="D362" s="1" t="s">
        <v>1199</v>
      </c>
    </row>
    <row r="363" spans="1:4">
      <c r="A363">
        <v>371</v>
      </c>
      <c r="B363" s="1" t="s">
        <v>338</v>
      </c>
      <c r="C363" s="1" t="s">
        <v>1529</v>
      </c>
      <c r="D363" s="1" t="s">
        <v>1199</v>
      </c>
    </row>
    <row r="364" spans="1:4">
      <c r="A364">
        <v>372</v>
      </c>
      <c r="B364" s="1" t="s">
        <v>339</v>
      </c>
      <c r="C364" s="1" t="s">
        <v>1323</v>
      </c>
      <c r="D364" s="1" t="s">
        <v>1199</v>
      </c>
    </row>
    <row r="365" spans="1:4">
      <c r="A365">
        <v>373</v>
      </c>
      <c r="B365" s="1" t="s">
        <v>340</v>
      </c>
      <c r="C365" s="1" t="s">
        <v>1324</v>
      </c>
      <c r="D365" s="1" t="s">
        <v>1199</v>
      </c>
    </row>
    <row r="366" spans="1:4">
      <c r="A366">
        <v>374</v>
      </c>
      <c r="B366" s="1" t="s">
        <v>341</v>
      </c>
      <c r="C366" s="1" t="s">
        <v>1530</v>
      </c>
      <c r="D366" s="1" t="s">
        <v>1199</v>
      </c>
    </row>
    <row r="367" spans="1:4">
      <c r="A367">
        <v>375</v>
      </c>
      <c r="B367" s="1" t="s">
        <v>342</v>
      </c>
      <c r="C367" s="1" t="s">
        <v>1531</v>
      </c>
      <c r="D367" s="1" t="s">
        <v>1199</v>
      </c>
    </row>
    <row r="368" spans="1:4">
      <c r="A368">
        <v>376</v>
      </c>
      <c r="B368" s="1" t="s">
        <v>343</v>
      </c>
      <c r="C368" s="1" t="s">
        <v>1532</v>
      </c>
      <c r="D368" s="1" t="s">
        <v>1199</v>
      </c>
    </row>
    <row r="369" spans="1:4">
      <c r="A369">
        <v>377</v>
      </c>
      <c r="B369" s="1" t="s">
        <v>1533</v>
      </c>
      <c r="C369" s="1" t="s">
        <v>1534</v>
      </c>
      <c r="D369" s="1" t="s">
        <v>1199</v>
      </c>
    </row>
    <row r="370" spans="1:4">
      <c r="A370">
        <v>378</v>
      </c>
      <c r="B370" s="1" t="s">
        <v>344</v>
      </c>
      <c r="C370" s="1" t="s">
        <v>1535</v>
      </c>
      <c r="D370" s="1" t="s">
        <v>1199</v>
      </c>
    </row>
    <row r="371" spans="1:4">
      <c r="A371">
        <v>379</v>
      </c>
      <c r="B371" s="1" t="s">
        <v>345</v>
      </c>
      <c r="C371" s="1" t="s">
        <v>1536</v>
      </c>
      <c r="D371" s="1" t="s">
        <v>1199</v>
      </c>
    </row>
    <row r="372" spans="1:4">
      <c r="A372">
        <v>380</v>
      </c>
      <c r="B372" s="1" t="s">
        <v>346</v>
      </c>
      <c r="C372" s="1" t="s">
        <v>1537</v>
      </c>
      <c r="D372" s="1" t="s">
        <v>1199</v>
      </c>
    </row>
    <row r="373" spans="1:4">
      <c r="A373">
        <v>381</v>
      </c>
      <c r="B373" s="1" t="s">
        <v>333</v>
      </c>
      <c r="C373" s="1" t="s">
        <v>1525</v>
      </c>
      <c r="D373" s="1" t="s">
        <v>1199</v>
      </c>
    </row>
    <row r="374" spans="1:4">
      <c r="A374">
        <v>382</v>
      </c>
      <c r="B374" s="1" t="s">
        <v>347</v>
      </c>
      <c r="C374" s="1" t="s">
        <v>1538</v>
      </c>
      <c r="D374" s="1" t="s">
        <v>1199</v>
      </c>
    </row>
    <row r="375" spans="1:4">
      <c r="A375">
        <v>383</v>
      </c>
      <c r="B375" s="1" t="s">
        <v>348</v>
      </c>
      <c r="C375" s="1" t="s">
        <v>1539</v>
      </c>
      <c r="D375" s="1" t="s">
        <v>1199</v>
      </c>
    </row>
    <row r="376" spans="1:4">
      <c r="A376">
        <v>384</v>
      </c>
      <c r="B376" s="1" t="s">
        <v>349</v>
      </c>
      <c r="C376" s="1" t="s">
        <v>1540</v>
      </c>
      <c r="D376" s="1" t="s">
        <v>1199</v>
      </c>
    </row>
    <row r="377" spans="1:4">
      <c r="A377">
        <v>385</v>
      </c>
      <c r="B377" s="1" t="s">
        <v>350</v>
      </c>
      <c r="C377" s="1" t="s">
        <v>1987</v>
      </c>
      <c r="D377" s="1" t="s">
        <v>1199</v>
      </c>
    </row>
    <row r="378" spans="1:4">
      <c r="A378">
        <v>386</v>
      </c>
      <c r="B378" s="1" t="s">
        <v>351</v>
      </c>
      <c r="C378" s="1" t="s">
        <v>1988</v>
      </c>
      <c r="D378" s="1" t="s">
        <v>1199</v>
      </c>
    </row>
    <row r="379" spans="1:4">
      <c r="A379">
        <v>387</v>
      </c>
      <c r="B379" s="1" t="s">
        <v>352</v>
      </c>
      <c r="C379" s="1" t="s">
        <v>1989</v>
      </c>
      <c r="D379" s="1" t="s">
        <v>1199</v>
      </c>
    </row>
    <row r="380" spans="1:4">
      <c r="A380">
        <v>388</v>
      </c>
      <c r="B380" s="1" t="s">
        <v>353</v>
      </c>
      <c r="C380" s="1" t="s">
        <v>1990</v>
      </c>
      <c r="D380" s="1" t="s">
        <v>1199</v>
      </c>
    </row>
    <row r="381" spans="1:4">
      <c r="A381">
        <v>389</v>
      </c>
      <c r="B381" s="1" t="s">
        <v>354</v>
      </c>
      <c r="C381" s="1" t="s">
        <v>1541</v>
      </c>
      <c r="D381" s="1" t="s">
        <v>1199</v>
      </c>
    </row>
    <row r="382" spans="1:4">
      <c r="A382">
        <v>390</v>
      </c>
      <c r="B382" s="1" t="s">
        <v>355</v>
      </c>
      <c r="C382" s="1" t="s">
        <v>1542</v>
      </c>
      <c r="D382" s="1" t="s">
        <v>1199</v>
      </c>
    </row>
    <row r="383" spans="1:4">
      <c r="A383">
        <v>391</v>
      </c>
      <c r="B383" s="1" t="s">
        <v>356</v>
      </c>
      <c r="C383" s="1" t="s">
        <v>1543</v>
      </c>
      <c r="D383" s="1" t="s">
        <v>1199</v>
      </c>
    </row>
    <row r="384" spans="1:4">
      <c r="A384">
        <v>392</v>
      </c>
      <c r="B384" s="1" t="s">
        <v>357</v>
      </c>
      <c r="C384" s="1" t="s">
        <v>1544</v>
      </c>
      <c r="D384" s="1" t="s">
        <v>1199</v>
      </c>
    </row>
    <row r="385" spans="1:4">
      <c r="A385">
        <v>393</v>
      </c>
      <c r="B385" s="1" t="s">
        <v>358</v>
      </c>
      <c r="C385" s="1" t="s">
        <v>1325</v>
      </c>
      <c r="D385" s="1" t="s">
        <v>1199</v>
      </c>
    </row>
    <row r="386" spans="1:4">
      <c r="A386">
        <v>394</v>
      </c>
      <c r="B386" s="1" t="s">
        <v>359</v>
      </c>
      <c r="C386" s="1" t="s">
        <v>1326</v>
      </c>
      <c r="D386" s="1" t="s">
        <v>1199</v>
      </c>
    </row>
    <row r="387" spans="1:4">
      <c r="A387">
        <v>395</v>
      </c>
      <c r="B387" s="1" t="s">
        <v>360</v>
      </c>
      <c r="C387" s="1" t="s">
        <v>1327</v>
      </c>
      <c r="D387" s="1" t="s">
        <v>1199</v>
      </c>
    </row>
    <row r="388" spans="1:4">
      <c r="A388">
        <v>396</v>
      </c>
      <c r="B388" s="1" t="s">
        <v>361</v>
      </c>
      <c r="C388" s="1" t="s">
        <v>1328</v>
      </c>
      <c r="D388" s="1" t="s">
        <v>1199</v>
      </c>
    </row>
    <row r="389" spans="1:4">
      <c r="A389">
        <v>397</v>
      </c>
      <c r="B389" s="1" t="s">
        <v>362</v>
      </c>
      <c r="C389" s="1" t="s">
        <v>1545</v>
      </c>
      <c r="D389" s="1" t="s">
        <v>1199</v>
      </c>
    </row>
    <row r="390" spans="1:4">
      <c r="A390">
        <v>398</v>
      </c>
      <c r="B390" s="1" t="s">
        <v>363</v>
      </c>
      <c r="C390" s="1" t="s">
        <v>1329</v>
      </c>
      <c r="D390" s="1" t="s">
        <v>1199</v>
      </c>
    </row>
    <row r="391" spans="1:4">
      <c r="A391">
        <v>399</v>
      </c>
      <c r="B391" s="1" t="s">
        <v>364</v>
      </c>
      <c r="C391" s="1" t="s">
        <v>1330</v>
      </c>
      <c r="D391" s="1" t="s">
        <v>1199</v>
      </c>
    </row>
    <row r="392" spans="1:4">
      <c r="A392">
        <v>400</v>
      </c>
      <c r="B392" s="1" t="s">
        <v>365</v>
      </c>
      <c r="C392" s="1" t="s">
        <v>1331</v>
      </c>
      <c r="D392" s="1" t="s">
        <v>1199</v>
      </c>
    </row>
    <row r="393" spans="1:4">
      <c r="A393">
        <v>401</v>
      </c>
      <c r="B393" s="1" t="s">
        <v>366</v>
      </c>
      <c r="C393" s="1" t="s">
        <v>1546</v>
      </c>
      <c r="D393" s="1" t="s">
        <v>1199</v>
      </c>
    </row>
    <row r="394" spans="1:4">
      <c r="A394">
        <v>402</v>
      </c>
      <c r="B394" s="1" t="s">
        <v>367</v>
      </c>
      <c r="C394" s="1" t="s">
        <v>1332</v>
      </c>
      <c r="D394" s="1" t="s">
        <v>1199</v>
      </c>
    </row>
    <row r="395" spans="1:4">
      <c r="A395">
        <v>403</v>
      </c>
      <c r="B395" s="1" t="s">
        <v>368</v>
      </c>
      <c r="C395" s="1" t="s">
        <v>1333</v>
      </c>
      <c r="D395" s="1" t="s">
        <v>1199</v>
      </c>
    </row>
    <row r="396" spans="1:4">
      <c r="A396">
        <v>404</v>
      </c>
      <c r="B396" s="1" t="s">
        <v>369</v>
      </c>
      <c r="C396" s="1" t="s">
        <v>1334</v>
      </c>
      <c r="D396" s="1" t="s">
        <v>1199</v>
      </c>
    </row>
    <row r="397" spans="1:4">
      <c r="A397">
        <v>405</v>
      </c>
      <c r="B397" s="1" t="s">
        <v>370</v>
      </c>
      <c r="C397" s="1" t="s">
        <v>1335</v>
      </c>
      <c r="D397" s="1" t="s">
        <v>1199</v>
      </c>
    </row>
    <row r="398" spans="1:4">
      <c r="A398">
        <v>406</v>
      </c>
      <c r="B398" s="1" t="s">
        <v>371</v>
      </c>
      <c r="C398" s="1" t="s">
        <v>1547</v>
      </c>
      <c r="D398" s="1" t="s">
        <v>1199</v>
      </c>
    </row>
    <row r="399" spans="1:4">
      <c r="A399">
        <v>407</v>
      </c>
      <c r="B399" s="1" t="s">
        <v>372</v>
      </c>
      <c r="C399" s="1" t="s">
        <v>1336</v>
      </c>
      <c r="D399" s="1" t="s">
        <v>1199</v>
      </c>
    </row>
    <row r="400" spans="1:4">
      <c r="A400">
        <v>408</v>
      </c>
      <c r="B400" s="1" t="s">
        <v>373</v>
      </c>
      <c r="C400" s="1" t="s">
        <v>1337</v>
      </c>
      <c r="D400" s="1" t="s">
        <v>1199</v>
      </c>
    </row>
    <row r="401" spans="1:4">
      <c r="A401">
        <v>409</v>
      </c>
      <c r="B401" s="1" t="s">
        <v>374</v>
      </c>
      <c r="C401" s="1" t="s">
        <v>1338</v>
      </c>
      <c r="D401" s="1" t="s">
        <v>1199</v>
      </c>
    </row>
    <row r="402" spans="1:4">
      <c r="A402">
        <v>410</v>
      </c>
      <c r="B402" s="1" t="s">
        <v>375</v>
      </c>
      <c r="C402" s="1" t="s">
        <v>1339</v>
      </c>
      <c r="D402" s="1" t="s">
        <v>1199</v>
      </c>
    </row>
    <row r="403" spans="1:4">
      <c r="A403">
        <v>411</v>
      </c>
      <c r="B403" s="1" t="s">
        <v>376</v>
      </c>
      <c r="C403" s="1" t="s">
        <v>1548</v>
      </c>
      <c r="D403" s="1" t="s">
        <v>1199</v>
      </c>
    </row>
    <row r="404" spans="1:4">
      <c r="A404">
        <v>412</v>
      </c>
      <c r="B404" s="1" t="s">
        <v>377</v>
      </c>
      <c r="C404" s="1" t="s">
        <v>1549</v>
      </c>
      <c r="D404" s="1" t="s">
        <v>1199</v>
      </c>
    </row>
    <row r="405" spans="1:4">
      <c r="A405">
        <v>413</v>
      </c>
      <c r="B405" s="1" t="s">
        <v>378</v>
      </c>
      <c r="C405" s="1" t="s">
        <v>1550</v>
      </c>
      <c r="D405" s="1" t="s">
        <v>1199</v>
      </c>
    </row>
    <row r="406" spans="1:4">
      <c r="A406">
        <v>414</v>
      </c>
      <c r="B406" s="1" t="s">
        <v>379</v>
      </c>
      <c r="C406" s="1" t="s">
        <v>1340</v>
      </c>
      <c r="D406" s="1" t="s">
        <v>1199</v>
      </c>
    </row>
    <row r="407" spans="1:4">
      <c r="A407">
        <v>415</v>
      </c>
      <c r="B407" s="1" t="s">
        <v>380</v>
      </c>
      <c r="C407" s="1" t="s">
        <v>1551</v>
      </c>
      <c r="D407" s="1" t="s">
        <v>1199</v>
      </c>
    </row>
    <row r="408" spans="1:4">
      <c r="A408">
        <v>416</v>
      </c>
      <c r="B408" s="1" t="s">
        <v>381</v>
      </c>
      <c r="C408" s="1" t="s">
        <v>1552</v>
      </c>
      <c r="D408" s="1" t="s">
        <v>1199</v>
      </c>
    </row>
    <row r="409" spans="1:4">
      <c r="A409">
        <v>417</v>
      </c>
      <c r="B409" s="1" t="s">
        <v>382</v>
      </c>
      <c r="C409" s="1" t="s">
        <v>1822</v>
      </c>
      <c r="D409" s="1" t="s">
        <v>1199</v>
      </c>
    </row>
    <row r="410" spans="1:4">
      <c r="A410">
        <v>418</v>
      </c>
      <c r="B410" s="1" t="s">
        <v>383</v>
      </c>
      <c r="C410" s="1" t="s">
        <v>1341</v>
      </c>
      <c r="D410" s="1" t="s">
        <v>1199</v>
      </c>
    </row>
    <row r="411" spans="1:4">
      <c r="A411">
        <v>419</v>
      </c>
      <c r="B411" s="1" t="s">
        <v>384</v>
      </c>
      <c r="C411" s="1" t="s">
        <v>1991</v>
      </c>
      <c r="D411" s="1" t="s">
        <v>1199</v>
      </c>
    </row>
    <row r="412" spans="1:4">
      <c r="A412">
        <v>420</v>
      </c>
      <c r="B412" s="1" t="s">
        <v>385</v>
      </c>
      <c r="C412" s="1" t="s">
        <v>1342</v>
      </c>
      <c r="D412" s="1" t="s">
        <v>1199</v>
      </c>
    </row>
    <row r="413" spans="1:4">
      <c r="A413">
        <v>421</v>
      </c>
      <c r="B413" s="1" t="s">
        <v>386</v>
      </c>
      <c r="C413" s="1" t="s">
        <v>1343</v>
      </c>
      <c r="D413" s="1" t="s">
        <v>1199</v>
      </c>
    </row>
    <row r="414" spans="1:4">
      <c r="A414">
        <v>422</v>
      </c>
      <c r="B414" s="1" t="s">
        <v>387</v>
      </c>
      <c r="C414" s="1" t="s">
        <v>1344</v>
      </c>
      <c r="D414" s="1" t="s">
        <v>1199</v>
      </c>
    </row>
    <row r="415" spans="1:4">
      <c r="A415">
        <v>423</v>
      </c>
      <c r="B415" s="1" t="s">
        <v>388</v>
      </c>
      <c r="C415" s="1" t="s">
        <v>1345</v>
      </c>
      <c r="D415" s="1" t="s">
        <v>1199</v>
      </c>
    </row>
    <row r="416" spans="1:4">
      <c r="A416">
        <v>424</v>
      </c>
      <c r="B416" s="1" t="s">
        <v>389</v>
      </c>
      <c r="C416" s="1" t="s">
        <v>1346</v>
      </c>
      <c r="D416" s="1" t="s">
        <v>1199</v>
      </c>
    </row>
    <row r="417" spans="1:4">
      <c r="A417">
        <v>425</v>
      </c>
      <c r="B417" s="1" t="s">
        <v>390</v>
      </c>
      <c r="C417" s="1" t="s">
        <v>1553</v>
      </c>
      <c r="D417" s="1" t="s">
        <v>1199</v>
      </c>
    </row>
    <row r="418" spans="1:4">
      <c r="A418">
        <v>426</v>
      </c>
      <c r="B418" s="1" t="s">
        <v>391</v>
      </c>
      <c r="C418" s="1" t="s">
        <v>1359</v>
      </c>
      <c r="D418" s="1" t="s">
        <v>1199</v>
      </c>
    </row>
    <row r="419" spans="1:4">
      <c r="A419">
        <v>427</v>
      </c>
      <c r="B419" s="1" t="s">
        <v>392</v>
      </c>
      <c r="C419" s="1" t="s">
        <v>1360</v>
      </c>
      <c r="D419" s="1" t="s">
        <v>1199</v>
      </c>
    </row>
    <row r="420" spans="1:4">
      <c r="A420">
        <v>428</v>
      </c>
      <c r="B420" s="1" t="s">
        <v>393</v>
      </c>
      <c r="C420" s="1" t="s">
        <v>1361</v>
      </c>
      <c r="D420" s="1" t="s">
        <v>1199</v>
      </c>
    </row>
    <row r="421" spans="1:4">
      <c r="A421">
        <v>429</v>
      </c>
      <c r="B421" s="1" t="s">
        <v>394</v>
      </c>
      <c r="C421" s="1" t="s">
        <v>1823</v>
      </c>
      <c r="D421" s="1" t="s">
        <v>1199</v>
      </c>
    </row>
    <row r="422" spans="1:4">
      <c r="A422">
        <v>430</v>
      </c>
      <c r="B422" s="1" t="s">
        <v>395</v>
      </c>
      <c r="C422" s="1" t="s">
        <v>1824</v>
      </c>
      <c r="D422" s="1" t="s">
        <v>1199</v>
      </c>
    </row>
    <row r="423" spans="1:4">
      <c r="A423">
        <v>431</v>
      </c>
      <c r="B423" s="1" t="s">
        <v>396</v>
      </c>
      <c r="C423" s="1" t="s">
        <v>1825</v>
      </c>
      <c r="D423" s="1" t="s">
        <v>1199</v>
      </c>
    </row>
    <row r="424" spans="1:4">
      <c r="A424">
        <v>432</v>
      </c>
      <c r="B424" s="1" t="s">
        <v>397</v>
      </c>
      <c r="C424" s="1" t="s">
        <v>1826</v>
      </c>
      <c r="D424" s="1" t="s">
        <v>1199</v>
      </c>
    </row>
    <row r="425" spans="1:4">
      <c r="A425">
        <v>433</v>
      </c>
      <c r="B425" s="1" t="s">
        <v>398</v>
      </c>
      <c r="C425" s="1" t="s">
        <v>1347</v>
      </c>
      <c r="D425" s="1" t="s">
        <v>1199</v>
      </c>
    </row>
    <row r="426" spans="1:4">
      <c r="A426">
        <v>434</v>
      </c>
      <c r="B426" s="1" t="s">
        <v>399</v>
      </c>
      <c r="C426" s="1" t="s">
        <v>1348</v>
      </c>
      <c r="D426" s="1" t="s">
        <v>1199</v>
      </c>
    </row>
    <row r="427" spans="1:4">
      <c r="A427">
        <v>435</v>
      </c>
      <c r="B427" s="1" t="s">
        <v>400</v>
      </c>
      <c r="C427" s="1" t="s">
        <v>1349</v>
      </c>
      <c r="D427" s="1" t="s">
        <v>1199</v>
      </c>
    </row>
    <row r="428" spans="1:4">
      <c r="A428">
        <v>436</v>
      </c>
      <c r="B428" s="1" t="s">
        <v>401</v>
      </c>
      <c r="C428" s="1" t="s">
        <v>1350</v>
      </c>
      <c r="D428" s="1" t="s">
        <v>1199</v>
      </c>
    </row>
    <row r="429" spans="1:4">
      <c r="A429">
        <v>437</v>
      </c>
      <c r="B429" s="1" t="s">
        <v>402</v>
      </c>
      <c r="C429" s="1" t="s">
        <v>1351</v>
      </c>
      <c r="D429" s="1" t="s">
        <v>1199</v>
      </c>
    </row>
    <row r="430" spans="1:4">
      <c r="A430">
        <v>438</v>
      </c>
      <c r="B430" s="1" t="s">
        <v>403</v>
      </c>
      <c r="C430" s="1" t="s">
        <v>1352</v>
      </c>
      <c r="D430" s="1" t="s">
        <v>1199</v>
      </c>
    </row>
    <row r="431" spans="1:4">
      <c r="A431">
        <v>439</v>
      </c>
      <c r="B431" s="1" t="s">
        <v>404</v>
      </c>
      <c r="C431" s="1" t="s">
        <v>1353</v>
      </c>
      <c r="D431" s="1" t="s">
        <v>1199</v>
      </c>
    </row>
    <row r="432" spans="1:4">
      <c r="A432">
        <v>440</v>
      </c>
      <c r="B432" s="1" t="s">
        <v>405</v>
      </c>
      <c r="C432" s="1" t="s">
        <v>1354</v>
      </c>
      <c r="D432" s="1" t="s">
        <v>1199</v>
      </c>
    </row>
    <row r="433" spans="1:4">
      <c r="A433">
        <v>441</v>
      </c>
      <c r="B433" s="1" t="s">
        <v>406</v>
      </c>
      <c r="C433" s="1" t="s">
        <v>1771</v>
      </c>
      <c r="D433" s="1" t="s">
        <v>1199</v>
      </c>
    </row>
    <row r="434" spans="1:4">
      <c r="A434">
        <v>442</v>
      </c>
      <c r="B434" s="1" t="s">
        <v>407</v>
      </c>
      <c r="C434" s="1" t="s">
        <v>1554</v>
      </c>
      <c r="D434" s="1" t="s">
        <v>1199</v>
      </c>
    </row>
    <row r="435" spans="1:4">
      <c r="A435">
        <v>443</v>
      </c>
      <c r="B435" s="1" t="s">
        <v>388</v>
      </c>
      <c r="C435" s="1" t="s">
        <v>1345</v>
      </c>
      <c r="D435" s="1" t="s">
        <v>1199</v>
      </c>
    </row>
    <row r="436" spans="1:4">
      <c r="A436">
        <v>444</v>
      </c>
      <c r="B436" s="1" t="s">
        <v>408</v>
      </c>
      <c r="C436" s="1" t="s">
        <v>1555</v>
      </c>
      <c r="D436" s="1" t="s">
        <v>1199</v>
      </c>
    </row>
    <row r="437" spans="1:4">
      <c r="A437">
        <v>445</v>
      </c>
      <c r="B437" s="1" t="s">
        <v>409</v>
      </c>
      <c r="C437" s="1" t="s">
        <v>1556</v>
      </c>
      <c r="D437" s="1" t="s">
        <v>1199</v>
      </c>
    </row>
    <row r="438" spans="1:4">
      <c r="A438">
        <v>446</v>
      </c>
      <c r="B438" s="1" t="s">
        <v>410</v>
      </c>
      <c r="C438" s="1" t="s">
        <v>1557</v>
      </c>
      <c r="D438" s="1" t="s">
        <v>1199</v>
      </c>
    </row>
    <row r="439" spans="1:4">
      <c r="A439">
        <v>447</v>
      </c>
      <c r="B439" s="1" t="s">
        <v>411</v>
      </c>
      <c r="C439" s="1" t="s">
        <v>1558</v>
      </c>
      <c r="D439" s="1" t="s">
        <v>1199</v>
      </c>
    </row>
    <row r="440" spans="1:4">
      <c r="A440">
        <v>448</v>
      </c>
      <c r="B440" s="1" t="s">
        <v>412</v>
      </c>
      <c r="C440" s="1" t="s">
        <v>1559</v>
      </c>
      <c r="D440" s="1" t="s">
        <v>1199</v>
      </c>
    </row>
    <row r="441" spans="1:4">
      <c r="A441">
        <v>449</v>
      </c>
      <c r="B441" s="1" t="s">
        <v>413</v>
      </c>
      <c r="C441" s="1" t="s">
        <v>1355</v>
      </c>
      <c r="D441" s="1" t="s">
        <v>1199</v>
      </c>
    </row>
    <row r="442" spans="1:4">
      <c r="A442">
        <v>450</v>
      </c>
      <c r="B442" s="1" t="s">
        <v>414</v>
      </c>
      <c r="C442" s="1" t="s">
        <v>1356</v>
      </c>
      <c r="D442" s="1" t="s">
        <v>1199</v>
      </c>
    </row>
    <row r="443" spans="1:4">
      <c r="A443">
        <v>451</v>
      </c>
      <c r="B443" s="1" t="s">
        <v>415</v>
      </c>
      <c r="C443" s="1" t="s">
        <v>1357</v>
      </c>
      <c r="D443" s="1" t="s">
        <v>1199</v>
      </c>
    </row>
    <row r="444" spans="1:4">
      <c r="A444">
        <v>452</v>
      </c>
      <c r="B444" s="1" t="s">
        <v>416</v>
      </c>
      <c r="C444" s="1" t="s">
        <v>1560</v>
      </c>
      <c r="D444" s="1" t="s">
        <v>1199</v>
      </c>
    </row>
    <row r="445" spans="1:4">
      <c r="A445">
        <v>453</v>
      </c>
      <c r="B445" s="1" t="s">
        <v>1561</v>
      </c>
      <c r="C445" s="1" t="s">
        <v>1562</v>
      </c>
      <c r="D445" s="1" t="s">
        <v>1199</v>
      </c>
    </row>
    <row r="446" spans="1:4">
      <c r="A446">
        <v>454</v>
      </c>
      <c r="B446" s="1" t="s">
        <v>417</v>
      </c>
      <c r="C446" s="1" t="s">
        <v>1563</v>
      </c>
      <c r="D446" s="1" t="s">
        <v>1199</v>
      </c>
    </row>
    <row r="447" spans="1:4">
      <c r="A447">
        <v>455</v>
      </c>
      <c r="B447" s="1" t="s">
        <v>418</v>
      </c>
      <c r="C447" s="1" t="s">
        <v>1564</v>
      </c>
      <c r="D447" s="1" t="s">
        <v>1199</v>
      </c>
    </row>
    <row r="448" spans="1:4">
      <c r="A448">
        <v>456</v>
      </c>
      <c r="B448" s="1" t="s">
        <v>419</v>
      </c>
      <c r="C448" s="1" t="s">
        <v>1565</v>
      </c>
      <c r="D448" s="1" t="s">
        <v>1199</v>
      </c>
    </row>
    <row r="449" spans="1:4">
      <c r="A449">
        <v>457</v>
      </c>
      <c r="B449" s="1" t="s">
        <v>420</v>
      </c>
      <c r="C449" s="1" t="s">
        <v>1566</v>
      </c>
      <c r="D449" s="1" t="s">
        <v>1199</v>
      </c>
    </row>
    <row r="450" spans="1:4">
      <c r="A450">
        <v>458</v>
      </c>
      <c r="B450" s="1" t="s">
        <v>421</v>
      </c>
      <c r="C450" s="1" t="s">
        <v>1286</v>
      </c>
      <c r="D450" s="1" t="s">
        <v>1199</v>
      </c>
    </row>
    <row r="451" spans="1:4">
      <c r="A451">
        <v>459</v>
      </c>
      <c r="B451" s="1" t="s">
        <v>422</v>
      </c>
      <c r="C451" s="1" t="s">
        <v>1567</v>
      </c>
      <c r="D451" s="1" t="s">
        <v>1199</v>
      </c>
    </row>
    <row r="452" spans="1:4">
      <c r="A452">
        <v>460</v>
      </c>
      <c r="B452" s="1" t="s">
        <v>423</v>
      </c>
      <c r="C452" s="1" t="s">
        <v>1568</v>
      </c>
      <c r="D452" s="1" t="s">
        <v>1199</v>
      </c>
    </row>
    <row r="453" spans="1:4">
      <c r="A453">
        <v>461</v>
      </c>
      <c r="B453" s="1" t="s">
        <v>424</v>
      </c>
      <c r="C453" s="1" t="s">
        <v>1569</v>
      </c>
      <c r="D453" s="1" t="s">
        <v>1199</v>
      </c>
    </row>
    <row r="454" spans="1:4">
      <c r="A454">
        <v>462</v>
      </c>
      <c r="B454" s="1" t="s">
        <v>425</v>
      </c>
      <c r="C454" s="1" t="s">
        <v>1570</v>
      </c>
      <c r="D454" s="1" t="s">
        <v>1199</v>
      </c>
    </row>
    <row r="455" spans="1:4">
      <c r="A455">
        <v>463</v>
      </c>
      <c r="B455" s="1" t="s">
        <v>426</v>
      </c>
      <c r="C455" s="1" t="s">
        <v>1571</v>
      </c>
      <c r="D455" s="1" t="s">
        <v>1199</v>
      </c>
    </row>
    <row r="456" spans="1:4">
      <c r="A456">
        <v>464</v>
      </c>
      <c r="B456" s="1" t="s">
        <v>427</v>
      </c>
      <c r="C456" s="1" t="s">
        <v>1287</v>
      </c>
      <c r="D456" s="1" t="s">
        <v>1199</v>
      </c>
    </row>
    <row r="457" spans="1:4">
      <c r="A457">
        <v>465</v>
      </c>
      <c r="B457" s="1" t="s">
        <v>428</v>
      </c>
      <c r="C457" s="1" t="s">
        <v>1572</v>
      </c>
      <c r="D457" s="1" t="s">
        <v>1199</v>
      </c>
    </row>
    <row r="458" spans="1:4">
      <c r="A458">
        <v>466</v>
      </c>
      <c r="B458" s="1" t="s">
        <v>429</v>
      </c>
      <c r="C458" s="1" t="s">
        <v>1573</v>
      </c>
      <c r="D458" s="1" t="s">
        <v>1199</v>
      </c>
    </row>
    <row r="459" spans="1:4">
      <c r="A459">
        <v>467</v>
      </c>
      <c r="B459" s="1" t="s">
        <v>430</v>
      </c>
      <c r="C459" s="1" t="s">
        <v>1574</v>
      </c>
      <c r="D459" s="1" t="s">
        <v>1199</v>
      </c>
    </row>
    <row r="460" spans="1:4">
      <c r="A460">
        <v>468</v>
      </c>
      <c r="B460" s="1" t="s">
        <v>431</v>
      </c>
      <c r="C460" s="1" t="s">
        <v>1575</v>
      </c>
      <c r="D460" s="1" t="s">
        <v>1199</v>
      </c>
    </row>
    <row r="461" spans="1:4">
      <c r="A461">
        <v>469</v>
      </c>
      <c r="B461" s="1" t="s">
        <v>432</v>
      </c>
      <c r="C461" s="1" t="s">
        <v>1576</v>
      </c>
      <c r="D461" s="1" t="s">
        <v>1199</v>
      </c>
    </row>
    <row r="462" spans="1:4">
      <c r="A462">
        <v>470</v>
      </c>
      <c r="B462" s="1" t="s">
        <v>433</v>
      </c>
      <c r="C462" s="1" t="s">
        <v>1577</v>
      </c>
      <c r="D462" s="1" t="s">
        <v>1199</v>
      </c>
    </row>
    <row r="463" spans="1:4">
      <c r="A463">
        <v>471</v>
      </c>
      <c r="B463" s="1" t="s">
        <v>434</v>
      </c>
      <c r="C463" s="1" t="s">
        <v>1578</v>
      </c>
      <c r="D463" s="1" t="s">
        <v>1199</v>
      </c>
    </row>
    <row r="464" spans="1:4">
      <c r="A464">
        <v>472</v>
      </c>
      <c r="B464" s="1" t="s">
        <v>435</v>
      </c>
      <c r="C464" s="1" t="s">
        <v>1579</v>
      </c>
      <c r="D464" s="1" t="s">
        <v>1199</v>
      </c>
    </row>
    <row r="465" spans="1:4">
      <c r="A465">
        <v>473</v>
      </c>
      <c r="B465" s="1" t="s">
        <v>436</v>
      </c>
      <c r="C465" s="1" t="s">
        <v>1580</v>
      </c>
      <c r="D465" s="1" t="s">
        <v>1199</v>
      </c>
    </row>
    <row r="466" spans="1:4">
      <c r="A466">
        <v>474</v>
      </c>
      <c r="B466" s="1" t="s">
        <v>437</v>
      </c>
      <c r="C466" s="1" t="s">
        <v>1581</v>
      </c>
      <c r="D466" s="1" t="s">
        <v>1199</v>
      </c>
    </row>
    <row r="467" spans="1:4">
      <c r="A467">
        <v>475</v>
      </c>
      <c r="B467" s="1" t="s">
        <v>438</v>
      </c>
      <c r="C467" s="1" t="s">
        <v>1582</v>
      </c>
      <c r="D467" s="1" t="s">
        <v>1199</v>
      </c>
    </row>
    <row r="468" spans="1:4">
      <c r="A468">
        <v>476</v>
      </c>
      <c r="B468" s="1" t="s">
        <v>439</v>
      </c>
      <c r="C468" s="1" t="s">
        <v>1583</v>
      </c>
      <c r="D468" s="1" t="s">
        <v>1199</v>
      </c>
    </row>
    <row r="469" spans="1:4">
      <c r="A469">
        <v>477</v>
      </c>
      <c r="B469" s="1" t="s">
        <v>440</v>
      </c>
      <c r="C469" s="1" t="s">
        <v>1584</v>
      </c>
      <c r="D469" s="1" t="s">
        <v>1199</v>
      </c>
    </row>
    <row r="470" spans="1:4">
      <c r="A470">
        <v>478</v>
      </c>
      <c r="B470" s="1" t="s">
        <v>441</v>
      </c>
      <c r="C470" s="1" t="s">
        <v>1585</v>
      </c>
      <c r="D470" s="1" t="s">
        <v>1199</v>
      </c>
    </row>
    <row r="471" spans="1:4">
      <c r="A471">
        <v>479</v>
      </c>
      <c r="B471" s="1" t="s">
        <v>442</v>
      </c>
      <c r="C471" s="1" t="s">
        <v>1586</v>
      </c>
      <c r="D471" s="1" t="s">
        <v>1199</v>
      </c>
    </row>
    <row r="472" spans="1:4">
      <c r="A472">
        <v>480</v>
      </c>
      <c r="B472" s="1" t="s">
        <v>443</v>
      </c>
      <c r="C472" s="1" t="s">
        <v>1587</v>
      </c>
      <c r="D472" s="1" t="s">
        <v>1199</v>
      </c>
    </row>
    <row r="473" spans="1:4">
      <c r="A473">
        <v>481</v>
      </c>
      <c r="B473" s="1" t="s">
        <v>444</v>
      </c>
      <c r="C473" s="1" t="s">
        <v>1588</v>
      </c>
      <c r="D473" s="1" t="s">
        <v>1199</v>
      </c>
    </row>
    <row r="474" spans="1:4">
      <c r="A474">
        <v>482</v>
      </c>
      <c r="B474" s="1" t="s">
        <v>445</v>
      </c>
      <c r="C474" s="1" t="s">
        <v>1358</v>
      </c>
      <c r="D474" s="1" t="s">
        <v>1199</v>
      </c>
    </row>
    <row r="475" spans="1:4">
      <c r="A475">
        <v>483</v>
      </c>
      <c r="B475" s="1" t="s">
        <v>446</v>
      </c>
      <c r="C475" s="1" t="s">
        <v>1589</v>
      </c>
      <c r="D475" s="1" t="s">
        <v>1199</v>
      </c>
    </row>
    <row r="476" spans="1:4">
      <c r="A476">
        <v>484</v>
      </c>
      <c r="B476" s="1" t="s">
        <v>447</v>
      </c>
      <c r="C476" s="1" t="s">
        <v>1590</v>
      </c>
      <c r="D476" s="1" t="s">
        <v>1199</v>
      </c>
    </row>
    <row r="477" spans="1:4">
      <c r="A477">
        <v>485</v>
      </c>
      <c r="B477" s="1" t="s">
        <v>448</v>
      </c>
      <c r="C477" s="1" t="s">
        <v>1591</v>
      </c>
      <c r="D477" s="1" t="s">
        <v>1199</v>
      </c>
    </row>
    <row r="478" spans="1:4">
      <c r="A478">
        <v>486</v>
      </c>
      <c r="B478" s="1" t="s">
        <v>449</v>
      </c>
      <c r="C478" s="1" t="s">
        <v>1592</v>
      </c>
      <c r="D478" s="1" t="s">
        <v>1199</v>
      </c>
    </row>
    <row r="479" spans="1:4">
      <c r="A479">
        <v>487</v>
      </c>
      <c r="B479" s="1" t="s">
        <v>450</v>
      </c>
      <c r="C479" s="1" t="s">
        <v>1593</v>
      </c>
      <c r="D479" s="1" t="s">
        <v>1199</v>
      </c>
    </row>
    <row r="480" spans="1:4">
      <c r="A480">
        <v>488</v>
      </c>
      <c r="B480" s="1" t="s">
        <v>451</v>
      </c>
      <c r="C480" s="1" t="s">
        <v>1594</v>
      </c>
      <c r="D480" s="1" t="s">
        <v>1199</v>
      </c>
    </row>
    <row r="481" spans="1:4">
      <c r="A481">
        <v>489</v>
      </c>
      <c r="B481" s="1" t="s">
        <v>452</v>
      </c>
      <c r="C481" s="1" t="s">
        <v>1365</v>
      </c>
      <c r="D481" s="1" t="s">
        <v>1199</v>
      </c>
    </row>
    <row r="482" spans="1:4">
      <c r="A482">
        <v>490</v>
      </c>
      <c r="B482" s="1" t="s">
        <v>453</v>
      </c>
      <c r="C482" s="1" t="s">
        <v>1366</v>
      </c>
      <c r="D482" s="1" t="s">
        <v>1199</v>
      </c>
    </row>
    <row r="483" spans="1:4">
      <c r="A483">
        <v>491</v>
      </c>
      <c r="B483" s="1" t="s">
        <v>454</v>
      </c>
      <c r="C483" s="1" t="s">
        <v>1367</v>
      </c>
      <c r="D483" s="1" t="s">
        <v>1199</v>
      </c>
    </row>
    <row r="484" spans="1:4">
      <c r="A484">
        <v>492</v>
      </c>
      <c r="B484" s="1" t="s">
        <v>455</v>
      </c>
      <c r="C484" s="1" t="s">
        <v>1368</v>
      </c>
      <c r="D484" s="1" t="s">
        <v>1199</v>
      </c>
    </row>
    <row r="485" spans="1:4">
      <c r="A485">
        <v>493</v>
      </c>
      <c r="B485" s="1" t="s">
        <v>456</v>
      </c>
      <c r="C485" s="1" t="s">
        <v>1369</v>
      </c>
      <c r="D485" s="1" t="s">
        <v>1199</v>
      </c>
    </row>
    <row r="486" spans="1:4">
      <c r="A486">
        <v>494</v>
      </c>
      <c r="B486" s="1" t="s">
        <v>457</v>
      </c>
      <c r="C486" s="1" t="s">
        <v>1595</v>
      </c>
      <c r="D486" s="1" t="s">
        <v>1199</v>
      </c>
    </row>
    <row r="487" spans="1:4">
      <c r="A487">
        <v>495</v>
      </c>
      <c r="B487" s="1" t="s">
        <v>458</v>
      </c>
      <c r="C487" s="1" t="s">
        <v>1370</v>
      </c>
      <c r="D487" s="1" t="s">
        <v>1199</v>
      </c>
    </row>
    <row r="488" spans="1:4">
      <c r="A488">
        <v>496</v>
      </c>
      <c r="B488" s="1" t="s">
        <v>459</v>
      </c>
      <c r="C488" s="1" t="s">
        <v>1371</v>
      </c>
      <c r="D488" s="1" t="s">
        <v>1199</v>
      </c>
    </row>
    <row r="489" spans="1:4">
      <c r="A489">
        <v>497</v>
      </c>
      <c r="B489" s="1" t="s">
        <v>460</v>
      </c>
      <c r="C489" s="1" t="s">
        <v>1372</v>
      </c>
      <c r="D489" s="1" t="s">
        <v>1199</v>
      </c>
    </row>
    <row r="490" spans="1:4">
      <c r="A490">
        <v>498</v>
      </c>
      <c r="B490" s="1" t="s">
        <v>461</v>
      </c>
      <c r="C490" s="1" t="s">
        <v>1373</v>
      </c>
      <c r="D490" s="1" t="s">
        <v>1199</v>
      </c>
    </row>
    <row r="491" spans="1:4">
      <c r="A491">
        <v>499</v>
      </c>
      <c r="B491" s="1" t="s">
        <v>462</v>
      </c>
      <c r="C491" s="1" t="s">
        <v>1374</v>
      </c>
      <c r="D491" s="1" t="s">
        <v>1199</v>
      </c>
    </row>
    <row r="492" spans="1:4">
      <c r="A492">
        <v>500</v>
      </c>
      <c r="B492" s="1" t="s">
        <v>463</v>
      </c>
      <c r="C492" s="1" t="s">
        <v>1596</v>
      </c>
      <c r="D492" s="1" t="s">
        <v>1199</v>
      </c>
    </row>
    <row r="493" spans="1:4">
      <c r="A493">
        <v>501</v>
      </c>
      <c r="B493" s="1" t="s">
        <v>464</v>
      </c>
      <c r="C493" s="1" t="s">
        <v>1375</v>
      </c>
      <c r="D493" s="1" t="s">
        <v>1199</v>
      </c>
    </row>
    <row r="494" spans="1:4">
      <c r="A494">
        <v>502</v>
      </c>
      <c r="B494" s="1" t="s">
        <v>465</v>
      </c>
      <c r="C494" s="1" t="s">
        <v>1376</v>
      </c>
      <c r="D494" s="1" t="s">
        <v>1199</v>
      </c>
    </row>
    <row r="495" spans="1:4">
      <c r="A495">
        <v>503</v>
      </c>
      <c r="B495" s="1" t="s">
        <v>466</v>
      </c>
      <c r="C495" s="1" t="s">
        <v>1377</v>
      </c>
      <c r="D495" s="1" t="s">
        <v>1199</v>
      </c>
    </row>
    <row r="496" spans="1:4">
      <c r="A496">
        <v>504</v>
      </c>
      <c r="B496" s="1" t="s">
        <v>467</v>
      </c>
      <c r="C496" s="1" t="s">
        <v>1378</v>
      </c>
      <c r="D496" s="1" t="s">
        <v>1199</v>
      </c>
    </row>
    <row r="497" spans="1:4">
      <c r="A497">
        <v>505</v>
      </c>
      <c r="B497" s="1" t="s">
        <v>468</v>
      </c>
      <c r="C497" s="1" t="s">
        <v>1379</v>
      </c>
      <c r="D497" s="1" t="s">
        <v>1199</v>
      </c>
    </row>
    <row r="498" spans="1:4">
      <c r="A498">
        <v>506</v>
      </c>
      <c r="B498" s="1" t="s">
        <v>469</v>
      </c>
      <c r="C498" s="1" t="s">
        <v>1992</v>
      </c>
      <c r="D498" s="1" t="s">
        <v>1199</v>
      </c>
    </row>
    <row r="499" spans="1:4">
      <c r="A499">
        <v>507</v>
      </c>
      <c r="B499" s="1" t="s">
        <v>470</v>
      </c>
      <c r="C499" s="1" t="s">
        <v>1597</v>
      </c>
      <c r="D499" s="1" t="s">
        <v>1199</v>
      </c>
    </row>
    <row r="500" spans="1:4">
      <c r="A500">
        <v>508</v>
      </c>
      <c r="B500" s="1" t="s">
        <v>471</v>
      </c>
      <c r="C500" s="1" t="s">
        <v>1598</v>
      </c>
      <c r="D500" s="1" t="s">
        <v>1199</v>
      </c>
    </row>
    <row r="501" spans="1:4">
      <c r="A501">
        <v>509</v>
      </c>
      <c r="B501" s="1" t="s">
        <v>472</v>
      </c>
      <c r="C501" s="1" t="s">
        <v>4714</v>
      </c>
      <c r="D501" s="1" t="s">
        <v>1199</v>
      </c>
    </row>
    <row r="502" spans="1:4">
      <c r="A502">
        <v>510</v>
      </c>
      <c r="B502" s="1" t="s">
        <v>473</v>
      </c>
      <c r="C502" s="1" t="s">
        <v>1599</v>
      </c>
      <c r="D502" s="1" t="s">
        <v>1199</v>
      </c>
    </row>
    <row r="503" spans="1:4">
      <c r="A503">
        <v>511</v>
      </c>
      <c r="B503" s="1" t="s">
        <v>474</v>
      </c>
      <c r="C503" s="1" t="s">
        <v>1600</v>
      </c>
      <c r="D503" s="1" t="s">
        <v>1199</v>
      </c>
    </row>
    <row r="504" spans="1:4">
      <c r="A504">
        <v>513</v>
      </c>
      <c r="B504" s="1" t="s">
        <v>475</v>
      </c>
      <c r="C504" s="1" t="s">
        <v>1993</v>
      </c>
      <c r="D504" s="1" t="s">
        <v>1199</v>
      </c>
    </row>
    <row r="505" spans="1:4">
      <c r="A505">
        <v>514</v>
      </c>
      <c r="B505" s="1" t="s">
        <v>476</v>
      </c>
      <c r="C505" s="1" t="s">
        <v>1939</v>
      </c>
      <c r="D505" s="1" t="s">
        <v>1199</v>
      </c>
    </row>
    <row r="506" spans="1:4">
      <c r="A506">
        <v>515</v>
      </c>
      <c r="B506" s="1" t="s">
        <v>477</v>
      </c>
      <c r="C506" s="1" t="s">
        <v>1914</v>
      </c>
      <c r="D506" s="1" t="s">
        <v>1199</v>
      </c>
    </row>
    <row r="507" spans="1:4">
      <c r="A507">
        <v>516</v>
      </c>
      <c r="B507" s="1" t="s">
        <v>478</v>
      </c>
      <c r="C507" s="1" t="s">
        <v>1915</v>
      </c>
      <c r="D507" s="1" t="s">
        <v>1199</v>
      </c>
    </row>
    <row r="508" spans="1:4">
      <c r="A508">
        <v>517</v>
      </c>
      <c r="B508" s="1" t="s">
        <v>479</v>
      </c>
      <c r="C508" s="1" t="s">
        <v>1827</v>
      </c>
      <c r="D508" s="1" t="s">
        <v>1199</v>
      </c>
    </row>
    <row r="509" spans="1:4">
      <c r="A509">
        <v>518</v>
      </c>
      <c r="B509" s="1" t="s">
        <v>480</v>
      </c>
      <c r="C509" s="1" t="s">
        <v>1828</v>
      </c>
      <c r="D509" s="1" t="s">
        <v>1199</v>
      </c>
    </row>
    <row r="510" spans="1:4">
      <c r="A510">
        <v>519</v>
      </c>
      <c r="B510" s="1" t="s">
        <v>481</v>
      </c>
      <c r="C510" s="1" t="s">
        <v>1994</v>
      </c>
      <c r="D510" s="1" t="s">
        <v>1199</v>
      </c>
    </row>
    <row r="511" spans="1:4">
      <c r="A511">
        <v>520</v>
      </c>
      <c r="B511" s="1" t="s">
        <v>482</v>
      </c>
      <c r="C511" s="1" t="s">
        <v>1995</v>
      </c>
      <c r="D511" s="1" t="s">
        <v>1199</v>
      </c>
    </row>
    <row r="512" spans="1:4">
      <c r="A512">
        <v>521</v>
      </c>
      <c r="B512" s="1" t="s">
        <v>483</v>
      </c>
      <c r="C512" s="1" t="s">
        <v>2092</v>
      </c>
      <c r="D512" s="1" t="s">
        <v>1199</v>
      </c>
    </row>
    <row r="513" spans="1:4">
      <c r="A513">
        <v>522</v>
      </c>
      <c r="B513" s="1" t="s">
        <v>484</v>
      </c>
      <c r="C513" s="1" t="s">
        <v>2093</v>
      </c>
      <c r="D513" s="1" t="s">
        <v>1199</v>
      </c>
    </row>
    <row r="514" spans="1:4">
      <c r="A514">
        <v>523</v>
      </c>
      <c r="B514" s="1" t="s">
        <v>485</v>
      </c>
      <c r="C514" s="1" t="s">
        <v>4715</v>
      </c>
      <c r="D514" s="1" t="s">
        <v>1199</v>
      </c>
    </row>
    <row r="515" spans="1:4">
      <c r="A515">
        <v>524</v>
      </c>
      <c r="B515" s="1" t="s">
        <v>486</v>
      </c>
      <c r="C515" s="1" t="s">
        <v>1996</v>
      </c>
      <c r="D515" s="1" t="s">
        <v>1199</v>
      </c>
    </row>
    <row r="516" spans="1:4">
      <c r="A516">
        <v>525</v>
      </c>
      <c r="B516" s="1" t="s">
        <v>487</v>
      </c>
      <c r="C516" s="1" t="s">
        <v>1997</v>
      </c>
      <c r="D516" s="1" t="s">
        <v>1199</v>
      </c>
    </row>
    <row r="517" spans="1:4">
      <c r="A517">
        <v>526</v>
      </c>
      <c r="B517" s="1" t="s">
        <v>488</v>
      </c>
      <c r="C517" s="1" t="s">
        <v>1998</v>
      </c>
      <c r="D517" s="1" t="s">
        <v>1199</v>
      </c>
    </row>
    <row r="518" spans="1:4">
      <c r="A518">
        <v>527</v>
      </c>
      <c r="B518" s="1" t="s">
        <v>489</v>
      </c>
      <c r="C518" s="1" t="s">
        <v>1999</v>
      </c>
      <c r="D518" s="1" t="s">
        <v>1199</v>
      </c>
    </row>
    <row r="519" spans="1:4">
      <c r="A519">
        <v>528</v>
      </c>
      <c r="B519" s="1" t="s">
        <v>490</v>
      </c>
      <c r="C519" s="1" t="s">
        <v>2000</v>
      </c>
      <c r="D519" s="1" t="s">
        <v>1199</v>
      </c>
    </row>
    <row r="520" spans="1:4">
      <c r="A520">
        <v>529</v>
      </c>
      <c r="B520" s="1" t="s">
        <v>491</v>
      </c>
      <c r="C520" s="1" t="s">
        <v>4716</v>
      </c>
      <c r="D520" s="1" t="s">
        <v>1199</v>
      </c>
    </row>
    <row r="521" spans="1:4">
      <c r="A521">
        <v>530</v>
      </c>
      <c r="B521" s="1" t="s">
        <v>266</v>
      </c>
      <c r="C521" s="1" t="s">
        <v>1504</v>
      </c>
      <c r="D521" s="1" t="s">
        <v>1199</v>
      </c>
    </row>
    <row r="522" spans="1:4">
      <c r="A522">
        <v>531</v>
      </c>
      <c r="B522" s="1" t="s">
        <v>492</v>
      </c>
      <c r="C522" s="1" t="s">
        <v>2459</v>
      </c>
      <c r="D522" s="1" t="s">
        <v>1199</v>
      </c>
    </row>
    <row r="523" spans="1:4">
      <c r="A523">
        <v>532</v>
      </c>
      <c r="B523" s="1" t="s">
        <v>493</v>
      </c>
      <c r="C523" s="1" t="s">
        <v>1916</v>
      </c>
      <c r="D523" s="1" t="s">
        <v>1199</v>
      </c>
    </row>
    <row r="524" spans="1:4">
      <c r="A524">
        <v>533</v>
      </c>
      <c r="B524" s="1" t="s">
        <v>494</v>
      </c>
      <c r="C524" s="1" t="s">
        <v>4717</v>
      </c>
      <c r="D524" s="1" t="s">
        <v>1199</v>
      </c>
    </row>
    <row r="525" spans="1:4">
      <c r="A525">
        <v>534</v>
      </c>
      <c r="B525" s="1" t="s">
        <v>495</v>
      </c>
      <c r="C525" s="1" t="s">
        <v>1829</v>
      </c>
      <c r="D525" s="1" t="s">
        <v>1199</v>
      </c>
    </row>
    <row r="526" spans="1:4">
      <c r="A526">
        <v>535</v>
      </c>
      <c r="B526" s="1" t="s">
        <v>496</v>
      </c>
      <c r="C526" s="1" t="s">
        <v>1854</v>
      </c>
      <c r="D526" s="1" t="s">
        <v>1199</v>
      </c>
    </row>
    <row r="527" spans="1:4">
      <c r="A527">
        <v>536</v>
      </c>
      <c r="B527" s="1" t="s">
        <v>497</v>
      </c>
      <c r="C527" s="1" t="s">
        <v>1855</v>
      </c>
      <c r="D527" s="1" t="s">
        <v>1199</v>
      </c>
    </row>
    <row r="528" spans="1:4">
      <c r="A528">
        <v>537</v>
      </c>
      <c r="B528" s="1" t="s">
        <v>498</v>
      </c>
      <c r="C528" s="1" t="s">
        <v>2001</v>
      </c>
      <c r="D528" s="1" t="s">
        <v>1199</v>
      </c>
    </row>
    <row r="529" spans="1:4">
      <c r="A529">
        <v>538</v>
      </c>
      <c r="B529" s="1" t="s">
        <v>499</v>
      </c>
      <c r="C529" s="1" t="s">
        <v>2002</v>
      </c>
      <c r="D529" s="1" t="s">
        <v>1199</v>
      </c>
    </row>
    <row r="530" spans="1:4">
      <c r="A530">
        <v>539</v>
      </c>
      <c r="B530" s="1" t="s">
        <v>500</v>
      </c>
      <c r="C530" s="1" t="s">
        <v>2003</v>
      </c>
      <c r="D530" s="1" t="s">
        <v>1199</v>
      </c>
    </row>
    <row r="531" spans="1:4">
      <c r="A531">
        <v>540</v>
      </c>
      <c r="B531" s="1" t="s">
        <v>501</v>
      </c>
      <c r="C531" s="1" t="s">
        <v>1830</v>
      </c>
      <c r="D531" s="1" t="s">
        <v>1199</v>
      </c>
    </row>
    <row r="532" spans="1:4">
      <c r="A532">
        <v>541</v>
      </c>
      <c r="B532" s="1" t="s">
        <v>502</v>
      </c>
      <c r="C532" s="1" t="s">
        <v>1856</v>
      </c>
      <c r="D532" s="1" t="s">
        <v>1199</v>
      </c>
    </row>
    <row r="533" spans="1:4">
      <c r="A533">
        <v>542</v>
      </c>
      <c r="B533" s="1" t="s">
        <v>503</v>
      </c>
      <c r="C533" s="1" t="s">
        <v>2004</v>
      </c>
      <c r="D533" s="1" t="s">
        <v>1199</v>
      </c>
    </row>
    <row r="534" spans="1:4">
      <c r="A534">
        <v>543</v>
      </c>
      <c r="B534" s="1" t="s">
        <v>504</v>
      </c>
      <c r="C534" s="1" t="s">
        <v>4718</v>
      </c>
      <c r="D534" s="1" t="s">
        <v>1199</v>
      </c>
    </row>
    <row r="535" spans="1:4">
      <c r="A535">
        <v>544</v>
      </c>
      <c r="B535" s="1" t="s">
        <v>505</v>
      </c>
      <c r="C535" s="1" t="s">
        <v>1857</v>
      </c>
      <c r="D535" s="1" t="s">
        <v>1199</v>
      </c>
    </row>
    <row r="536" spans="1:4">
      <c r="A536">
        <v>545</v>
      </c>
      <c r="B536" s="1" t="s">
        <v>506</v>
      </c>
      <c r="C536" s="1" t="s">
        <v>1958</v>
      </c>
      <c r="D536" s="1" t="s">
        <v>1199</v>
      </c>
    </row>
    <row r="537" spans="1:4">
      <c r="A537">
        <v>546</v>
      </c>
      <c r="B537" s="1" t="s">
        <v>507</v>
      </c>
      <c r="C537" s="1" t="s">
        <v>4719</v>
      </c>
      <c r="D537" s="1" t="s">
        <v>1199</v>
      </c>
    </row>
    <row r="538" spans="1:4">
      <c r="A538">
        <v>547</v>
      </c>
      <c r="B538" s="1" t="s">
        <v>508</v>
      </c>
      <c r="C538" s="1" t="s">
        <v>1858</v>
      </c>
      <c r="D538" s="1" t="s">
        <v>1199</v>
      </c>
    </row>
    <row r="539" spans="1:4">
      <c r="A539">
        <v>548</v>
      </c>
      <c r="B539" s="1" t="s">
        <v>509</v>
      </c>
      <c r="C539" s="1" t="s">
        <v>4720</v>
      </c>
      <c r="D539" s="1" t="s">
        <v>1199</v>
      </c>
    </row>
    <row r="540" spans="1:4">
      <c r="A540">
        <v>549</v>
      </c>
      <c r="B540" s="1" t="s">
        <v>510</v>
      </c>
      <c r="C540" s="1" t="s">
        <v>1831</v>
      </c>
      <c r="D540" s="1" t="s">
        <v>1199</v>
      </c>
    </row>
    <row r="541" spans="1:4">
      <c r="A541">
        <v>550</v>
      </c>
      <c r="B541" s="1" t="s">
        <v>511</v>
      </c>
      <c r="C541" s="1" t="s">
        <v>1832</v>
      </c>
      <c r="D541" s="1" t="s">
        <v>1199</v>
      </c>
    </row>
    <row r="542" spans="1:4">
      <c r="A542">
        <v>551</v>
      </c>
      <c r="B542" s="1" t="s">
        <v>512</v>
      </c>
      <c r="C542" s="1" t="s">
        <v>1833</v>
      </c>
      <c r="D542" s="1" t="s">
        <v>1199</v>
      </c>
    </row>
    <row r="543" spans="1:4">
      <c r="A543">
        <v>552</v>
      </c>
      <c r="B543" s="1" t="s">
        <v>513</v>
      </c>
      <c r="C543" s="1" t="s">
        <v>2005</v>
      </c>
      <c r="D543" s="1" t="s">
        <v>1199</v>
      </c>
    </row>
    <row r="544" spans="1:4">
      <c r="A544">
        <v>553</v>
      </c>
      <c r="B544" s="1" t="s">
        <v>514</v>
      </c>
      <c r="C544" s="1" t="s">
        <v>2006</v>
      </c>
      <c r="D544" s="1" t="s">
        <v>1199</v>
      </c>
    </row>
    <row r="545" spans="1:4">
      <c r="A545">
        <v>554</v>
      </c>
      <c r="B545" s="1" t="s">
        <v>515</v>
      </c>
      <c r="C545" s="1" t="s">
        <v>2007</v>
      </c>
      <c r="D545" s="1" t="s">
        <v>1199</v>
      </c>
    </row>
    <row r="546" spans="1:4">
      <c r="A546">
        <v>555</v>
      </c>
      <c r="B546" s="1" t="s">
        <v>516</v>
      </c>
      <c r="C546" s="1" t="s">
        <v>2008</v>
      </c>
      <c r="D546" s="1" t="s">
        <v>1199</v>
      </c>
    </row>
    <row r="547" spans="1:4">
      <c r="A547">
        <v>556</v>
      </c>
      <c r="B547" s="1" t="s">
        <v>517</v>
      </c>
      <c r="C547" s="1" t="s">
        <v>1834</v>
      </c>
      <c r="D547" s="1" t="s">
        <v>1199</v>
      </c>
    </row>
    <row r="548" spans="1:4">
      <c r="A548">
        <v>557</v>
      </c>
      <c r="B548" s="1" t="s">
        <v>518</v>
      </c>
      <c r="C548" s="1" t="s">
        <v>1835</v>
      </c>
      <c r="D548" s="1" t="s">
        <v>1199</v>
      </c>
    </row>
    <row r="549" spans="1:4">
      <c r="A549">
        <v>558</v>
      </c>
      <c r="B549" s="1" t="s">
        <v>519</v>
      </c>
      <c r="C549" s="1" t="s">
        <v>1836</v>
      </c>
      <c r="D549" s="1" t="s">
        <v>1199</v>
      </c>
    </row>
    <row r="550" spans="1:4">
      <c r="A550">
        <v>559</v>
      </c>
      <c r="B550" s="1" t="s">
        <v>520</v>
      </c>
      <c r="C550" s="1" t="s">
        <v>1837</v>
      </c>
      <c r="D550" s="1" t="s">
        <v>1199</v>
      </c>
    </row>
    <row r="551" spans="1:4">
      <c r="A551">
        <v>560</v>
      </c>
      <c r="B551" s="1" t="s">
        <v>521</v>
      </c>
      <c r="C551" s="1" t="s">
        <v>2460</v>
      </c>
      <c r="D551" s="1" t="s">
        <v>1199</v>
      </c>
    </row>
    <row r="552" spans="1:4">
      <c r="A552">
        <v>561</v>
      </c>
      <c r="B552" s="1" t="s">
        <v>522</v>
      </c>
      <c r="C552" s="1" t="s">
        <v>4721</v>
      </c>
      <c r="D552" s="1" t="s">
        <v>1199</v>
      </c>
    </row>
    <row r="553" spans="1:4">
      <c r="A553">
        <v>562</v>
      </c>
      <c r="B553" s="1" t="s">
        <v>523</v>
      </c>
      <c r="C553" s="1" t="s">
        <v>1917</v>
      </c>
      <c r="D553" s="1" t="s">
        <v>1199</v>
      </c>
    </row>
    <row r="554" spans="1:4">
      <c r="A554">
        <v>563</v>
      </c>
      <c r="B554" s="1" t="s">
        <v>524</v>
      </c>
      <c r="C554" s="1" t="s">
        <v>4722</v>
      </c>
      <c r="D554" s="1" t="s">
        <v>1199</v>
      </c>
    </row>
    <row r="555" spans="1:4">
      <c r="A555">
        <v>564</v>
      </c>
      <c r="B555" s="1" t="s">
        <v>525</v>
      </c>
      <c r="C555" s="1" t="s">
        <v>1838</v>
      </c>
      <c r="D555" s="1" t="s">
        <v>1199</v>
      </c>
    </row>
    <row r="556" spans="1:4">
      <c r="A556">
        <v>565</v>
      </c>
      <c r="B556" s="1" t="s">
        <v>526</v>
      </c>
      <c r="C556" s="1" t="s">
        <v>4711</v>
      </c>
      <c r="D556" s="1" t="s">
        <v>1199</v>
      </c>
    </row>
    <row r="557" spans="1:4">
      <c r="A557">
        <v>566</v>
      </c>
      <c r="B557" s="1" t="s">
        <v>527</v>
      </c>
      <c r="C557" s="1" t="s">
        <v>2009</v>
      </c>
      <c r="D557" s="1" t="s">
        <v>1199</v>
      </c>
    </row>
    <row r="558" spans="1:4">
      <c r="A558">
        <v>567</v>
      </c>
      <c r="B558" s="1" t="s">
        <v>528</v>
      </c>
      <c r="C558" s="1" t="s">
        <v>2010</v>
      </c>
      <c r="D558" s="1" t="s">
        <v>1199</v>
      </c>
    </row>
    <row r="559" spans="1:4">
      <c r="A559">
        <v>568</v>
      </c>
      <c r="B559" s="1" t="s">
        <v>529</v>
      </c>
      <c r="C559" s="1" t="s">
        <v>1839</v>
      </c>
      <c r="D559" s="1" t="s">
        <v>1199</v>
      </c>
    </row>
    <row r="560" spans="1:4">
      <c r="A560">
        <v>569</v>
      </c>
      <c r="B560" s="1" t="s">
        <v>530</v>
      </c>
      <c r="C560" s="1" t="s">
        <v>2011</v>
      </c>
      <c r="D560" s="1" t="s">
        <v>1199</v>
      </c>
    </row>
    <row r="561" spans="1:4">
      <c r="A561">
        <v>570</v>
      </c>
      <c r="B561" s="1" t="s">
        <v>523</v>
      </c>
      <c r="C561" s="1" t="s">
        <v>1917</v>
      </c>
      <c r="D561" s="1" t="s">
        <v>1199</v>
      </c>
    </row>
    <row r="562" spans="1:4">
      <c r="A562">
        <v>571</v>
      </c>
      <c r="B562" s="1" t="s">
        <v>531</v>
      </c>
      <c r="C562" s="1" t="s">
        <v>1918</v>
      </c>
      <c r="D562" s="1" t="s">
        <v>1199</v>
      </c>
    </row>
    <row r="563" spans="1:4">
      <c r="A563">
        <v>572</v>
      </c>
      <c r="B563" s="1" t="s">
        <v>532</v>
      </c>
      <c r="C563" s="1" t="s">
        <v>1919</v>
      </c>
      <c r="D563" s="1" t="s">
        <v>1199</v>
      </c>
    </row>
    <row r="564" spans="1:4">
      <c r="A564">
        <v>573</v>
      </c>
      <c r="B564" s="1" t="s">
        <v>533</v>
      </c>
      <c r="C564" s="1" t="s">
        <v>2012</v>
      </c>
      <c r="D564" s="1" t="s">
        <v>1199</v>
      </c>
    </row>
    <row r="565" spans="1:4">
      <c r="A565">
        <v>574</v>
      </c>
      <c r="B565" s="1" t="s">
        <v>1840</v>
      </c>
      <c r="C565" s="1" t="s">
        <v>4723</v>
      </c>
      <c r="D565" s="1" t="s">
        <v>1199</v>
      </c>
    </row>
    <row r="566" spans="1:4">
      <c r="A566">
        <v>575</v>
      </c>
      <c r="B566" s="1" t="s">
        <v>535</v>
      </c>
      <c r="C566" s="1" t="s">
        <v>2013</v>
      </c>
      <c r="D566" s="1" t="s">
        <v>1199</v>
      </c>
    </row>
    <row r="567" spans="1:4">
      <c r="A567">
        <v>576</v>
      </c>
      <c r="B567" s="1" t="s">
        <v>536</v>
      </c>
      <c r="C567" s="1" t="s">
        <v>2014</v>
      </c>
      <c r="D567" s="1" t="s">
        <v>1199</v>
      </c>
    </row>
    <row r="568" spans="1:4">
      <c r="A568">
        <v>577</v>
      </c>
      <c r="B568" s="1" t="s">
        <v>537</v>
      </c>
      <c r="C568" s="1" t="s">
        <v>1940</v>
      </c>
      <c r="D568" s="1" t="s">
        <v>1199</v>
      </c>
    </row>
    <row r="569" spans="1:4">
      <c r="A569">
        <v>578</v>
      </c>
      <c r="B569" s="1" t="s">
        <v>538</v>
      </c>
      <c r="C569" s="1" t="s">
        <v>1941</v>
      </c>
      <c r="D569" s="1" t="s">
        <v>1199</v>
      </c>
    </row>
    <row r="570" spans="1:4">
      <c r="A570">
        <v>579</v>
      </c>
      <c r="B570" s="1" t="s">
        <v>539</v>
      </c>
      <c r="C570" s="1" t="s">
        <v>2461</v>
      </c>
      <c r="D570" s="1" t="s">
        <v>1199</v>
      </c>
    </row>
    <row r="571" spans="1:4">
      <c r="A571">
        <v>580</v>
      </c>
      <c r="B571" s="1" t="s">
        <v>540</v>
      </c>
      <c r="C571" s="1" t="s">
        <v>1942</v>
      </c>
      <c r="D571" s="1" t="s">
        <v>1199</v>
      </c>
    </row>
    <row r="572" spans="1:4">
      <c r="A572">
        <v>581</v>
      </c>
      <c r="B572" s="1" t="s">
        <v>269</v>
      </c>
      <c r="C572" s="1" t="s">
        <v>1913</v>
      </c>
      <c r="D572" s="1" t="s">
        <v>1199</v>
      </c>
    </row>
    <row r="573" spans="1:4">
      <c r="A573">
        <v>582</v>
      </c>
      <c r="B573" s="1" t="s">
        <v>541</v>
      </c>
      <c r="C573" s="1" t="s">
        <v>2015</v>
      </c>
      <c r="D573" s="1" t="s">
        <v>1199</v>
      </c>
    </row>
    <row r="574" spans="1:4">
      <c r="A574">
        <v>583</v>
      </c>
      <c r="B574" s="1" t="s">
        <v>542</v>
      </c>
      <c r="C574" s="1" t="s">
        <v>2016</v>
      </c>
      <c r="D574" s="1" t="s">
        <v>1199</v>
      </c>
    </row>
    <row r="575" spans="1:4">
      <c r="A575">
        <v>584</v>
      </c>
      <c r="B575" s="1" t="s">
        <v>543</v>
      </c>
      <c r="C575" s="1" t="s">
        <v>1943</v>
      </c>
      <c r="D575" s="1" t="s">
        <v>1199</v>
      </c>
    </row>
    <row r="576" spans="1:4">
      <c r="A576">
        <v>585</v>
      </c>
      <c r="B576" s="1" t="s">
        <v>544</v>
      </c>
      <c r="C576" s="1" t="s">
        <v>1944</v>
      </c>
      <c r="D576" s="1" t="s">
        <v>1199</v>
      </c>
    </row>
    <row r="577" spans="1:4">
      <c r="A577">
        <v>586</v>
      </c>
      <c r="B577" s="1" t="s">
        <v>545</v>
      </c>
      <c r="C577" s="1" t="s">
        <v>4724</v>
      </c>
      <c r="D577" s="1" t="s">
        <v>1199</v>
      </c>
    </row>
    <row r="578" spans="1:4">
      <c r="A578">
        <v>587</v>
      </c>
      <c r="B578" s="1" t="s">
        <v>546</v>
      </c>
      <c r="C578" s="1" t="s">
        <v>1945</v>
      </c>
      <c r="D578" s="1" t="s">
        <v>1199</v>
      </c>
    </row>
    <row r="579" spans="1:4">
      <c r="A579">
        <v>588</v>
      </c>
      <c r="B579" s="1" t="s">
        <v>547</v>
      </c>
      <c r="C579" s="1" t="s">
        <v>4647</v>
      </c>
      <c r="D579" s="1" t="s">
        <v>1199</v>
      </c>
    </row>
    <row r="580" spans="1:4">
      <c r="A580">
        <v>589</v>
      </c>
      <c r="B580" s="1" t="s">
        <v>548</v>
      </c>
      <c r="C580" s="1" t="s">
        <v>1946</v>
      </c>
      <c r="D580" s="1" t="s">
        <v>1199</v>
      </c>
    </row>
    <row r="581" spans="1:4">
      <c r="A581">
        <v>590</v>
      </c>
      <c r="B581" s="1" t="s">
        <v>537</v>
      </c>
      <c r="C581" s="1" t="s">
        <v>1940</v>
      </c>
      <c r="D581" s="1" t="s">
        <v>1199</v>
      </c>
    </row>
    <row r="582" spans="1:4">
      <c r="A582">
        <v>591</v>
      </c>
      <c r="B582" s="1" t="s">
        <v>538</v>
      </c>
      <c r="C582" s="1" t="s">
        <v>1941</v>
      </c>
      <c r="D582" s="1" t="s">
        <v>1199</v>
      </c>
    </row>
    <row r="583" spans="1:4">
      <c r="A583">
        <v>592</v>
      </c>
      <c r="B583" s="1" t="s">
        <v>549</v>
      </c>
      <c r="C583" s="1" t="s">
        <v>1947</v>
      </c>
      <c r="D583" s="1" t="s">
        <v>1199</v>
      </c>
    </row>
    <row r="584" spans="1:4">
      <c r="A584">
        <v>593</v>
      </c>
      <c r="B584" s="1" t="s">
        <v>394</v>
      </c>
      <c r="C584" s="1" t="s">
        <v>1823</v>
      </c>
      <c r="D584" s="1" t="s">
        <v>1199</v>
      </c>
    </row>
    <row r="585" spans="1:4">
      <c r="A585">
        <v>594</v>
      </c>
      <c r="B585" s="1" t="s">
        <v>540</v>
      </c>
      <c r="C585" s="1" t="s">
        <v>1942</v>
      </c>
      <c r="D585" s="1" t="s">
        <v>1199</v>
      </c>
    </row>
    <row r="586" spans="1:4">
      <c r="A586">
        <v>595</v>
      </c>
      <c r="B586" s="1" t="s">
        <v>550</v>
      </c>
      <c r="C586" s="1" t="s">
        <v>1841</v>
      </c>
      <c r="D586" s="1" t="s">
        <v>1199</v>
      </c>
    </row>
    <row r="587" spans="1:4">
      <c r="A587">
        <v>596</v>
      </c>
      <c r="B587" s="1" t="s">
        <v>551</v>
      </c>
      <c r="C587" s="1" t="s">
        <v>1842</v>
      </c>
      <c r="D587" s="1" t="s">
        <v>1199</v>
      </c>
    </row>
    <row r="588" spans="1:4">
      <c r="A588">
        <v>597</v>
      </c>
      <c r="B588" s="1" t="s">
        <v>552</v>
      </c>
      <c r="C588" s="1" t="s">
        <v>1601</v>
      </c>
      <c r="D588" s="1" t="s">
        <v>1199</v>
      </c>
    </row>
    <row r="589" spans="1:4">
      <c r="A589">
        <v>598</v>
      </c>
      <c r="B589" s="1" t="s">
        <v>553</v>
      </c>
      <c r="C589" s="1" t="s">
        <v>1602</v>
      </c>
      <c r="D589" s="1" t="s">
        <v>1199</v>
      </c>
    </row>
    <row r="590" spans="1:4">
      <c r="A590">
        <v>599</v>
      </c>
      <c r="B590" s="1" t="s">
        <v>554</v>
      </c>
      <c r="C590" s="1" t="s">
        <v>1603</v>
      </c>
      <c r="D590" s="1" t="s">
        <v>1199</v>
      </c>
    </row>
    <row r="591" spans="1:4">
      <c r="A591">
        <v>600</v>
      </c>
      <c r="B591" s="1" t="s">
        <v>555</v>
      </c>
      <c r="C591" s="1" t="s">
        <v>1604</v>
      </c>
      <c r="D591" s="1" t="s">
        <v>1199</v>
      </c>
    </row>
    <row r="592" spans="1:4">
      <c r="A592">
        <v>601</v>
      </c>
      <c r="B592" s="1" t="s">
        <v>556</v>
      </c>
      <c r="C592" s="1" t="s">
        <v>4648</v>
      </c>
      <c r="D592" s="1" t="s">
        <v>1199</v>
      </c>
    </row>
    <row r="593" spans="1:4">
      <c r="A593">
        <v>602</v>
      </c>
      <c r="B593" s="1" t="s">
        <v>557</v>
      </c>
      <c r="C593" s="1" t="s">
        <v>4649</v>
      </c>
      <c r="D593" s="1" t="s">
        <v>1199</v>
      </c>
    </row>
    <row r="594" spans="1:4">
      <c r="A594">
        <v>603</v>
      </c>
      <c r="B594" s="1" t="s">
        <v>558</v>
      </c>
      <c r="C594" s="1" t="s">
        <v>1948</v>
      </c>
      <c r="D594" s="1" t="s">
        <v>1199</v>
      </c>
    </row>
    <row r="595" spans="1:4">
      <c r="A595">
        <v>604</v>
      </c>
      <c r="B595" s="1" t="s">
        <v>559</v>
      </c>
      <c r="C595" s="1" t="s">
        <v>1605</v>
      </c>
      <c r="D595" s="1" t="s">
        <v>1199</v>
      </c>
    </row>
    <row r="596" spans="1:4">
      <c r="A596">
        <v>605</v>
      </c>
      <c r="B596" s="1" t="s">
        <v>560</v>
      </c>
      <c r="C596" s="1" t="s">
        <v>1606</v>
      </c>
      <c r="D596" s="1" t="s">
        <v>1199</v>
      </c>
    </row>
    <row r="597" spans="1:4">
      <c r="A597">
        <v>606</v>
      </c>
      <c r="B597" s="1" t="s">
        <v>561</v>
      </c>
      <c r="C597" s="1" t="s">
        <v>1949</v>
      </c>
      <c r="D597" s="1" t="s">
        <v>1199</v>
      </c>
    </row>
    <row r="598" spans="1:4">
      <c r="A598">
        <v>607</v>
      </c>
      <c r="B598" s="1" t="s">
        <v>562</v>
      </c>
      <c r="C598" s="1" t="s">
        <v>1950</v>
      </c>
      <c r="D598" s="1" t="s">
        <v>1199</v>
      </c>
    </row>
    <row r="599" spans="1:4">
      <c r="A599">
        <v>608</v>
      </c>
      <c r="B599" s="1" t="s">
        <v>563</v>
      </c>
      <c r="C599" s="1" t="s">
        <v>1951</v>
      </c>
      <c r="D599" s="1" t="s">
        <v>1199</v>
      </c>
    </row>
    <row r="600" spans="1:4">
      <c r="A600">
        <v>609</v>
      </c>
      <c r="B600" s="1" t="s">
        <v>564</v>
      </c>
      <c r="C600" s="1" t="s">
        <v>4650</v>
      </c>
      <c r="D600" s="1" t="s">
        <v>1199</v>
      </c>
    </row>
    <row r="601" spans="1:4">
      <c r="A601">
        <v>610</v>
      </c>
      <c r="B601" s="1" t="s">
        <v>565</v>
      </c>
      <c r="C601" s="1" t="s">
        <v>1952</v>
      </c>
      <c r="D601" s="1" t="s">
        <v>1199</v>
      </c>
    </row>
    <row r="602" spans="1:4">
      <c r="A602">
        <v>611</v>
      </c>
      <c r="B602" s="1" t="s">
        <v>566</v>
      </c>
      <c r="C602" s="1" t="s">
        <v>1953</v>
      </c>
      <c r="D602" s="1" t="s">
        <v>1199</v>
      </c>
    </row>
    <row r="603" spans="1:4">
      <c r="A603">
        <v>612</v>
      </c>
      <c r="B603" s="1" t="s">
        <v>567</v>
      </c>
      <c r="C603" s="1" t="s">
        <v>1954</v>
      </c>
      <c r="D603" s="1" t="s">
        <v>1199</v>
      </c>
    </row>
    <row r="604" spans="1:4">
      <c r="A604">
        <v>613</v>
      </c>
      <c r="B604" s="1" t="s">
        <v>568</v>
      </c>
      <c r="C604" s="1" t="s">
        <v>1607</v>
      </c>
      <c r="D604" s="1" t="s">
        <v>1199</v>
      </c>
    </row>
    <row r="605" spans="1:4">
      <c r="A605">
        <v>614</v>
      </c>
      <c r="B605" s="1" t="s">
        <v>569</v>
      </c>
      <c r="C605" s="1" t="s">
        <v>1843</v>
      </c>
      <c r="D605" s="1" t="s">
        <v>1199</v>
      </c>
    </row>
    <row r="606" spans="1:4">
      <c r="A606">
        <v>615</v>
      </c>
      <c r="B606" s="1" t="s">
        <v>570</v>
      </c>
      <c r="C606" s="1" t="s">
        <v>1608</v>
      </c>
      <c r="D606" s="1" t="s">
        <v>1199</v>
      </c>
    </row>
    <row r="607" spans="1:4">
      <c r="A607">
        <v>616</v>
      </c>
      <c r="B607" s="1" t="s">
        <v>571</v>
      </c>
      <c r="C607" s="1" t="s">
        <v>1844</v>
      </c>
      <c r="D607" s="1" t="s">
        <v>1199</v>
      </c>
    </row>
    <row r="608" spans="1:4">
      <c r="A608">
        <v>617</v>
      </c>
      <c r="B608" s="1" t="s">
        <v>572</v>
      </c>
      <c r="C608" s="1" t="s">
        <v>2017</v>
      </c>
      <c r="D608" s="1" t="s">
        <v>1199</v>
      </c>
    </row>
    <row r="609" spans="1:4">
      <c r="A609">
        <v>618</v>
      </c>
      <c r="B609" s="1" t="s">
        <v>573</v>
      </c>
      <c r="C609" s="1" t="s">
        <v>1845</v>
      </c>
      <c r="D609" s="1" t="s">
        <v>1199</v>
      </c>
    </row>
    <row r="610" spans="1:4">
      <c r="A610">
        <v>619</v>
      </c>
      <c r="B610" s="1" t="s">
        <v>574</v>
      </c>
      <c r="C610" s="1" t="s">
        <v>1846</v>
      </c>
      <c r="D610" s="1" t="s">
        <v>1199</v>
      </c>
    </row>
    <row r="611" spans="1:4">
      <c r="A611">
        <v>620</v>
      </c>
      <c r="B611" s="1" t="s">
        <v>575</v>
      </c>
      <c r="C611" s="1" t="s">
        <v>1847</v>
      </c>
      <c r="D611" s="1" t="s">
        <v>1199</v>
      </c>
    </row>
    <row r="612" spans="1:4">
      <c r="A612">
        <v>621</v>
      </c>
      <c r="B612" s="1" t="s">
        <v>576</v>
      </c>
      <c r="C612" s="1" t="s">
        <v>1848</v>
      </c>
      <c r="D612" s="1" t="s">
        <v>1199</v>
      </c>
    </row>
    <row r="613" spans="1:4">
      <c r="A613">
        <v>622</v>
      </c>
      <c r="B613" s="1" t="s">
        <v>577</v>
      </c>
      <c r="C613" s="1" t="s">
        <v>1849</v>
      </c>
      <c r="D613" s="1" t="s">
        <v>1199</v>
      </c>
    </row>
    <row r="614" spans="1:4">
      <c r="A614">
        <v>623</v>
      </c>
      <c r="B614" s="1" t="s">
        <v>578</v>
      </c>
      <c r="C614" s="1" t="s">
        <v>1846</v>
      </c>
      <c r="D614" s="1" t="s">
        <v>1199</v>
      </c>
    </row>
    <row r="615" spans="1:4">
      <c r="A615">
        <v>650</v>
      </c>
      <c r="B615" s="1" t="s">
        <v>579</v>
      </c>
      <c r="C615" s="1" t="s">
        <v>2452</v>
      </c>
      <c r="D615" s="1" t="s">
        <v>1200</v>
      </c>
    </row>
    <row r="616" spans="1:4">
      <c r="A616">
        <v>651</v>
      </c>
      <c r="B616" s="1" t="s">
        <v>580</v>
      </c>
      <c r="C616" s="1" t="s">
        <v>2453</v>
      </c>
      <c r="D616" s="1" t="s">
        <v>1200</v>
      </c>
    </row>
    <row r="617" spans="1:4">
      <c r="A617">
        <v>652</v>
      </c>
      <c r="B617" s="1" t="s">
        <v>581</v>
      </c>
      <c r="C617" s="1" t="s">
        <v>2454</v>
      </c>
      <c r="D617" s="1" t="s">
        <v>1200</v>
      </c>
    </row>
    <row r="618" spans="1:4">
      <c r="A618">
        <v>653</v>
      </c>
      <c r="B618" s="1" t="s">
        <v>582</v>
      </c>
      <c r="C618" s="1" t="s">
        <v>2455</v>
      </c>
      <c r="D618" s="1" t="s">
        <v>1200</v>
      </c>
    </row>
    <row r="619" spans="1:4">
      <c r="A619">
        <v>654</v>
      </c>
      <c r="B619" s="1" t="s">
        <v>583</v>
      </c>
      <c r="C619" s="1" t="s">
        <v>2456</v>
      </c>
      <c r="D619" s="1" t="s">
        <v>1200</v>
      </c>
    </row>
    <row r="620" spans="1:4">
      <c r="A620">
        <v>655</v>
      </c>
      <c r="B620" s="1" t="s">
        <v>584</v>
      </c>
      <c r="C620" s="1" t="s">
        <v>2457</v>
      </c>
      <c r="D620" s="1" t="s">
        <v>1200</v>
      </c>
    </row>
    <row r="621" spans="1:4">
      <c r="A621">
        <v>656</v>
      </c>
      <c r="B621" s="1" t="s">
        <v>585</v>
      </c>
      <c r="C621" s="1" t="s">
        <v>2458</v>
      </c>
      <c r="D621" s="1" t="s">
        <v>1200</v>
      </c>
    </row>
    <row r="622" spans="1:4">
      <c r="A622">
        <v>700</v>
      </c>
      <c r="B622" s="1" t="s">
        <v>586</v>
      </c>
      <c r="C622" s="1" t="s">
        <v>1609</v>
      </c>
      <c r="D622" s="1" t="s">
        <v>1201</v>
      </c>
    </row>
    <row r="623" spans="1:4">
      <c r="A623">
        <v>701</v>
      </c>
      <c r="B623" s="1" t="s">
        <v>587</v>
      </c>
      <c r="C623" s="1" t="s">
        <v>1231</v>
      </c>
      <c r="D623" s="1" t="s">
        <v>1201</v>
      </c>
    </row>
    <row r="624" spans="1:4">
      <c r="A624">
        <v>702</v>
      </c>
      <c r="B624" s="1" t="s">
        <v>588</v>
      </c>
      <c r="C624" s="1" t="s">
        <v>1610</v>
      </c>
      <c r="D624" s="1" t="s">
        <v>1201</v>
      </c>
    </row>
    <row r="625" spans="1:4">
      <c r="A625">
        <v>703</v>
      </c>
      <c r="B625" s="1" t="s">
        <v>589</v>
      </c>
      <c r="C625" s="1" t="s">
        <v>1611</v>
      </c>
      <c r="D625" s="1" t="s">
        <v>1201</v>
      </c>
    </row>
    <row r="626" spans="1:4">
      <c r="A626">
        <v>704</v>
      </c>
      <c r="B626" s="1" t="s">
        <v>590</v>
      </c>
      <c r="C626" s="1" t="s">
        <v>1612</v>
      </c>
      <c r="D626" s="1" t="s">
        <v>1201</v>
      </c>
    </row>
    <row r="627" spans="1:4">
      <c r="A627">
        <v>705</v>
      </c>
      <c r="B627" s="1" t="s">
        <v>591</v>
      </c>
      <c r="C627" s="1" t="s">
        <v>1232</v>
      </c>
      <c r="D627" s="1" t="s">
        <v>1201</v>
      </c>
    </row>
    <row r="628" spans="1:4">
      <c r="A628">
        <v>706</v>
      </c>
      <c r="B628" s="1" t="s">
        <v>592</v>
      </c>
      <c r="C628" s="1" t="s">
        <v>1613</v>
      </c>
      <c r="D628" s="1" t="s">
        <v>1201</v>
      </c>
    </row>
    <row r="629" spans="1:4">
      <c r="A629">
        <v>707</v>
      </c>
      <c r="B629" s="1" t="s">
        <v>593</v>
      </c>
      <c r="C629" s="1" t="s">
        <v>1702</v>
      </c>
      <c r="D629" s="1" t="s">
        <v>1201</v>
      </c>
    </row>
    <row r="630" spans="1:4">
      <c r="A630">
        <v>708</v>
      </c>
      <c r="B630" s="1" t="s">
        <v>594</v>
      </c>
      <c r="C630" s="1" t="s">
        <v>1614</v>
      </c>
      <c r="D630" s="1" t="s">
        <v>1201</v>
      </c>
    </row>
    <row r="631" spans="1:4">
      <c r="A631">
        <v>709</v>
      </c>
      <c r="B631" s="1" t="s">
        <v>595</v>
      </c>
      <c r="C631" s="1" t="s">
        <v>1859</v>
      </c>
      <c r="D631" s="1" t="s">
        <v>1201</v>
      </c>
    </row>
    <row r="632" spans="1:4">
      <c r="A632">
        <v>710</v>
      </c>
      <c r="B632" s="1" t="s">
        <v>596</v>
      </c>
      <c r="C632" s="1" t="s">
        <v>1851</v>
      </c>
      <c r="D632" s="1" t="s">
        <v>1201</v>
      </c>
    </row>
    <row r="633" spans="1:4">
      <c r="A633">
        <v>711</v>
      </c>
      <c r="B633" s="1" t="s">
        <v>27</v>
      </c>
      <c r="C633" s="1" t="s">
        <v>2021</v>
      </c>
      <c r="D633" s="1" t="s">
        <v>1201</v>
      </c>
    </row>
    <row r="634" spans="1:4">
      <c r="A634">
        <v>712</v>
      </c>
      <c r="B634" s="1" t="s">
        <v>597</v>
      </c>
      <c r="C634" s="1" t="s">
        <v>1852</v>
      </c>
      <c r="D634" s="1" t="s">
        <v>1201</v>
      </c>
    </row>
    <row r="635" spans="1:4">
      <c r="A635">
        <v>713</v>
      </c>
      <c r="B635" s="1" t="s">
        <v>598</v>
      </c>
      <c r="C635" s="1" t="s">
        <v>2022</v>
      </c>
      <c r="D635" s="1" t="s">
        <v>1201</v>
      </c>
    </row>
    <row r="636" spans="1:4">
      <c r="A636">
        <v>714</v>
      </c>
      <c r="B636" s="1" t="s">
        <v>599</v>
      </c>
      <c r="C636" s="1"/>
      <c r="D636" s="1" t="s">
        <v>1201</v>
      </c>
    </row>
    <row r="637" spans="1:4">
      <c r="A637">
        <v>900</v>
      </c>
      <c r="B637" s="1" t="s">
        <v>600</v>
      </c>
      <c r="C637" s="1" t="s">
        <v>2023</v>
      </c>
      <c r="D637" s="1" t="s">
        <v>1202</v>
      </c>
    </row>
    <row r="638" spans="1:4">
      <c r="A638">
        <v>901</v>
      </c>
      <c r="B638" s="1" t="s">
        <v>601</v>
      </c>
      <c r="C638" s="1" t="s">
        <v>1751</v>
      </c>
      <c r="D638" s="1" t="s">
        <v>1202</v>
      </c>
    </row>
    <row r="639" spans="1:4">
      <c r="A639">
        <v>902</v>
      </c>
      <c r="B639" s="1" t="s">
        <v>602</v>
      </c>
      <c r="C639" s="1" t="s">
        <v>2094</v>
      </c>
      <c r="D639" s="1" t="s">
        <v>1202</v>
      </c>
    </row>
    <row r="640" spans="1:4">
      <c r="A640">
        <v>903</v>
      </c>
      <c r="B640" s="1" t="s">
        <v>603</v>
      </c>
      <c r="C640" s="1" t="s">
        <v>2024</v>
      </c>
      <c r="D640" s="1" t="s">
        <v>1202</v>
      </c>
    </row>
    <row r="641" spans="1:4">
      <c r="A641">
        <v>904</v>
      </c>
      <c r="B641" s="1" t="s">
        <v>604</v>
      </c>
      <c r="C641" s="1" t="s">
        <v>2034</v>
      </c>
      <c r="D641" s="1" t="s">
        <v>1202</v>
      </c>
    </row>
    <row r="642" spans="1:4">
      <c r="A642">
        <v>905</v>
      </c>
      <c r="B642" s="1" t="s">
        <v>605</v>
      </c>
      <c r="C642" s="1" t="s">
        <v>2018</v>
      </c>
      <c r="D642" s="1" t="s">
        <v>1202</v>
      </c>
    </row>
    <row r="643" spans="1:4">
      <c r="A643">
        <v>906</v>
      </c>
      <c r="B643" s="1" t="s">
        <v>606</v>
      </c>
      <c r="C643" s="1" t="s">
        <v>2464</v>
      </c>
      <c r="D643" s="1" t="s">
        <v>1202</v>
      </c>
    </row>
    <row r="644" spans="1:4">
      <c r="A644">
        <v>907</v>
      </c>
      <c r="B644" s="1" t="s">
        <v>607</v>
      </c>
      <c r="C644" s="1" t="s">
        <v>2019</v>
      </c>
      <c r="D644" s="1" t="s">
        <v>1202</v>
      </c>
    </row>
    <row r="645" spans="1:4">
      <c r="A645">
        <v>908</v>
      </c>
      <c r="B645" s="1" t="s">
        <v>608</v>
      </c>
      <c r="C645" s="1" t="s">
        <v>2020</v>
      </c>
      <c r="D645" s="1" t="s">
        <v>1202</v>
      </c>
    </row>
    <row r="646" spans="1:4">
      <c r="A646">
        <v>909</v>
      </c>
      <c r="B646" s="1" t="s">
        <v>36</v>
      </c>
      <c r="C646" s="1" t="s">
        <v>1422</v>
      </c>
      <c r="D646" s="1" t="s">
        <v>1202</v>
      </c>
    </row>
    <row r="647" spans="1:4">
      <c r="A647">
        <v>910</v>
      </c>
      <c r="B647" s="1" t="s">
        <v>609</v>
      </c>
      <c r="C647" s="1" t="s">
        <v>1423</v>
      </c>
      <c r="D647" s="1" t="s">
        <v>1202</v>
      </c>
    </row>
    <row r="648" spans="1:4">
      <c r="A648">
        <v>911</v>
      </c>
      <c r="B648" s="1" t="s">
        <v>610</v>
      </c>
      <c r="C648" s="1" t="s">
        <v>1615</v>
      </c>
      <c r="D648" s="1" t="s">
        <v>1202</v>
      </c>
    </row>
    <row r="649" spans="1:4">
      <c r="A649">
        <v>912</v>
      </c>
      <c r="B649" s="1" t="s">
        <v>611</v>
      </c>
      <c r="C649" s="1" t="s">
        <v>1616</v>
      </c>
      <c r="D649" s="1" t="s">
        <v>1202</v>
      </c>
    </row>
    <row r="650" spans="1:4">
      <c r="A650">
        <v>913</v>
      </c>
      <c r="B650" s="1" t="s">
        <v>612</v>
      </c>
      <c r="C650" s="1" t="s">
        <v>1617</v>
      </c>
      <c r="D650" s="1" t="s">
        <v>1202</v>
      </c>
    </row>
    <row r="651" spans="1:4">
      <c r="A651">
        <v>914</v>
      </c>
      <c r="B651" s="1" t="s">
        <v>613</v>
      </c>
      <c r="C651" s="1" t="s">
        <v>1959</v>
      </c>
      <c r="D651" s="1" t="s">
        <v>1202</v>
      </c>
    </row>
    <row r="652" spans="1:4">
      <c r="A652">
        <v>915</v>
      </c>
      <c r="B652" s="1" t="s">
        <v>614</v>
      </c>
      <c r="C652" s="1" t="s">
        <v>1920</v>
      </c>
      <c r="D652" s="1" t="s">
        <v>1202</v>
      </c>
    </row>
    <row r="653" spans="1:4">
      <c r="A653">
        <v>916</v>
      </c>
      <c r="B653" s="1" t="s">
        <v>615</v>
      </c>
      <c r="C653" s="1" t="s">
        <v>1278</v>
      </c>
      <c r="D653" s="1" t="s">
        <v>1202</v>
      </c>
    </row>
    <row r="654" spans="1:4">
      <c r="A654">
        <v>917</v>
      </c>
      <c r="B654" s="1" t="s">
        <v>616</v>
      </c>
      <c r="C654" s="1" t="s">
        <v>1960</v>
      </c>
      <c r="D654" s="1" t="s">
        <v>1202</v>
      </c>
    </row>
    <row r="655" spans="1:4">
      <c r="A655">
        <v>918</v>
      </c>
      <c r="B655" s="1" t="s">
        <v>617</v>
      </c>
      <c r="C655" s="1" t="s">
        <v>1961</v>
      </c>
      <c r="D655" s="1" t="s">
        <v>1202</v>
      </c>
    </row>
    <row r="656" spans="1:4">
      <c r="A656">
        <v>919</v>
      </c>
      <c r="B656" s="1" t="s">
        <v>618</v>
      </c>
      <c r="C656" s="1" t="s">
        <v>1962</v>
      </c>
      <c r="D656" s="1" t="s">
        <v>1202</v>
      </c>
    </row>
    <row r="657" spans="1:4">
      <c r="A657">
        <v>920</v>
      </c>
      <c r="B657" s="1" t="s">
        <v>619</v>
      </c>
      <c r="C657" s="1" t="s">
        <v>1963</v>
      </c>
      <c r="D657" s="1" t="s">
        <v>1202</v>
      </c>
    </row>
    <row r="658" spans="1:4">
      <c r="A658">
        <v>921</v>
      </c>
      <c r="B658" s="1" t="s">
        <v>620</v>
      </c>
      <c r="C658" s="1" t="s">
        <v>1921</v>
      </c>
      <c r="D658" s="1" t="s">
        <v>1202</v>
      </c>
    </row>
    <row r="659" spans="1:4">
      <c r="A659">
        <v>922</v>
      </c>
      <c r="B659" s="1" t="s">
        <v>621</v>
      </c>
      <c r="C659" s="1" t="s">
        <v>1964</v>
      </c>
      <c r="D659" s="1" t="s">
        <v>1202</v>
      </c>
    </row>
    <row r="660" spans="1:4">
      <c r="A660">
        <v>923</v>
      </c>
      <c r="B660" s="1" t="s">
        <v>622</v>
      </c>
      <c r="C660" s="1" t="s">
        <v>1922</v>
      </c>
      <c r="D660" s="1" t="s">
        <v>1202</v>
      </c>
    </row>
    <row r="661" spans="1:4">
      <c r="A661">
        <v>924</v>
      </c>
      <c r="B661" s="1" t="s">
        <v>623</v>
      </c>
      <c r="C661" s="1" t="s">
        <v>1965</v>
      </c>
      <c r="D661" s="1" t="s">
        <v>1202</v>
      </c>
    </row>
    <row r="662" spans="1:4">
      <c r="A662">
        <v>925</v>
      </c>
      <c r="B662" s="1" t="s">
        <v>624</v>
      </c>
      <c r="C662" s="1" t="s">
        <v>1966</v>
      </c>
      <c r="D662" s="1" t="s">
        <v>1202</v>
      </c>
    </row>
    <row r="663" spans="1:4">
      <c r="A663">
        <v>926</v>
      </c>
      <c r="B663" s="1" t="s">
        <v>625</v>
      </c>
      <c r="C663" s="1" t="s">
        <v>1967</v>
      </c>
      <c r="D663" s="1" t="s">
        <v>1202</v>
      </c>
    </row>
    <row r="664" spans="1:4">
      <c r="A664">
        <v>927</v>
      </c>
      <c r="B664" s="1" t="s">
        <v>626</v>
      </c>
      <c r="C664" s="1" t="s">
        <v>1968</v>
      </c>
      <c r="D664" s="1" t="s">
        <v>1202</v>
      </c>
    </row>
    <row r="665" spans="1:4">
      <c r="A665">
        <v>928</v>
      </c>
      <c r="B665" s="1" t="s">
        <v>627</v>
      </c>
      <c r="C665" s="1" t="s">
        <v>1969</v>
      </c>
      <c r="D665" s="1" t="s">
        <v>1202</v>
      </c>
    </row>
    <row r="666" spans="1:4">
      <c r="A666">
        <v>929</v>
      </c>
      <c r="B666" s="1" t="s">
        <v>628</v>
      </c>
      <c r="C666" s="1" t="s">
        <v>1970</v>
      </c>
      <c r="D666" s="1" t="s">
        <v>1202</v>
      </c>
    </row>
    <row r="667" spans="1:4">
      <c r="A667">
        <v>930</v>
      </c>
      <c r="B667" s="1" t="s">
        <v>629</v>
      </c>
      <c r="C667" s="1" t="s">
        <v>2575</v>
      </c>
      <c r="D667" s="1" t="s">
        <v>1202</v>
      </c>
    </row>
    <row r="668" spans="1:4">
      <c r="A668">
        <v>931</v>
      </c>
      <c r="B668" s="1" t="s">
        <v>630</v>
      </c>
      <c r="C668" s="1" t="s">
        <v>1971</v>
      </c>
      <c r="D668" s="1" t="s">
        <v>1202</v>
      </c>
    </row>
    <row r="669" spans="1:4">
      <c r="A669">
        <v>932</v>
      </c>
      <c r="B669" s="1" t="s">
        <v>631</v>
      </c>
      <c r="C669" s="1" t="s">
        <v>1923</v>
      </c>
      <c r="D669" s="1" t="s">
        <v>1202</v>
      </c>
    </row>
    <row r="670" spans="1:4">
      <c r="A670">
        <v>933</v>
      </c>
      <c r="B670" s="1" t="s">
        <v>632</v>
      </c>
      <c r="C670" s="1" t="s">
        <v>1924</v>
      </c>
      <c r="D670" s="1" t="s">
        <v>1202</v>
      </c>
    </row>
    <row r="671" spans="1:4">
      <c r="A671">
        <v>934</v>
      </c>
      <c r="B671" s="1" t="s">
        <v>633</v>
      </c>
      <c r="C671" s="1" t="s">
        <v>1972</v>
      </c>
      <c r="D671" s="1" t="s">
        <v>1202</v>
      </c>
    </row>
    <row r="672" spans="1:4">
      <c r="A672">
        <v>935</v>
      </c>
      <c r="B672" s="1" t="s">
        <v>634</v>
      </c>
      <c r="C672" s="1" t="s">
        <v>1925</v>
      </c>
      <c r="D672" s="1" t="s">
        <v>1202</v>
      </c>
    </row>
    <row r="673" spans="1:4">
      <c r="A673">
        <v>936</v>
      </c>
      <c r="B673" s="1" t="s">
        <v>635</v>
      </c>
      <c r="C673" s="1" t="s">
        <v>1926</v>
      </c>
      <c r="D673" s="1" t="s">
        <v>1202</v>
      </c>
    </row>
    <row r="674" spans="1:4">
      <c r="A674">
        <v>937</v>
      </c>
      <c r="B674" s="1" t="s">
        <v>636</v>
      </c>
      <c r="C674" s="1" t="s">
        <v>1973</v>
      </c>
      <c r="D674" s="1" t="s">
        <v>1202</v>
      </c>
    </row>
    <row r="675" spans="1:4">
      <c r="A675">
        <v>938</v>
      </c>
      <c r="B675" s="1" t="s">
        <v>637</v>
      </c>
      <c r="C675" s="1" t="s">
        <v>1955</v>
      </c>
      <c r="D675" s="1" t="s">
        <v>1202</v>
      </c>
    </row>
    <row r="676" spans="1:4">
      <c r="A676">
        <v>939</v>
      </c>
      <c r="B676" s="1" t="s">
        <v>638</v>
      </c>
      <c r="C676" s="1" t="s">
        <v>1974</v>
      </c>
      <c r="D676" s="1" t="s">
        <v>1202</v>
      </c>
    </row>
    <row r="677" spans="1:4">
      <c r="A677">
        <v>940</v>
      </c>
      <c r="B677" s="1" t="s">
        <v>639</v>
      </c>
      <c r="C677" s="1" t="s">
        <v>1975</v>
      </c>
      <c r="D677" s="1" t="s">
        <v>1202</v>
      </c>
    </row>
    <row r="678" spans="1:4">
      <c r="A678">
        <v>941</v>
      </c>
      <c r="B678" s="1" t="s">
        <v>640</v>
      </c>
      <c r="C678" s="1" t="s">
        <v>1927</v>
      </c>
      <c r="D678" s="1" t="s">
        <v>1202</v>
      </c>
    </row>
    <row r="679" spans="1:4">
      <c r="A679">
        <v>942</v>
      </c>
      <c r="B679" s="1" t="s">
        <v>641</v>
      </c>
      <c r="C679" s="1" t="s">
        <v>1928</v>
      </c>
      <c r="D679" s="1" t="s">
        <v>1202</v>
      </c>
    </row>
    <row r="680" spans="1:4">
      <c r="A680">
        <v>943</v>
      </c>
      <c r="B680" s="1" t="s">
        <v>642</v>
      </c>
      <c r="C680" s="1" t="s">
        <v>1806</v>
      </c>
      <c r="D680" s="1" t="s">
        <v>1202</v>
      </c>
    </row>
    <row r="681" spans="1:4">
      <c r="A681">
        <v>944</v>
      </c>
      <c r="B681" s="1" t="s">
        <v>643</v>
      </c>
      <c r="C681" s="1" t="s">
        <v>1929</v>
      </c>
      <c r="D681" s="1" t="s">
        <v>1202</v>
      </c>
    </row>
    <row r="682" spans="1:4">
      <c r="A682">
        <v>945</v>
      </c>
      <c r="B682" s="1" t="s">
        <v>644</v>
      </c>
      <c r="C682" s="1" t="s">
        <v>1930</v>
      </c>
      <c r="D682" s="1" t="s">
        <v>1202</v>
      </c>
    </row>
    <row r="683" spans="1:4">
      <c r="A683">
        <v>946</v>
      </c>
      <c r="B683" s="1" t="s">
        <v>134</v>
      </c>
      <c r="C683" s="1" t="s">
        <v>1484</v>
      </c>
      <c r="D683" s="1" t="s">
        <v>1202</v>
      </c>
    </row>
    <row r="684" spans="1:4">
      <c r="A684">
        <v>947</v>
      </c>
      <c r="B684" s="1" t="s">
        <v>645</v>
      </c>
      <c r="C684" s="1" t="s">
        <v>1931</v>
      </c>
      <c r="D684" s="1" t="s">
        <v>1202</v>
      </c>
    </row>
    <row r="685" spans="1:4">
      <c r="A685">
        <v>948</v>
      </c>
      <c r="B685" s="1" t="s">
        <v>646</v>
      </c>
      <c r="C685" s="1" t="s">
        <v>1932</v>
      </c>
      <c r="D685" s="1" t="s">
        <v>1202</v>
      </c>
    </row>
    <row r="686" spans="1:4">
      <c r="A686">
        <v>949</v>
      </c>
      <c r="B686" s="1" t="s">
        <v>647</v>
      </c>
      <c r="C686" s="1" t="s">
        <v>1756</v>
      </c>
      <c r="D686" s="1" t="s">
        <v>1202</v>
      </c>
    </row>
    <row r="687" spans="1:4">
      <c r="A687">
        <v>950</v>
      </c>
      <c r="B687" s="1" t="s">
        <v>648</v>
      </c>
      <c r="C687" s="1" t="s">
        <v>1757</v>
      </c>
      <c r="D687" s="1" t="s">
        <v>1202</v>
      </c>
    </row>
    <row r="688" spans="1:4">
      <c r="A688">
        <v>951</v>
      </c>
      <c r="B688" s="1" t="s">
        <v>649</v>
      </c>
      <c r="C688" s="1" t="s">
        <v>1618</v>
      </c>
      <c r="D688" s="1" t="s">
        <v>1202</v>
      </c>
    </row>
    <row r="689" spans="1:4">
      <c r="A689">
        <v>952</v>
      </c>
      <c r="B689" s="1" t="s">
        <v>650</v>
      </c>
      <c r="C689" s="1" t="s">
        <v>1761</v>
      </c>
      <c r="D689" s="1" t="s">
        <v>1202</v>
      </c>
    </row>
    <row r="690" spans="1:4">
      <c r="A690">
        <v>953</v>
      </c>
      <c r="B690" s="1" t="s">
        <v>651</v>
      </c>
      <c r="C690" s="1" t="s">
        <v>1762</v>
      </c>
      <c r="D690" s="1" t="s">
        <v>1202</v>
      </c>
    </row>
    <row r="691" spans="1:4">
      <c r="A691">
        <v>954</v>
      </c>
      <c r="B691" s="1" t="s">
        <v>652</v>
      </c>
      <c r="C691" s="1" t="s">
        <v>1619</v>
      </c>
      <c r="D691" s="1" t="s">
        <v>1202</v>
      </c>
    </row>
    <row r="692" spans="1:4">
      <c r="A692">
        <v>955</v>
      </c>
      <c r="B692" s="1" t="s">
        <v>653</v>
      </c>
      <c r="C692" s="1" t="s">
        <v>1486</v>
      </c>
      <c r="D692" s="1" t="s">
        <v>1202</v>
      </c>
    </row>
    <row r="693" spans="1:4">
      <c r="A693">
        <v>956</v>
      </c>
      <c r="B693" s="1" t="s">
        <v>654</v>
      </c>
      <c r="C693" s="1" t="s">
        <v>1933</v>
      </c>
      <c r="D693" s="1" t="s">
        <v>1202</v>
      </c>
    </row>
    <row r="694" spans="1:4">
      <c r="A694">
        <v>957</v>
      </c>
      <c r="B694" s="1" t="s">
        <v>655</v>
      </c>
      <c r="C694" s="1" t="s">
        <v>2025</v>
      </c>
      <c r="D694" s="1" t="s">
        <v>1202</v>
      </c>
    </row>
    <row r="695" spans="1:4">
      <c r="A695">
        <v>958</v>
      </c>
      <c r="B695" s="1" t="s">
        <v>656</v>
      </c>
      <c r="C695" s="1" t="s">
        <v>1934</v>
      </c>
      <c r="D695" s="1" t="s">
        <v>1202</v>
      </c>
    </row>
    <row r="696" spans="1:4">
      <c r="A696">
        <v>959</v>
      </c>
      <c r="B696" s="1" t="s">
        <v>657</v>
      </c>
      <c r="C696" s="1" t="s">
        <v>1935</v>
      </c>
      <c r="D696" s="1" t="s">
        <v>1202</v>
      </c>
    </row>
    <row r="697" spans="1:4">
      <c r="A697">
        <v>960</v>
      </c>
      <c r="B697" s="1" t="s">
        <v>658</v>
      </c>
      <c r="C697" s="1" t="s">
        <v>2026</v>
      </c>
      <c r="D697" s="1" t="s">
        <v>1202</v>
      </c>
    </row>
    <row r="698" spans="1:4">
      <c r="A698">
        <v>961</v>
      </c>
      <c r="B698" s="1" t="s">
        <v>659</v>
      </c>
      <c r="C698" s="1" t="s">
        <v>1934</v>
      </c>
      <c r="D698" s="1" t="s">
        <v>1202</v>
      </c>
    </row>
    <row r="699" spans="1:4">
      <c r="A699">
        <v>962</v>
      </c>
      <c r="B699" s="1" t="s">
        <v>657</v>
      </c>
      <c r="C699" s="1" t="s">
        <v>1935</v>
      </c>
      <c r="D699" s="1" t="s">
        <v>1202</v>
      </c>
    </row>
    <row r="700" spans="1:4">
      <c r="A700">
        <v>963</v>
      </c>
      <c r="B700" s="1" t="s">
        <v>655</v>
      </c>
      <c r="C700" s="1" t="s">
        <v>2027</v>
      </c>
      <c r="D700" s="1" t="s">
        <v>1202</v>
      </c>
    </row>
    <row r="701" spans="1:4">
      <c r="A701">
        <v>964</v>
      </c>
      <c r="B701" s="1" t="s">
        <v>660</v>
      </c>
      <c r="C701" s="1" t="s">
        <v>2028</v>
      </c>
      <c r="D701" s="1" t="s">
        <v>1202</v>
      </c>
    </row>
    <row r="702" spans="1:4">
      <c r="A702">
        <v>965</v>
      </c>
      <c r="B702" s="1" t="s">
        <v>658</v>
      </c>
      <c r="C702" s="1" t="s">
        <v>2026</v>
      </c>
      <c r="D702" s="1" t="s">
        <v>1202</v>
      </c>
    </row>
    <row r="703" spans="1:4">
      <c r="A703">
        <v>966</v>
      </c>
      <c r="B703" s="1" t="s">
        <v>660</v>
      </c>
      <c r="C703" s="1" t="s">
        <v>2028</v>
      </c>
      <c r="D703" s="1" t="s">
        <v>1202</v>
      </c>
    </row>
    <row r="704" spans="1:4">
      <c r="A704">
        <v>967</v>
      </c>
      <c r="B704" s="1" t="s">
        <v>661</v>
      </c>
      <c r="C704" s="1" t="s">
        <v>2632</v>
      </c>
      <c r="D704" s="1" t="s">
        <v>1202</v>
      </c>
    </row>
    <row r="705" spans="1:4">
      <c r="A705">
        <v>968</v>
      </c>
      <c r="B705" s="1" t="s">
        <v>660</v>
      </c>
      <c r="C705" s="1" t="s">
        <v>2028</v>
      </c>
      <c r="D705" s="1" t="s">
        <v>1202</v>
      </c>
    </row>
    <row r="706" spans="1:4">
      <c r="A706">
        <v>969</v>
      </c>
      <c r="B706" s="1" t="s">
        <v>662</v>
      </c>
      <c r="C706" s="1"/>
      <c r="D706" s="1" t="s">
        <v>1202</v>
      </c>
    </row>
    <row r="707" spans="1:4">
      <c r="A707">
        <v>1000</v>
      </c>
      <c r="B707" s="1" t="s">
        <v>663</v>
      </c>
      <c r="C707" s="1" t="s">
        <v>1702</v>
      </c>
      <c r="D707" s="1" t="s">
        <v>1203</v>
      </c>
    </row>
    <row r="708" spans="1:4">
      <c r="A708">
        <v>1001</v>
      </c>
      <c r="B708" s="1" t="s">
        <v>664</v>
      </c>
      <c r="C708" s="1" t="s">
        <v>1268</v>
      </c>
      <c r="D708" s="1" t="s">
        <v>1203</v>
      </c>
    </row>
    <row r="709" spans="1:4">
      <c r="A709">
        <v>1002</v>
      </c>
      <c r="B709" s="1" t="s">
        <v>665</v>
      </c>
      <c r="C709" s="1" t="s">
        <v>1269</v>
      </c>
      <c r="D709" s="1" t="s">
        <v>1203</v>
      </c>
    </row>
    <row r="710" spans="1:4">
      <c r="A710">
        <v>1003</v>
      </c>
      <c r="B710" s="1" t="s">
        <v>666</v>
      </c>
      <c r="C710" s="1" t="s">
        <v>1620</v>
      </c>
      <c r="D710" s="1" t="s">
        <v>1203</v>
      </c>
    </row>
    <row r="711" spans="1:4">
      <c r="A711">
        <v>1004</v>
      </c>
      <c r="B711" s="1" t="s">
        <v>667</v>
      </c>
      <c r="C711" s="1" t="s">
        <v>1621</v>
      </c>
      <c r="D711" s="1" t="s">
        <v>1203</v>
      </c>
    </row>
    <row r="712" spans="1:4">
      <c r="A712">
        <v>1005</v>
      </c>
      <c r="B712" s="1" t="s">
        <v>668</v>
      </c>
      <c r="C712" s="1" t="s">
        <v>1936</v>
      </c>
      <c r="D712" s="1" t="s">
        <v>1203</v>
      </c>
    </row>
    <row r="713" spans="1:4">
      <c r="A713">
        <v>1006</v>
      </c>
      <c r="B713" s="1" t="s">
        <v>110</v>
      </c>
      <c r="C713" s="1" t="s">
        <v>1622</v>
      </c>
      <c r="D713" s="1" t="s">
        <v>1203</v>
      </c>
    </row>
    <row r="714" spans="1:4">
      <c r="A714">
        <v>1007</v>
      </c>
      <c r="B714" s="1" t="s">
        <v>669</v>
      </c>
      <c r="C714" s="1" t="s">
        <v>1623</v>
      </c>
      <c r="D714" s="1" t="s">
        <v>1203</v>
      </c>
    </row>
    <row r="715" spans="1:4">
      <c r="A715">
        <v>1050</v>
      </c>
      <c r="B715" s="1" t="s">
        <v>670</v>
      </c>
      <c r="C715" s="1" t="s">
        <v>1225</v>
      </c>
      <c r="D715" s="1" t="s">
        <v>1204</v>
      </c>
    </row>
    <row r="716" spans="1:4">
      <c r="A716">
        <v>1051</v>
      </c>
      <c r="B716" s="1" t="s">
        <v>671</v>
      </c>
      <c r="C716" s="1" t="s">
        <v>1226</v>
      </c>
      <c r="D716" s="1" t="s">
        <v>1204</v>
      </c>
    </row>
    <row r="717" spans="1:4">
      <c r="A717">
        <v>1052</v>
      </c>
      <c r="B717" s="1" t="s">
        <v>672</v>
      </c>
      <c r="C717" s="1" t="s">
        <v>1227</v>
      </c>
      <c r="D717" s="1" t="s">
        <v>1204</v>
      </c>
    </row>
    <row r="718" spans="1:4">
      <c r="A718">
        <v>1053</v>
      </c>
      <c r="B718" s="1" t="s">
        <v>673</v>
      </c>
      <c r="C718" s="1" t="s">
        <v>1228</v>
      </c>
      <c r="D718" s="1" t="s">
        <v>1204</v>
      </c>
    </row>
    <row r="719" spans="1:4">
      <c r="A719">
        <v>1054</v>
      </c>
      <c r="B719" s="1" t="s">
        <v>674</v>
      </c>
      <c r="C719" s="1" t="s">
        <v>1229</v>
      </c>
      <c r="D719" s="1" t="s">
        <v>1204</v>
      </c>
    </row>
    <row r="720" spans="1:4">
      <c r="A720">
        <v>1055</v>
      </c>
      <c r="B720" s="1" t="s">
        <v>675</v>
      </c>
      <c r="C720" s="1" t="s">
        <v>1230</v>
      </c>
      <c r="D720" s="1" t="s">
        <v>1204</v>
      </c>
    </row>
    <row r="721" spans="1:4">
      <c r="A721">
        <v>1056</v>
      </c>
      <c r="B721" s="1" t="s">
        <v>676</v>
      </c>
      <c r="C721" s="1" t="s">
        <v>1270</v>
      </c>
      <c r="D721" s="1" t="s">
        <v>1204</v>
      </c>
    </row>
    <row r="722" spans="1:4">
      <c r="A722">
        <v>1057</v>
      </c>
      <c r="B722" s="1" t="s">
        <v>587</v>
      </c>
      <c r="C722" s="1" t="s">
        <v>1231</v>
      </c>
      <c r="D722" s="1" t="s">
        <v>1204</v>
      </c>
    </row>
    <row r="723" spans="1:4">
      <c r="A723">
        <v>1058</v>
      </c>
      <c r="B723" s="1" t="s">
        <v>677</v>
      </c>
      <c r="C723" s="1" t="s">
        <v>1232</v>
      </c>
      <c r="D723" s="1" t="s">
        <v>1204</v>
      </c>
    </row>
    <row r="724" spans="1:4">
      <c r="A724">
        <v>1059</v>
      </c>
      <c r="B724" s="1" t="s">
        <v>678</v>
      </c>
      <c r="C724" s="1" t="s">
        <v>1233</v>
      </c>
      <c r="D724" s="1" t="s">
        <v>1204</v>
      </c>
    </row>
    <row r="725" spans="1:4">
      <c r="A725">
        <v>1060</v>
      </c>
      <c r="B725" s="1" t="s">
        <v>679</v>
      </c>
      <c r="C725" s="1" t="s">
        <v>1234</v>
      </c>
      <c r="D725" s="1" t="s">
        <v>1204</v>
      </c>
    </row>
    <row r="726" spans="1:4">
      <c r="A726">
        <v>1061</v>
      </c>
      <c r="B726" s="1" t="s">
        <v>599</v>
      </c>
      <c r="C726" s="1" t="s">
        <v>1763</v>
      </c>
      <c r="D726" s="1" t="s">
        <v>1204</v>
      </c>
    </row>
    <row r="727" spans="1:4">
      <c r="A727">
        <v>1100</v>
      </c>
      <c r="B727" s="1" t="s">
        <v>680</v>
      </c>
      <c r="C727" s="1" t="s">
        <v>1235</v>
      </c>
      <c r="D727" s="1" t="s">
        <v>680</v>
      </c>
    </row>
    <row r="728" spans="1:4">
      <c r="A728">
        <v>1101</v>
      </c>
      <c r="B728" s="1" t="s">
        <v>681</v>
      </c>
      <c r="C728" s="1" t="s">
        <v>1236</v>
      </c>
      <c r="D728" s="1" t="s">
        <v>680</v>
      </c>
    </row>
    <row r="729" spans="1:4">
      <c r="A729">
        <v>1102</v>
      </c>
      <c r="B729" s="1" t="s">
        <v>682</v>
      </c>
      <c r="C729" s="1" t="s">
        <v>1237</v>
      </c>
      <c r="D729" s="1" t="s">
        <v>680</v>
      </c>
    </row>
    <row r="730" spans="1:4">
      <c r="A730">
        <v>1103</v>
      </c>
      <c r="B730" s="1" t="s">
        <v>683</v>
      </c>
      <c r="C730" s="1" t="s">
        <v>1238</v>
      </c>
      <c r="D730" s="1" t="s">
        <v>680</v>
      </c>
    </row>
    <row r="731" spans="1:4">
      <c r="A731">
        <v>1200</v>
      </c>
      <c r="B731" s="1" t="s">
        <v>684</v>
      </c>
      <c r="C731" s="1" t="s">
        <v>1764</v>
      </c>
      <c r="D731" s="1" t="s">
        <v>684</v>
      </c>
    </row>
    <row r="732" spans="1:4">
      <c r="A732">
        <v>1201</v>
      </c>
      <c r="B732" s="1" t="s">
        <v>685</v>
      </c>
      <c r="C732" s="1" t="s">
        <v>1624</v>
      </c>
      <c r="D732" s="1" t="s">
        <v>684</v>
      </c>
    </row>
    <row r="733" spans="1:4">
      <c r="A733">
        <v>1202</v>
      </c>
      <c r="B733" s="1" t="s">
        <v>686</v>
      </c>
      <c r="C733" s="1" t="s">
        <v>1765</v>
      </c>
      <c r="D733" s="1" t="s">
        <v>684</v>
      </c>
    </row>
    <row r="734" spans="1:4">
      <c r="A734">
        <v>1203</v>
      </c>
      <c r="B734" s="1" t="s">
        <v>687</v>
      </c>
      <c r="C734" s="1"/>
      <c r="D734" s="1" t="s">
        <v>684</v>
      </c>
    </row>
    <row r="735" spans="1:4">
      <c r="A735">
        <v>1300</v>
      </c>
      <c r="B735" s="1" t="s">
        <v>688</v>
      </c>
      <c r="C735" s="1" t="s">
        <v>1766</v>
      </c>
      <c r="D735" s="1" t="s">
        <v>1205</v>
      </c>
    </row>
    <row r="736" spans="1:4">
      <c r="A736">
        <v>1301</v>
      </c>
      <c r="B736" s="1" t="s">
        <v>689</v>
      </c>
      <c r="C736" s="1" t="s">
        <v>1767</v>
      </c>
      <c r="D736" s="1" t="s">
        <v>1205</v>
      </c>
    </row>
    <row r="737" spans="1:4">
      <c r="A737">
        <v>1302</v>
      </c>
      <c r="B737" s="1" t="s">
        <v>690</v>
      </c>
      <c r="C737" s="1" t="s">
        <v>1768</v>
      </c>
      <c r="D737" s="1" t="s">
        <v>1205</v>
      </c>
    </row>
    <row r="738" spans="1:4">
      <c r="A738">
        <v>1303</v>
      </c>
      <c r="B738" s="1" t="s">
        <v>691</v>
      </c>
      <c r="C738" s="1" t="s">
        <v>2576</v>
      </c>
      <c r="D738" s="1" t="s">
        <v>1205</v>
      </c>
    </row>
    <row r="739" spans="1:4">
      <c r="A739">
        <v>1304</v>
      </c>
      <c r="B739" s="1" t="s">
        <v>692</v>
      </c>
      <c r="C739" s="1" t="s">
        <v>1769</v>
      </c>
      <c r="D739" s="1" t="s">
        <v>1205</v>
      </c>
    </row>
    <row r="740" spans="1:4">
      <c r="A740">
        <v>1305</v>
      </c>
      <c r="B740" s="1" t="s">
        <v>693</v>
      </c>
      <c r="C740" s="1" t="s">
        <v>1770</v>
      </c>
      <c r="D740" s="1" t="s">
        <v>1205</v>
      </c>
    </row>
    <row r="741" spans="1:4">
      <c r="A741">
        <v>1306</v>
      </c>
      <c r="B741" s="1" t="s">
        <v>694</v>
      </c>
      <c r="C741" s="1" t="s">
        <v>1771</v>
      </c>
      <c r="D741" s="1" t="s">
        <v>1205</v>
      </c>
    </row>
    <row r="742" spans="1:4">
      <c r="A742">
        <v>1400</v>
      </c>
      <c r="B742" s="1" t="s">
        <v>695</v>
      </c>
      <c r="C742" s="1" t="s">
        <v>1625</v>
      </c>
      <c r="D742" s="1" t="s">
        <v>1206</v>
      </c>
    </row>
    <row r="743" spans="1:4">
      <c r="A743">
        <v>1401</v>
      </c>
      <c r="B743" s="1" t="s">
        <v>696</v>
      </c>
      <c r="C743" s="1" t="s">
        <v>1626</v>
      </c>
      <c r="D743" s="1" t="s">
        <v>1206</v>
      </c>
    </row>
    <row r="744" spans="1:4">
      <c r="A744">
        <v>1402</v>
      </c>
      <c r="B744" s="1" t="s">
        <v>697</v>
      </c>
      <c r="C744" s="1" t="s">
        <v>1627</v>
      </c>
      <c r="D744" s="1" t="s">
        <v>1206</v>
      </c>
    </row>
    <row r="745" spans="1:4">
      <c r="A745">
        <v>1403</v>
      </c>
      <c r="B745" s="1" t="s">
        <v>698</v>
      </c>
      <c r="C745" s="1" t="s">
        <v>1628</v>
      </c>
      <c r="D745" s="1" t="s">
        <v>1206</v>
      </c>
    </row>
    <row r="746" spans="1:4">
      <c r="A746">
        <v>1404</v>
      </c>
      <c r="B746" s="1" t="s">
        <v>699</v>
      </c>
      <c r="C746" s="1" t="s">
        <v>1629</v>
      </c>
      <c r="D746" s="1" t="s">
        <v>1206</v>
      </c>
    </row>
    <row r="747" spans="1:4">
      <c r="A747">
        <v>1405</v>
      </c>
      <c r="B747" s="1" t="s">
        <v>700</v>
      </c>
      <c r="C747" s="1" t="s">
        <v>1630</v>
      </c>
      <c r="D747" s="1" t="s">
        <v>1206</v>
      </c>
    </row>
    <row r="748" spans="1:4">
      <c r="A748">
        <v>1406</v>
      </c>
      <c r="B748" s="1" t="s">
        <v>701</v>
      </c>
      <c r="C748" s="1" t="s">
        <v>1631</v>
      </c>
      <c r="D748" s="1" t="s">
        <v>1206</v>
      </c>
    </row>
    <row r="749" spans="1:4">
      <c r="A749">
        <v>1407</v>
      </c>
      <c r="B749" s="1" t="s">
        <v>702</v>
      </c>
      <c r="C749" s="1" t="s">
        <v>1632</v>
      </c>
      <c r="D749" s="1" t="s">
        <v>1206</v>
      </c>
    </row>
    <row r="750" spans="1:4">
      <c r="A750">
        <v>1408</v>
      </c>
      <c r="B750" s="1" t="s">
        <v>703</v>
      </c>
      <c r="C750" s="1" t="s">
        <v>1633</v>
      </c>
      <c r="D750" s="1" t="s">
        <v>1206</v>
      </c>
    </row>
    <row r="751" spans="1:4">
      <c r="A751">
        <v>1409</v>
      </c>
      <c r="B751" s="1" t="s">
        <v>704</v>
      </c>
      <c r="C751" s="1" t="s">
        <v>1634</v>
      </c>
      <c r="D751" s="1" t="s">
        <v>1206</v>
      </c>
    </row>
    <row r="752" spans="1:4">
      <c r="A752">
        <v>1410</v>
      </c>
      <c r="B752" s="1" t="s">
        <v>705</v>
      </c>
      <c r="C752" s="1" t="s">
        <v>1635</v>
      </c>
      <c r="D752" s="1" t="s">
        <v>1206</v>
      </c>
    </row>
    <row r="753" spans="1:4">
      <c r="A753">
        <v>1411</v>
      </c>
      <c r="B753" s="1" t="s">
        <v>706</v>
      </c>
      <c r="C753" s="1" t="s">
        <v>1636</v>
      </c>
      <c r="D753" s="1" t="s">
        <v>1206</v>
      </c>
    </row>
    <row r="754" spans="1:4">
      <c r="A754">
        <v>1500</v>
      </c>
      <c r="B754" s="1" t="s">
        <v>676</v>
      </c>
      <c r="C754" s="1" t="s">
        <v>676</v>
      </c>
      <c r="D754" s="1" t="s">
        <v>676</v>
      </c>
    </row>
    <row r="755" spans="1:4">
      <c r="A755">
        <v>1501</v>
      </c>
      <c r="B755" s="1" t="s">
        <v>707</v>
      </c>
      <c r="C755" s="1" t="s">
        <v>1271</v>
      </c>
      <c r="D755" s="1" t="s">
        <v>676</v>
      </c>
    </row>
    <row r="756" spans="1:4">
      <c r="A756">
        <v>1502</v>
      </c>
      <c r="B756" s="1" t="s">
        <v>708</v>
      </c>
      <c r="C756" s="1" t="s">
        <v>1637</v>
      </c>
      <c r="D756" s="1" t="s">
        <v>676</v>
      </c>
    </row>
    <row r="757" spans="1:4">
      <c r="A757">
        <v>1503</v>
      </c>
      <c r="B757" s="1" t="s">
        <v>709</v>
      </c>
      <c r="C757" s="1" t="s">
        <v>1272</v>
      </c>
      <c r="D757" s="1" t="s">
        <v>676</v>
      </c>
    </row>
    <row r="758" spans="1:4">
      <c r="A758">
        <v>1504</v>
      </c>
      <c r="B758" s="1" t="s">
        <v>710</v>
      </c>
      <c r="C758" s="1" t="s">
        <v>1273</v>
      </c>
      <c r="D758" s="1" t="s">
        <v>676</v>
      </c>
    </row>
    <row r="759" spans="1:4">
      <c r="A759">
        <v>1505</v>
      </c>
      <c r="B759" s="1" t="s">
        <v>711</v>
      </c>
      <c r="C759" s="1" t="s">
        <v>1274</v>
      </c>
      <c r="D759" s="1" t="s">
        <v>676</v>
      </c>
    </row>
    <row r="760" spans="1:4">
      <c r="A760">
        <v>1506</v>
      </c>
      <c r="B760" s="1" t="s">
        <v>712</v>
      </c>
      <c r="C760" s="1" t="s">
        <v>1275</v>
      </c>
      <c r="D760" s="1" t="s">
        <v>676</v>
      </c>
    </row>
    <row r="761" spans="1:4">
      <c r="A761">
        <v>1507</v>
      </c>
      <c r="B761" s="1" t="s">
        <v>1638</v>
      </c>
      <c r="C761" s="1" t="s">
        <v>1639</v>
      </c>
      <c r="D761" s="1" t="s">
        <v>676</v>
      </c>
    </row>
    <row r="762" spans="1:4">
      <c r="A762">
        <v>1508</v>
      </c>
      <c r="B762" s="1" t="s">
        <v>713</v>
      </c>
      <c r="C762" s="1" t="s">
        <v>1276</v>
      </c>
      <c r="D762" s="1" t="s">
        <v>676</v>
      </c>
    </row>
    <row r="763" spans="1:4">
      <c r="A763">
        <v>1509</v>
      </c>
      <c r="B763" s="1" t="s">
        <v>714</v>
      </c>
      <c r="C763" s="1" t="s">
        <v>1277</v>
      </c>
      <c r="D763" s="1" t="s">
        <v>676</v>
      </c>
    </row>
    <row r="764" spans="1:4">
      <c r="A764">
        <v>1510</v>
      </c>
      <c r="B764" s="1" t="s">
        <v>615</v>
      </c>
      <c r="C764" s="1" t="s">
        <v>1278</v>
      </c>
      <c r="D764" s="1" t="s">
        <v>676</v>
      </c>
    </row>
    <row r="765" spans="1:4">
      <c r="A765">
        <v>1511</v>
      </c>
      <c r="B765" s="1" t="s">
        <v>715</v>
      </c>
      <c r="C765" s="1" t="s">
        <v>1640</v>
      </c>
      <c r="D765" s="1" t="s">
        <v>676</v>
      </c>
    </row>
    <row r="766" spans="1:4">
      <c r="A766">
        <v>1512</v>
      </c>
      <c r="B766" s="1" t="s">
        <v>716</v>
      </c>
      <c r="C766" s="1" t="s">
        <v>716</v>
      </c>
      <c r="D766" s="1" t="s">
        <v>676</v>
      </c>
    </row>
    <row r="767" spans="1:4">
      <c r="A767">
        <v>1513</v>
      </c>
      <c r="B767" s="1" t="s">
        <v>717</v>
      </c>
      <c r="C767" s="1" t="s">
        <v>1641</v>
      </c>
      <c r="D767" s="1" t="s">
        <v>676</v>
      </c>
    </row>
    <row r="768" spans="1:4">
      <c r="A768">
        <v>1514</v>
      </c>
      <c r="B768" s="1" t="s">
        <v>718</v>
      </c>
      <c r="C768" s="1" t="s">
        <v>1642</v>
      </c>
      <c r="D768" s="1" t="s">
        <v>676</v>
      </c>
    </row>
    <row r="769" spans="1:4">
      <c r="A769">
        <v>1515</v>
      </c>
      <c r="B769" s="1" t="s">
        <v>719</v>
      </c>
      <c r="C769" s="1" t="s">
        <v>1643</v>
      </c>
      <c r="D769" s="1" t="s">
        <v>676</v>
      </c>
    </row>
    <row r="770" spans="1:4">
      <c r="A770">
        <v>1516</v>
      </c>
      <c r="B770" s="1" t="s">
        <v>720</v>
      </c>
      <c r="C770" s="1" t="s">
        <v>1644</v>
      </c>
      <c r="D770" s="1" t="s">
        <v>676</v>
      </c>
    </row>
    <row r="771" spans="1:4">
      <c r="A771">
        <v>1600</v>
      </c>
      <c r="B771" s="1" t="s">
        <v>721</v>
      </c>
      <c r="C771" s="1" t="s">
        <v>1650</v>
      </c>
      <c r="D771" s="1" t="s">
        <v>721</v>
      </c>
    </row>
    <row r="772" spans="1:4">
      <c r="A772">
        <v>1601</v>
      </c>
      <c r="B772" s="1" t="s">
        <v>722</v>
      </c>
      <c r="C772" s="1" t="s">
        <v>4733</v>
      </c>
      <c r="D772" s="1" t="s">
        <v>721</v>
      </c>
    </row>
    <row r="773" spans="1:4">
      <c r="A773">
        <v>1602</v>
      </c>
      <c r="B773" s="1" t="s">
        <v>723</v>
      </c>
      <c r="C773" s="1" t="s">
        <v>4734</v>
      </c>
      <c r="D773" s="1" t="s">
        <v>721</v>
      </c>
    </row>
    <row r="774" spans="1:4">
      <c r="A774">
        <v>1603</v>
      </c>
      <c r="B774" s="1" t="s">
        <v>724</v>
      </c>
      <c r="C774" s="1"/>
      <c r="D774" s="1" t="s">
        <v>721</v>
      </c>
    </row>
    <row r="775" spans="1:4">
      <c r="A775">
        <v>1604</v>
      </c>
      <c r="B775" s="1" t="s">
        <v>725</v>
      </c>
      <c r="C775" s="1"/>
      <c r="D775" s="1" t="s">
        <v>721</v>
      </c>
    </row>
    <row r="776" spans="1:4">
      <c r="A776">
        <v>1605</v>
      </c>
      <c r="B776" s="1" t="s">
        <v>726</v>
      </c>
      <c r="C776" s="1"/>
      <c r="D776" s="1" t="s">
        <v>721</v>
      </c>
    </row>
    <row r="777" spans="1:4">
      <c r="A777">
        <v>1606</v>
      </c>
      <c r="B777" s="1" t="s">
        <v>727</v>
      </c>
      <c r="C777" s="1"/>
      <c r="D777" s="1" t="s">
        <v>721</v>
      </c>
    </row>
    <row r="778" spans="1:4">
      <c r="A778">
        <v>1607</v>
      </c>
      <c r="B778" s="1" t="s">
        <v>728</v>
      </c>
      <c r="C778" s="1"/>
      <c r="D778" s="1" t="s">
        <v>721</v>
      </c>
    </row>
    <row r="779" spans="1:4">
      <c r="A779">
        <v>1608</v>
      </c>
      <c r="B779" s="1" t="s">
        <v>729</v>
      </c>
      <c r="C779" s="1"/>
      <c r="D779" s="1" t="s">
        <v>721</v>
      </c>
    </row>
    <row r="780" spans="1:4">
      <c r="A780">
        <v>1609</v>
      </c>
      <c r="B780" s="1" t="s">
        <v>730</v>
      </c>
      <c r="C780" s="1"/>
      <c r="D780" s="1" t="s">
        <v>721</v>
      </c>
    </row>
    <row r="781" spans="1:4">
      <c r="A781">
        <v>1610</v>
      </c>
      <c r="B781" s="1" t="s">
        <v>731</v>
      </c>
      <c r="C781" s="1"/>
      <c r="D781" s="1" t="s">
        <v>721</v>
      </c>
    </row>
    <row r="782" spans="1:4">
      <c r="A782">
        <v>1611</v>
      </c>
      <c r="B782" s="1" t="s">
        <v>732</v>
      </c>
      <c r="C782" s="1"/>
      <c r="D782" s="1" t="s">
        <v>721</v>
      </c>
    </row>
    <row r="783" spans="1:4">
      <c r="A783">
        <v>1612</v>
      </c>
      <c r="B783" s="1" t="s">
        <v>733</v>
      </c>
      <c r="C783" s="1"/>
      <c r="D783" s="1" t="s">
        <v>721</v>
      </c>
    </row>
    <row r="784" spans="1:4">
      <c r="A784">
        <v>1613</v>
      </c>
      <c r="B784" s="1" t="s">
        <v>734</v>
      </c>
      <c r="C784" s="1"/>
      <c r="D784" s="1" t="s">
        <v>721</v>
      </c>
    </row>
    <row r="785" spans="1:4">
      <c r="A785">
        <v>1614</v>
      </c>
      <c r="B785" s="1" t="s">
        <v>735</v>
      </c>
      <c r="C785" s="1"/>
      <c r="D785" s="1" t="s">
        <v>721</v>
      </c>
    </row>
    <row r="786" spans="1:4">
      <c r="A786">
        <v>1615</v>
      </c>
      <c r="B786" s="1" t="s">
        <v>736</v>
      </c>
      <c r="C786" s="1"/>
      <c r="D786" s="1" t="s">
        <v>721</v>
      </c>
    </row>
    <row r="787" spans="1:4">
      <c r="A787">
        <v>1616</v>
      </c>
      <c r="B787" s="1" t="s">
        <v>737</v>
      </c>
      <c r="C787" s="1"/>
      <c r="D787" s="1" t="s">
        <v>721</v>
      </c>
    </row>
    <row r="788" spans="1:4">
      <c r="A788">
        <v>1617</v>
      </c>
      <c r="B788" s="1" t="s">
        <v>738</v>
      </c>
      <c r="C788" s="1"/>
      <c r="D788" s="1" t="s">
        <v>721</v>
      </c>
    </row>
    <row r="789" spans="1:4">
      <c r="A789">
        <v>1618</v>
      </c>
      <c r="B789" s="1" t="s">
        <v>739</v>
      </c>
      <c r="C789" s="1"/>
      <c r="D789" s="1" t="s">
        <v>721</v>
      </c>
    </row>
    <row r="790" spans="1:4">
      <c r="A790">
        <v>1619</v>
      </c>
      <c r="B790" s="1" t="s">
        <v>740</v>
      </c>
      <c r="C790" s="1"/>
      <c r="D790" s="1" t="s">
        <v>721</v>
      </c>
    </row>
    <row r="791" spans="1:4">
      <c r="A791">
        <v>1620</v>
      </c>
      <c r="B791" s="1" t="s">
        <v>587</v>
      </c>
      <c r="C791" s="1"/>
      <c r="D791" s="1" t="s">
        <v>721</v>
      </c>
    </row>
    <row r="792" spans="1:4">
      <c r="A792">
        <v>1621</v>
      </c>
      <c r="B792" s="1" t="s">
        <v>741</v>
      </c>
      <c r="C792" s="1"/>
      <c r="D792" s="1" t="s">
        <v>721</v>
      </c>
    </row>
    <row r="793" spans="1:4">
      <c r="A793">
        <v>1700</v>
      </c>
      <c r="B793" s="1" t="s">
        <v>742</v>
      </c>
      <c r="C793" s="1" t="s">
        <v>1254</v>
      </c>
      <c r="D793" s="1" t="s">
        <v>742</v>
      </c>
    </row>
    <row r="794" spans="1:4">
      <c r="A794">
        <v>1800</v>
      </c>
      <c r="B794" s="1" t="s">
        <v>743</v>
      </c>
      <c r="C794" s="1" t="s">
        <v>1239</v>
      </c>
      <c r="D794" s="1" t="s">
        <v>1207</v>
      </c>
    </row>
    <row r="795" spans="1:4">
      <c r="A795">
        <v>1801</v>
      </c>
      <c r="B795" s="1" t="s">
        <v>744</v>
      </c>
      <c r="C795" s="1" t="s">
        <v>1240</v>
      </c>
      <c r="D795" s="1" t="s">
        <v>1207</v>
      </c>
    </row>
    <row r="796" spans="1:4">
      <c r="A796">
        <v>1802</v>
      </c>
      <c r="B796" s="1" t="s">
        <v>745</v>
      </c>
      <c r="C796" s="1" t="s">
        <v>1241</v>
      </c>
      <c r="D796" s="1" t="s">
        <v>1207</v>
      </c>
    </row>
    <row r="797" spans="1:4">
      <c r="A797">
        <v>1803</v>
      </c>
      <c r="B797" s="1" t="s">
        <v>746</v>
      </c>
      <c r="C797" s="1" t="s">
        <v>1242</v>
      </c>
      <c r="D797" s="1" t="s">
        <v>1207</v>
      </c>
    </row>
    <row r="798" spans="1:4">
      <c r="A798">
        <v>1804</v>
      </c>
      <c r="B798" s="1" t="s">
        <v>747</v>
      </c>
      <c r="C798" s="1" t="s">
        <v>1243</v>
      </c>
      <c r="D798" s="1" t="s">
        <v>1207</v>
      </c>
    </row>
    <row r="799" spans="1:4">
      <c r="A799">
        <v>1805</v>
      </c>
      <c r="B799" s="1" t="s">
        <v>1645</v>
      </c>
      <c r="C799" s="1" t="s">
        <v>1244</v>
      </c>
      <c r="D799" s="1" t="s">
        <v>1207</v>
      </c>
    </row>
    <row r="800" spans="1:4">
      <c r="A800">
        <v>1806</v>
      </c>
      <c r="B800" s="1" t="s">
        <v>748</v>
      </c>
      <c r="C800" s="1" t="s">
        <v>1245</v>
      </c>
      <c r="D800" s="1" t="s">
        <v>1207</v>
      </c>
    </row>
    <row r="801" spans="1:4">
      <c r="A801">
        <v>1807</v>
      </c>
      <c r="B801" s="1" t="s">
        <v>749</v>
      </c>
      <c r="C801" s="1" t="s">
        <v>1246</v>
      </c>
      <c r="D801" s="1" t="s">
        <v>1207</v>
      </c>
    </row>
    <row r="802" spans="1:4">
      <c r="A802">
        <v>1808</v>
      </c>
      <c r="B802" s="1" t="s">
        <v>750</v>
      </c>
      <c r="C802" s="1" t="s">
        <v>1646</v>
      </c>
      <c r="D802" s="1" t="s">
        <v>1207</v>
      </c>
    </row>
    <row r="803" spans="1:4">
      <c r="A803">
        <v>1809</v>
      </c>
      <c r="B803" s="1" t="s">
        <v>751</v>
      </c>
      <c r="C803" s="1" t="s">
        <v>1647</v>
      </c>
      <c r="D803" s="1" t="s">
        <v>1207</v>
      </c>
    </row>
    <row r="804" spans="1:4">
      <c r="A804">
        <v>1810</v>
      </c>
      <c r="B804" s="1" t="s">
        <v>752</v>
      </c>
      <c r="C804" s="1" t="s">
        <v>1247</v>
      </c>
      <c r="D804" s="1" t="s">
        <v>1207</v>
      </c>
    </row>
    <row r="805" spans="1:4">
      <c r="A805">
        <v>1811</v>
      </c>
      <c r="B805" s="1" t="s">
        <v>753</v>
      </c>
      <c r="C805" s="1" t="s">
        <v>1248</v>
      </c>
      <c r="D805" s="1" t="s">
        <v>1207</v>
      </c>
    </row>
    <row r="806" spans="1:4">
      <c r="A806">
        <v>1812</v>
      </c>
      <c r="B806" s="1" t="s">
        <v>754</v>
      </c>
      <c r="C806" s="1" t="s">
        <v>1249</v>
      </c>
      <c r="D806" s="1" t="s">
        <v>1207</v>
      </c>
    </row>
    <row r="807" spans="1:4">
      <c r="A807">
        <v>1813</v>
      </c>
      <c r="B807" s="1" t="s">
        <v>755</v>
      </c>
      <c r="C807" s="1" t="s">
        <v>1250</v>
      </c>
      <c r="D807" s="1" t="s">
        <v>1207</v>
      </c>
    </row>
    <row r="808" spans="1:4">
      <c r="A808">
        <v>1814</v>
      </c>
      <c r="B808" s="1" t="s">
        <v>756</v>
      </c>
      <c r="C808" s="1" t="s">
        <v>1251</v>
      </c>
      <c r="D808" s="1" t="s">
        <v>1207</v>
      </c>
    </row>
    <row r="809" spans="1:4">
      <c r="A809">
        <v>1815</v>
      </c>
      <c r="B809" s="1" t="s">
        <v>757</v>
      </c>
      <c r="C809" s="1" t="s">
        <v>1252</v>
      </c>
      <c r="D809" s="1" t="s">
        <v>1207</v>
      </c>
    </row>
    <row r="810" spans="1:4">
      <c r="A810">
        <v>1816</v>
      </c>
      <c r="B810" s="1" t="s">
        <v>758</v>
      </c>
      <c r="C810" s="1" t="s">
        <v>1253</v>
      </c>
      <c r="D810" s="1" t="s">
        <v>1207</v>
      </c>
    </row>
    <row r="811" spans="1:4">
      <c r="A811">
        <v>1900</v>
      </c>
      <c r="B811" s="1" t="s">
        <v>674</v>
      </c>
      <c r="C811" s="1" t="s">
        <v>1229</v>
      </c>
      <c r="D811" s="1" t="s">
        <v>674</v>
      </c>
    </row>
    <row r="812" spans="1:4">
      <c r="A812">
        <v>1901</v>
      </c>
      <c r="B812" s="1" t="s">
        <v>759</v>
      </c>
      <c r="C812" s="1" t="s">
        <v>1648</v>
      </c>
      <c r="D812" s="1" t="s">
        <v>674</v>
      </c>
    </row>
    <row r="813" spans="1:4">
      <c r="A813">
        <v>1902</v>
      </c>
      <c r="B813" s="1" t="s">
        <v>680</v>
      </c>
      <c r="C813" s="1" t="s">
        <v>1649</v>
      </c>
      <c r="D813" s="1" t="s">
        <v>674</v>
      </c>
    </row>
    <row r="814" spans="1:4">
      <c r="A814">
        <v>1903</v>
      </c>
      <c r="B814" s="1" t="s">
        <v>743</v>
      </c>
      <c r="C814" s="1" t="s">
        <v>1239</v>
      </c>
      <c r="D814" s="1" t="s">
        <v>674</v>
      </c>
    </row>
    <row r="815" spans="1:4">
      <c r="A815">
        <v>1904</v>
      </c>
      <c r="B815" s="1" t="s">
        <v>721</v>
      </c>
      <c r="C815" s="1" t="s">
        <v>1650</v>
      </c>
      <c r="D815" s="1" t="s">
        <v>674</v>
      </c>
    </row>
    <row r="816" spans="1:4">
      <c r="A816">
        <v>1905</v>
      </c>
      <c r="B816" s="1" t="s">
        <v>760</v>
      </c>
      <c r="C816" s="1" t="s">
        <v>1651</v>
      </c>
      <c r="D816" s="1" t="s">
        <v>674</v>
      </c>
    </row>
    <row r="817" spans="1:4">
      <c r="A817">
        <v>1906</v>
      </c>
      <c r="B817" s="1" t="s">
        <v>742</v>
      </c>
      <c r="C817" s="1" t="s">
        <v>1254</v>
      </c>
      <c r="D817" s="1" t="s">
        <v>674</v>
      </c>
    </row>
    <row r="818" spans="1:4">
      <c r="A818">
        <v>1907</v>
      </c>
      <c r="B818" s="1" t="s">
        <v>761</v>
      </c>
      <c r="C818" s="1" t="s">
        <v>1652</v>
      </c>
      <c r="D818" s="1" t="s">
        <v>674</v>
      </c>
    </row>
    <row r="819" spans="1:4">
      <c r="A819">
        <v>2000</v>
      </c>
      <c r="B819" s="1" t="s">
        <v>762</v>
      </c>
      <c r="C819" s="1" t="s">
        <v>1653</v>
      </c>
      <c r="D819" s="1" t="s">
        <v>673</v>
      </c>
    </row>
    <row r="820" spans="1:4">
      <c r="A820">
        <v>2001</v>
      </c>
      <c r="B820" s="1" t="s">
        <v>763</v>
      </c>
      <c r="C820" s="1" t="s">
        <v>1428</v>
      </c>
      <c r="D820" s="1" t="s">
        <v>673</v>
      </c>
    </row>
    <row r="821" spans="1:4">
      <c r="A821">
        <v>2002</v>
      </c>
      <c r="B821" s="1" t="s">
        <v>764</v>
      </c>
      <c r="C821" s="1" t="s">
        <v>1429</v>
      </c>
      <c r="D821" s="1" t="s">
        <v>673</v>
      </c>
    </row>
    <row r="822" spans="1:4">
      <c r="A822">
        <v>2003</v>
      </c>
      <c r="B822" s="1" t="s">
        <v>765</v>
      </c>
      <c r="C822" s="1" t="s">
        <v>1430</v>
      </c>
      <c r="D822" s="1" t="s">
        <v>673</v>
      </c>
    </row>
    <row r="823" spans="1:4">
      <c r="A823">
        <v>2004</v>
      </c>
      <c r="B823" s="1" t="s">
        <v>766</v>
      </c>
      <c r="C823" s="1" t="s">
        <v>1431</v>
      </c>
      <c r="D823" s="1" t="s">
        <v>673</v>
      </c>
    </row>
    <row r="824" spans="1:4">
      <c r="A824">
        <v>2005</v>
      </c>
      <c r="B824" s="1" t="s">
        <v>67</v>
      </c>
      <c r="C824" s="1" t="s">
        <v>1654</v>
      </c>
      <c r="D824" s="1" t="s">
        <v>673</v>
      </c>
    </row>
    <row r="825" spans="1:4">
      <c r="A825">
        <v>2006</v>
      </c>
      <c r="B825" s="1" t="s">
        <v>65</v>
      </c>
      <c r="C825" s="1" t="s">
        <v>1434</v>
      </c>
      <c r="D825" s="1" t="s">
        <v>673</v>
      </c>
    </row>
    <row r="826" spans="1:4">
      <c r="A826">
        <v>2007</v>
      </c>
      <c r="B826" s="1" t="s">
        <v>767</v>
      </c>
      <c r="C826" s="1" t="s">
        <v>1655</v>
      </c>
      <c r="D826" s="1" t="s">
        <v>673</v>
      </c>
    </row>
    <row r="827" spans="1:4">
      <c r="A827">
        <v>2008</v>
      </c>
      <c r="B827" s="1" t="s">
        <v>768</v>
      </c>
      <c r="C827" s="1" t="s">
        <v>1853</v>
      </c>
      <c r="D827" s="1" t="s">
        <v>673</v>
      </c>
    </row>
    <row r="828" spans="1:4">
      <c r="A828">
        <v>2009</v>
      </c>
      <c r="B828" s="1" t="s">
        <v>769</v>
      </c>
      <c r="C828" s="1" t="s">
        <v>1656</v>
      </c>
      <c r="D828" s="1" t="s">
        <v>673</v>
      </c>
    </row>
    <row r="829" spans="1:4">
      <c r="A829">
        <v>2010</v>
      </c>
      <c r="B829" s="1" t="s">
        <v>770</v>
      </c>
      <c r="C829" s="1" t="s">
        <v>1657</v>
      </c>
      <c r="D829" s="1" t="s">
        <v>673</v>
      </c>
    </row>
    <row r="830" spans="1:4">
      <c r="A830">
        <v>2011</v>
      </c>
      <c r="B830" s="1" t="s">
        <v>771</v>
      </c>
      <c r="C830" s="1" t="s">
        <v>1257</v>
      </c>
      <c r="D830" s="1" t="s">
        <v>673</v>
      </c>
    </row>
    <row r="831" spans="1:4">
      <c r="A831">
        <v>2012</v>
      </c>
      <c r="B831" s="1" t="s">
        <v>772</v>
      </c>
      <c r="C831" s="1" t="s">
        <v>1258</v>
      </c>
      <c r="D831" s="1" t="s">
        <v>673</v>
      </c>
    </row>
    <row r="832" spans="1:4">
      <c r="A832">
        <v>2013</v>
      </c>
      <c r="B832" s="1" t="s">
        <v>773</v>
      </c>
      <c r="C832" s="1" t="s">
        <v>1259</v>
      </c>
      <c r="D832" s="1" t="s">
        <v>673</v>
      </c>
    </row>
    <row r="833" spans="1:4">
      <c r="A833">
        <v>2014</v>
      </c>
      <c r="B833" s="1" t="s">
        <v>774</v>
      </c>
      <c r="C833" s="1" t="s">
        <v>1260</v>
      </c>
      <c r="D833" s="1" t="s">
        <v>673</v>
      </c>
    </row>
    <row r="834" spans="1:4">
      <c r="A834">
        <v>2015</v>
      </c>
      <c r="B834" s="1" t="s">
        <v>775</v>
      </c>
      <c r="C834" s="1" t="s">
        <v>1261</v>
      </c>
      <c r="D834" s="1" t="s">
        <v>673</v>
      </c>
    </row>
    <row r="835" spans="1:4">
      <c r="A835">
        <v>2016</v>
      </c>
      <c r="B835" s="1" t="s">
        <v>776</v>
      </c>
      <c r="C835" s="1" t="s">
        <v>1262</v>
      </c>
      <c r="D835" s="1" t="s">
        <v>673</v>
      </c>
    </row>
    <row r="836" spans="1:4">
      <c r="A836">
        <v>2017</v>
      </c>
      <c r="B836" s="1" t="s">
        <v>777</v>
      </c>
      <c r="C836" s="1" t="s">
        <v>1263</v>
      </c>
      <c r="D836" s="1" t="s">
        <v>673</v>
      </c>
    </row>
    <row r="837" spans="1:4">
      <c r="A837">
        <v>2018</v>
      </c>
      <c r="B837" s="1" t="s">
        <v>778</v>
      </c>
      <c r="C837" s="1" t="s">
        <v>1264</v>
      </c>
      <c r="D837" s="1" t="s">
        <v>673</v>
      </c>
    </row>
    <row r="838" spans="1:4">
      <c r="A838">
        <v>2019</v>
      </c>
      <c r="B838" s="1" t="s">
        <v>779</v>
      </c>
      <c r="C838" s="1" t="s">
        <v>1265</v>
      </c>
      <c r="D838" s="1" t="s">
        <v>673</v>
      </c>
    </row>
    <row r="839" spans="1:4">
      <c r="A839">
        <v>2020</v>
      </c>
      <c r="B839" s="1" t="s">
        <v>780</v>
      </c>
      <c r="C839" s="1" t="s">
        <v>1266</v>
      </c>
      <c r="D839" s="1" t="s">
        <v>673</v>
      </c>
    </row>
    <row r="840" spans="1:4">
      <c r="A840">
        <v>2050</v>
      </c>
      <c r="B840" s="1" t="s">
        <v>781</v>
      </c>
      <c r="C840" s="1"/>
      <c r="D840" s="1" t="s">
        <v>1208</v>
      </c>
    </row>
    <row r="841" spans="1:4">
      <c r="A841">
        <v>2051</v>
      </c>
      <c r="B841" s="1" t="s">
        <v>782</v>
      </c>
      <c r="C841" s="1"/>
      <c r="D841" s="1" t="s">
        <v>1208</v>
      </c>
    </row>
    <row r="842" spans="1:4">
      <c r="A842">
        <v>2052</v>
      </c>
      <c r="B842" s="1" t="s">
        <v>783</v>
      </c>
      <c r="C842" s="1"/>
      <c r="D842" s="1" t="s">
        <v>1208</v>
      </c>
    </row>
    <row r="843" spans="1:4">
      <c r="A843">
        <v>2053</v>
      </c>
      <c r="B843" s="1" t="s">
        <v>784</v>
      </c>
      <c r="C843" s="1"/>
      <c r="D843" s="1" t="s">
        <v>1208</v>
      </c>
    </row>
    <row r="844" spans="1:4">
      <c r="A844">
        <v>2054</v>
      </c>
      <c r="B844" s="1" t="s">
        <v>785</v>
      </c>
      <c r="C844" s="1"/>
      <c r="D844" s="1" t="s">
        <v>1208</v>
      </c>
    </row>
    <row r="845" spans="1:4">
      <c r="A845">
        <v>2055</v>
      </c>
      <c r="B845" s="1" t="s">
        <v>786</v>
      </c>
      <c r="C845" s="1"/>
      <c r="D845" s="1" t="s">
        <v>1208</v>
      </c>
    </row>
    <row r="846" spans="1:4">
      <c r="A846">
        <v>2056</v>
      </c>
      <c r="B846" s="1" t="s">
        <v>787</v>
      </c>
      <c r="C846" s="1"/>
      <c r="D846" s="1" t="s">
        <v>1208</v>
      </c>
    </row>
    <row r="847" spans="1:4">
      <c r="A847">
        <v>2057</v>
      </c>
      <c r="B847" s="1" t="s">
        <v>788</v>
      </c>
      <c r="C847" s="1"/>
      <c r="D847" s="1" t="s">
        <v>1208</v>
      </c>
    </row>
    <row r="848" spans="1:4">
      <c r="A848">
        <v>2058</v>
      </c>
      <c r="B848" s="1" t="s">
        <v>789</v>
      </c>
      <c r="C848" s="1"/>
      <c r="D848" s="1" t="s">
        <v>1208</v>
      </c>
    </row>
    <row r="849" spans="1:4">
      <c r="A849">
        <v>2059</v>
      </c>
      <c r="B849" s="1" t="s">
        <v>790</v>
      </c>
      <c r="C849" s="1"/>
      <c r="D849" s="1" t="s">
        <v>1208</v>
      </c>
    </row>
    <row r="850" spans="1:4">
      <c r="A850">
        <v>2060</v>
      </c>
      <c r="B850" s="1" t="s">
        <v>791</v>
      </c>
      <c r="C850" s="1"/>
      <c r="D850" s="1" t="s">
        <v>1208</v>
      </c>
    </row>
    <row r="851" spans="1:4">
      <c r="A851">
        <v>2100</v>
      </c>
      <c r="B851" s="1" t="s">
        <v>759</v>
      </c>
      <c r="C851" s="1" t="s">
        <v>1648</v>
      </c>
      <c r="D851" s="1" t="s">
        <v>759</v>
      </c>
    </row>
    <row r="852" spans="1:4">
      <c r="A852">
        <v>2101</v>
      </c>
      <c r="B852" s="1" t="s">
        <v>792</v>
      </c>
      <c r="C852" s="1" t="s">
        <v>1279</v>
      </c>
      <c r="D852" s="1" t="s">
        <v>759</v>
      </c>
    </row>
    <row r="853" spans="1:4">
      <c r="A853">
        <v>2102</v>
      </c>
      <c r="B853" s="1" t="s">
        <v>793</v>
      </c>
      <c r="C853" s="1" t="s">
        <v>1658</v>
      </c>
      <c r="D853" s="1" t="s">
        <v>759</v>
      </c>
    </row>
    <row r="854" spans="1:4">
      <c r="A854">
        <v>2103</v>
      </c>
      <c r="B854" s="1" t="s">
        <v>794</v>
      </c>
      <c r="C854" s="1" t="s">
        <v>1659</v>
      </c>
      <c r="D854" s="1" t="s">
        <v>759</v>
      </c>
    </row>
    <row r="855" spans="1:4">
      <c r="A855">
        <v>2104</v>
      </c>
      <c r="B855" s="1" t="s">
        <v>795</v>
      </c>
      <c r="C855" s="1" t="s">
        <v>1660</v>
      </c>
      <c r="D855" s="1" t="s">
        <v>759</v>
      </c>
    </row>
    <row r="856" spans="1:4">
      <c r="A856">
        <v>2105</v>
      </c>
      <c r="B856" s="1" t="s">
        <v>796</v>
      </c>
      <c r="C856" s="1" t="s">
        <v>1661</v>
      </c>
      <c r="D856" s="1" t="s">
        <v>759</v>
      </c>
    </row>
    <row r="857" spans="1:4">
      <c r="A857">
        <v>2106</v>
      </c>
      <c r="B857" s="1" t="s">
        <v>797</v>
      </c>
      <c r="C857" s="1" t="s">
        <v>1662</v>
      </c>
      <c r="D857" s="1" t="s">
        <v>759</v>
      </c>
    </row>
    <row r="858" spans="1:4">
      <c r="A858">
        <v>2107</v>
      </c>
      <c r="B858" s="1" t="s">
        <v>798</v>
      </c>
      <c r="C858" s="1" t="s">
        <v>1663</v>
      </c>
      <c r="D858" s="1" t="s">
        <v>759</v>
      </c>
    </row>
    <row r="859" spans="1:4">
      <c r="A859">
        <v>2108</v>
      </c>
      <c r="B859" s="1" t="s">
        <v>799</v>
      </c>
      <c r="C859" s="1" t="s">
        <v>1664</v>
      </c>
      <c r="D859" s="1" t="s">
        <v>759</v>
      </c>
    </row>
    <row r="860" spans="1:4">
      <c r="A860">
        <v>2109</v>
      </c>
      <c r="B860" s="1" t="s">
        <v>800</v>
      </c>
      <c r="C860" s="1" t="s">
        <v>1665</v>
      </c>
      <c r="D860" s="1" t="s">
        <v>759</v>
      </c>
    </row>
    <row r="861" spans="1:4">
      <c r="A861">
        <v>2110</v>
      </c>
      <c r="B861" s="1" t="s">
        <v>801</v>
      </c>
      <c r="C861" s="1" t="s">
        <v>1666</v>
      </c>
      <c r="D861" s="1" t="s">
        <v>759</v>
      </c>
    </row>
    <row r="862" spans="1:4">
      <c r="A862">
        <v>2111</v>
      </c>
      <c r="B862" s="1" t="s">
        <v>802</v>
      </c>
      <c r="C862" s="1" t="s">
        <v>1667</v>
      </c>
      <c r="D862" s="1" t="s">
        <v>759</v>
      </c>
    </row>
    <row r="863" spans="1:4">
      <c r="A863">
        <v>2112</v>
      </c>
      <c r="B863" s="1" t="s">
        <v>803</v>
      </c>
      <c r="C863" s="1" t="s">
        <v>1668</v>
      </c>
      <c r="D863" s="1" t="s">
        <v>759</v>
      </c>
    </row>
    <row r="864" spans="1:4">
      <c r="A864">
        <v>2113</v>
      </c>
      <c r="B864" s="1" t="s">
        <v>804</v>
      </c>
      <c r="C864" s="1" t="s">
        <v>1669</v>
      </c>
      <c r="D864" s="1" t="s">
        <v>759</v>
      </c>
    </row>
    <row r="865" spans="1:4">
      <c r="A865">
        <v>2150</v>
      </c>
      <c r="B865" s="1" t="s">
        <v>761</v>
      </c>
      <c r="C865" s="1" t="s">
        <v>1670</v>
      </c>
      <c r="D865" s="1" t="s">
        <v>1209</v>
      </c>
    </row>
    <row r="866" spans="1:4">
      <c r="A866">
        <v>2151</v>
      </c>
      <c r="B866" s="1" t="s">
        <v>805</v>
      </c>
      <c r="C866" s="1" t="s">
        <v>1671</v>
      </c>
      <c r="D866" s="1" t="s">
        <v>1209</v>
      </c>
    </row>
    <row r="867" spans="1:4">
      <c r="A867">
        <v>2152</v>
      </c>
      <c r="B867" s="1" t="s">
        <v>2471</v>
      </c>
      <c r="C867" s="1" t="s">
        <v>1672</v>
      </c>
      <c r="D867" s="1" t="s">
        <v>1209</v>
      </c>
    </row>
    <row r="868" spans="1:4">
      <c r="A868">
        <v>2200</v>
      </c>
      <c r="B868" s="1" t="s">
        <v>806</v>
      </c>
      <c r="C868" s="1" t="s">
        <v>1673</v>
      </c>
      <c r="D868" s="1" t="s">
        <v>672</v>
      </c>
    </row>
    <row r="869" spans="1:4">
      <c r="A869">
        <v>2201</v>
      </c>
      <c r="B869" s="1" t="s">
        <v>807</v>
      </c>
      <c r="C869" s="1" t="s">
        <v>1441</v>
      </c>
      <c r="D869" s="1" t="s">
        <v>672</v>
      </c>
    </row>
    <row r="870" spans="1:4">
      <c r="A870">
        <v>2202</v>
      </c>
      <c r="B870" s="1" t="s">
        <v>2468</v>
      </c>
      <c r="C870" s="1" t="s">
        <v>1674</v>
      </c>
      <c r="D870" s="1" t="s">
        <v>672</v>
      </c>
    </row>
    <row r="871" spans="1:4">
      <c r="A871">
        <v>2203</v>
      </c>
      <c r="B871" s="1" t="s">
        <v>2472</v>
      </c>
      <c r="C871" s="1" t="s">
        <v>1675</v>
      </c>
      <c r="D871" s="1" t="s">
        <v>672</v>
      </c>
    </row>
    <row r="872" spans="1:4">
      <c r="A872">
        <v>2204</v>
      </c>
      <c r="B872" s="1" t="s">
        <v>808</v>
      </c>
      <c r="C872" s="1" t="s">
        <v>1676</v>
      </c>
      <c r="D872" s="1" t="s">
        <v>672</v>
      </c>
    </row>
    <row r="873" spans="1:4">
      <c r="A873">
        <v>2205</v>
      </c>
      <c r="B873" s="1" t="s">
        <v>2473</v>
      </c>
      <c r="C873" s="1" t="s">
        <v>1677</v>
      </c>
      <c r="D873" s="1" t="s">
        <v>672</v>
      </c>
    </row>
    <row r="874" spans="1:4">
      <c r="A874">
        <v>2206</v>
      </c>
      <c r="B874" s="1" t="s">
        <v>809</v>
      </c>
      <c r="C874" s="1" t="s">
        <v>1758</v>
      </c>
      <c r="D874" s="1" t="s">
        <v>672</v>
      </c>
    </row>
    <row r="875" spans="1:4">
      <c r="A875">
        <v>2207</v>
      </c>
      <c r="B875" s="1" t="s">
        <v>810</v>
      </c>
      <c r="C875" s="1" t="s">
        <v>1678</v>
      </c>
      <c r="D875" s="1" t="s">
        <v>672</v>
      </c>
    </row>
    <row r="876" spans="1:4">
      <c r="A876">
        <v>2208</v>
      </c>
      <c r="B876" s="1" t="s">
        <v>672</v>
      </c>
      <c r="C876" s="1" t="s">
        <v>1227</v>
      </c>
      <c r="D876" s="1" t="s">
        <v>672</v>
      </c>
    </row>
    <row r="877" spans="1:4">
      <c r="A877">
        <v>2209</v>
      </c>
      <c r="B877" s="1" t="s">
        <v>811</v>
      </c>
      <c r="C877" s="1" t="s">
        <v>1679</v>
      </c>
      <c r="D877" s="1" t="s">
        <v>672</v>
      </c>
    </row>
    <row r="878" spans="1:4">
      <c r="A878">
        <v>2210</v>
      </c>
      <c r="B878" s="1" t="s">
        <v>812</v>
      </c>
      <c r="C878" s="1" t="s">
        <v>1680</v>
      </c>
      <c r="D878" s="1" t="s">
        <v>672</v>
      </c>
    </row>
    <row r="879" spans="1:4">
      <c r="A879">
        <v>2211</v>
      </c>
      <c r="B879" s="1" t="s">
        <v>665</v>
      </c>
      <c r="C879" s="1" t="s">
        <v>1269</v>
      </c>
      <c r="D879" s="1" t="s">
        <v>672</v>
      </c>
    </row>
    <row r="880" spans="1:4">
      <c r="A880">
        <v>2212</v>
      </c>
      <c r="B880" s="1" t="s">
        <v>664</v>
      </c>
      <c r="C880" s="1" t="s">
        <v>1268</v>
      </c>
      <c r="D880" s="1" t="s">
        <v>672</v>
      </c>
    </row>
    <row r="881" spans="1:4">
      <c r="A881">
        <v>2213</v>
      </c>
      <c r="B881" s="1" t="s">
        <v>813</v>
      </c>
      <c r="C881" s="1" t="s">
        <v>1681</v>
      </c>
      <c r="D881" s="1" t="s">
        <v>672</v>
      </c>
    </row>
    <row r="882" spans="1:4">
      <c r="A882">
        <v>2214</v>
      </c>
      <c r="B882" s="1" t="s">
        <v>814</v>
      </c>
      <c r="C882" s="1" t="s">
        <v>1682</v>
      </c>
      <c r="D882" s="1" t="s">
        <v>672</v>
      </c>
    </row>
    <row r="883" spans="1:4">
      <c r="A883">
        <v>2215</v>
      </c>
      <c r="B883" s="1" t="s">
        <v>815</v>
      </c>
      <c r="C883" s="1" t="s">
        <v>1683</v>
      </c>
      <c r="D883" s="1" t="s">
        <v>672</v>
      </c>
    </row>
    <row r="884" spans="1:4">
      <c r="A884">
        <v>2216</v>
      </c>
      <c r="B884" s="1" t="s">
        <v>816</v>
      </c>
      <c r="C884" s="1" t="s">
        <v>1684</v>
      </c>
      <c r="D884" s="1" t="s">
        <v>672</v>
      </c>
    </row>
    <row r="885" spans="1:4">
      <c r="A885">
        <v>2217</v>
      </c>
      <c r="B885" s="1" t="s">
        <v>817</v>
      </c>
      <c r="C885" s="1" t="s">
        <v>1685</v>
      </c>
      <c r="D885" s="1" t="s">
        <v>672</v>
      </c>
    </row>
    <row r="886" spans="1:4">
      <c r="A886">
        <v>2218</v>
      </c>
      <c r="B886" s="1" t="s">
        <v>818</v>
      </c>
      <c r="C886" s="1" t="s">
        <v>1686</v>
      </c>
      <c r="D886" s="1" t="s">
        <v>672</v>
      </c>
    </row>
    <row r="887" spans="1:4">
      <c r="A887">
        <v>2219</v>
      </c>
      <c r="B887" s="1" t="s">
        <v>819</v>
      </c>
      <c r="C887" s="1" t="s">
        <v>1687</v>
      </c>
      <c r="D887" s="1" t="s">
        <v>672</v>
      </c>
    </row>
    <row r="888" spans="1:4">
      <c r="A888">
        <v>2220</v>
      </c>
      <c r="B888" s="1" t="s">
        <v>820</v>
      </c>
      <c r="C888" s="1" t="s">
        <v>1688</v>
      </c>
      <c r="D888" s="1" t="s">
        <v>672</v>
      </c>
    </row>
    <row r="889" spans="1:4">
      <c r="A889">
        <v>2221</v>
      </c>
      <c r="B889" s="1" t="s">
        <v>821</v>
      </c>
      <c r="C889" s="1" t="s">
        <v>1689</v>
      </c>
      <c r="D889" s="1" t="s">
        <v>672</v>
      </c>
    </row>
    <row r="890" spans="1:4">
      <c r="A890">
        <v>2222</v>
      </c>
      <c r="B890" s="1" t="s">
        <v>822</v>
      </c>
      <c r="C890" s="1" t="s">
        <v>1690</v>
      </c>
      <c r="D890" s="1" t="s">
        <v>672</v>
      </c>
    </row>
    <row r="891" spans="1:4">
      <c r="A891">
        <v>2223</v>
      </c>
      <c r="B891" s="1" t="s">
        <v>823</v>
      </c>
      <c r="C891" s="1" t="s">
        <v>1691</v>
      </c>
      <c r="D891" s="1" t="s">
        <v>672</v>
      </c>
    </row>
    <row r="892" spans="1:4">
      <c r="A892">
        <v>2224</v>
      </c>
      <c r="B892" s="1" t="s">
        <v>72</v>
      </c>
      <c r="C892" s="1" t="s">
        <v>1441</v>
      </c>
      <c r="D892" s="1" t="s">
        <v>672</v>
      </c>
    </row>
    <row r="893" spans="1:4">
      <c r="A893">
        <v>2225</v>
      </c>
      <c r="B893" s="1" t="s">
        <v>824</v>
      </c>
      <c r="C893" s="1" t="s">
        <v>1692</v>
      </c>
      <c r="D893" s="1" t="s">
        <v>672</v>
      </c>
    </row>
    <row r="894" spans="1:4">
      <c r="A894">
        <v>2226</v>
      </c>
      <c r="B894" s="1" t="s">
        <v>113</v>
      </c>
      <c r="C894" s="1" t="s">
        <v>1693</v>
      </c>
      <c r="D894" s="1" t="s">
        <v>672</v>
      </c>
    </row>
    <row r="895" spans="1:4">
      <c r="A895">
        <v>2227</v>
      </c>
      <c r="B895" s="1" t="s">
        <v>675</v>
      </c>
      <c r="C895" s="1" t="s">
        <v>1230</v>
      </c>
      <c r="D895" s="1" t="s">
        <v>672</v>
      </c>
    </row>
    <row r="896" spans="1:4">
      <c r="A896">
        <v>2228</v>
      </c>
      <c r="B896" s="1" t="s">
        <v>11</v>
      </c>
      <c r="C896" s="1" t="s">
        <v>1406</v>
      </c>
      <c r="D896" s="1" t="s">
        <v>672</v>
      </c>
    </row>
    <row r="897" spans="1:4">
      <c r="A897">
        <v>2229</v>
      </c>
      <c r="B897" s="1" t="s">
        <v>825</v>
      </c>
      <c r="C897" s="1" t="s">
        <v>1694</v>
      </c>
      <c r="D897" s="1" t="s">
        <v>672</v>
      </c>
    </row>
    <row r="898" spans="1:4">
      <c r="A898">
        <v>2230</v>
      </c>
      <c r="B898" s="1" t="s">
        <v>826</v>
      </c>
      <c r="C898" s="1" t="s">
        <v>1695</v>
      </c>
      <c r="D898" s="1" t="s">
        <v>672</v>
      </c>
    </row>
    <row r="899" spans="1:4">
      <c r="A899">
        <v>2231</v>
      </c>
      <c r="B899" s="1" t="s">
        <v>827</v>
      </c>
      <c r="C899" s="1" t="s">
        <v>1696</v>
      </c>
      <c r="D899" s="1" t="s">
        <v>672</v>
      </c>
    </row>
    <row r="900" spans="1:4">
      <c r="A900">
        <v>2232</v>
      </c>
      <c r="B900" s="1" t="s">
        <v>828</v>
      </c>
      <c r="C900" s="1" t="s">
        <v>1697</v>
      </c>
      <c r="D900" s="1" t="s">
        <v>672</v>
      </c>
    </row>
    <row r="901" spans="1:4">
      <c r="A901">
        <v>2233</v>
      </c>
      <c r="B901" s="1" t="s">
        <v>829</v>
      </c>
      <c r="C901" s="1" t="s">
        <v>1698</v>
      </c>
      <c r="D901" s="1" t="s">
        <v>672</v>
      </c>
    </row>
    <row r="902" spans="1:4">
      <c r="A902">
        <v>2234</v>
      </c>
      <c r="B902" s="1" t="s">
        <v>830</v>
      </c>
      <c r="C902" s="1" t="s">
        <v>1699</v>
      </c>
      <c r="D902" s="1" t="s">
        <v>672</v>
      </c>
    </row>
    <row r="903" spans="1:4">
      <c r="A903">
        <v>2235</v>
      </c>
      <c r="B903" s="1" t="s">
        <v>831</v>
      </c>
      <c r="C903" s="1" t="s">
        <v>1700</v>
      </c>
      <c r="D903" s="1" t="s">
        <v>672</v>
      </c>
    </row>
    <row r="904" spans="1:4">
      <c r="A904">
        <v>2236</v>
      </c>
      <c r="B904" s="1" t="s">
        <v>832</v>
      </c>
      <c r="C904" s="1" t="s">
        <v>1613</v>
      </c>
      <c r="D904" s="1" t="s">
        <v>672</v>
      </c>
    </row>
    <row r="905" spans="1:4">
      <c r="A905">
        <v>2237</v>
      </c>
      <c r="B905" s="1" t="s">
        <v>833</v>
      </c>
      <c r="C905" s="1" t="s">
        <v>1701</v>
      </c>
      <c r="D905" s="1" t="s">
        <v>672</v>
      </c>
    </row>
    <row r="906" spans="1:4">
      <c r="A906">
        <v>2238</v>
      </c>
      <c r="B906" s="1" t="s">
        <v>834</v>
      </c>
      <c r="C906" s="1" t="s">
        <v>1702</v>
      </c>
      <c r="D906" s="1" t="s">
        <v>672</v>
      </c>
    </row>
    <row r="907" spans="1:4">
      <c r="A907">
        <v>2239</v>
      </c>
      <c r="B907" s="1" t="s">
        <v>663</v>
      </c>
      <c r="C907" s="1" t="s">
        <v>1702</v>
      </c>
      <c r="D907" s="1" t="s">
        <v>672</v>
      </c>
    </row>
    <row r="908" spans="1:4">
      <c r="A908">
        <v>2300</v>
      </c>
      <c r="B908" s="1" t="s">
        <v>675</v>
      </c>
      <c r="C908" s="1" t="s">
        <v>1230</v>
      </c>
      <c r="D908" s="1" t="s">
        <v>675</v>
      </c>
    </row>
    <row r="909" spans="1:4">
      <c r="A909">
        <v>2301</v>
      </c>
      <c r="B909" s="1" t="s">
        <v>835</v>
      </c>
      <c r="C909" s="1" t="s">
        <v>1703</v>
      </c>
      <c r="D909" s="1" t="s">
        <v>675</v>
      </c>
    </row>
    <row r="910" spans="1:4">
      <c r="A910">
        <v>2302</v>
      </c>
      <c r="B910" s="1" t="s">
        <v>836</v>
      </c>
      <c r="C910" s="1" t="s">
        <v>1704</v>
      </c>
      <c r="D910" s="1" t="s">
        <v>675</v>
      </c>
    </row>
    <row r="911" spans="1:4">
      <c r="A911">
        <v>2303</v>
      </c>
      <c r="B911" s="1" t="s">
        <v>837</v>
      </c>
      <c r="C911" s="1" t="s">
        <v>1705</v>
      </c>
      <c r="D911" s="1" t="s">
        <v>675</v>
      </c>
    </row>
    <row r="912" spans="1:4">
      <c r="A912">
        <v>2304</v>
      </c>
      <c r="B912" s="1" t="s">
        <v>838</v>
      </c>
      <c r="C912" s="1" t="s">
        <v>1706</v>
      </c>
      <c r="D912" s="1" t="s">
        <v>675</v>
      </c>
    </row>
    <row r="913" spans="1:4">
      <c r="A913">
        <v>2305</v>
      </c>
      <c r="B913" s="1" t="s">
        <v>839</v>
      </c>
      <c r="C913" s="1" t="s">
        <v>1707</v>
      </c>
      <c r="D913" s="1" t="s">
        <v>675</v>
      </c>
    </row>
    <row r="914" spans="1:4">
      <c r="A914">
        <v>2306</v>
      </c>
      <c r="B914" s="1" t="s">
        <v>840</v>
      </c>
      <c r="C914" s="1"/>
      <c r="D914" s="1" t="s">
        <v>675</v>
      </c>
    </row>
    <row r="915" spans="1:4">
      <c r="A915">
        <v>2307</v>
      </c>
      <c r="B915" s="1" t="s">
        <v>841</v>
      </c>
      <c r="C915" s="1" t="s">
        <v>1708</v>
      </c>
      <c r="D915" s="1" t="s">
        <v>675</v>
      </c>
    </row>
    <row r="916" spans="1:4">
      <c r="A916">
        <v>2308</v>
      </c>
      <c r="B916" s="1" t="s">
        <v>842</v>
      </c>
      <c r="C916" s="1" t="s">
        <v>1709</v>
      </c>
      <c r="D916" s="1" t="s">
        <v>675</v>
      </c>
    </row>
    <row r="917" spans="1:4">
      <c r="A917">
        <v>2309</v>
      </c>
      <c r="B917" s="1" t="s">
        <v>843</v>
      </c>
      <c r="C917" s="1" t="s">
        <v>1710</v>
      </c>
      <c r="D917" s="1" t="s">
        <v>675</v>
      </c>
    </row>
    <row r="918" spans="1:4">
      <c r="A918">
        <v>2310</v>
      </c>
      <c r="B918" s="1" t="s">
        <v>844</v>
      </c>
      <c r="C918" s="1" t="s">
        <v>1711</v>
      </c>
      <c r="D918" s="1" t="s">
        <v>675</v>
      </c>
    </row>
    <row r="919" spans="1:4">
      <c r="A919">
        <v>2311</v>
      </c>
      <c r="B919" s="1" t="s">
        <v>845</v>
      </c>
      <c r="C919" s="1" t="s">
        <v>1712</v>
      </c>
      <c r="D919" s="1" t="s">
        <v>675</v>
      </c>
    </row>
    <row r="920" spans="1:4">
      <c r="A920">
        <v>2312</v>
      </c>
      <c r="B920" s="1" t="s">
        <v>846</v>
      </c>
      <c r="C920" s="1" t="s">
        <v>1713</v>
      </c>
      <c r="D920" s="1" t="s">
        <v>675</v>
      </c>
    </row>
    <row r="921" spans="1:4">
      <c r="A921">
        <v>2313</v>
      </c>
      <c r="B921" s="1" t="s">
        <v>831</v>
      </c>
      <c r="C921" s="1"/>
      <c r="D921" s="1" t="s">
        <v>675</v>
      </c>
    </row>
    <row r="922" spans="1:4">
      <c r="A922">
        <v>2314</v>
      </c>
      <c r="B922" s="1" t="s">
        <v>847</v>
      </c>
      <c r="C922" s="1"/>
      <c r="D922" s="1" t="s">
        <v>675</v>
      </c>
    </row>
    <row r="923" spans="1:4">
      <c r="A923">
        <v>2315</v>
      </c>
      <c r="B923" s="1" t="s">
        <v>848</v>
      </c>
      <c r="C923" s="1"/>
      <c r="D923" s="1" t="s">
        <v>675</v>
      </c>
    </row>
    <row r="924" spans="1:4">
      <c r="A924">
        <v>2316</v>
      </c>
      <c r="B924" s="1" t="s">
        <v>849</v>
      </c>
      <c r="C924" s="1"/>
      <c r="D924" s="1" t="s">
        <v>675</v>
      </c>
    </row>
    <row r="925" spans="1:4">
      <c r="A925">
        <v>2317</v>
      </c>
      <c r="B925" s="1" t="s">
        <v>850</v>
      </c>
      <c r="C925" s="1"/>
      <c r="D925" s="1" t="s">
        <v>675</v>
      </c>
    </row>
    <row r="926" spans="1:4">
      <c r="A926">
        <v>2318</v>
      </c>
      <c r="B926" s="1" t="s">
        <v>851</v>
      </c>
      <c r="C926" s="1"/>
      <c r="D926" s="1" t="s">
        <v>675</v>
      </c>
    </row>
    <row r="927" spans="1:4">
      <c r="A927">
        <v>2350</v>
      </c>
      <c r="B927" s="1" t="s">
        <v>852</v>
      </c>
      <c r="C927" s="1"/>
      <c r="D927" s="1" t="s">
        <v>675</v>
      </c>
    </row>
    <row r="928" spans="1:4">
      <c r="A928">
        <v>2351</v>
      </c>
      <c r="B928" s="1" t="s">
        <v>853</v>
      </c>
      <c r="C928" s="1"/>
      <c r="D928" s="1" t="s">
        <v>675</v>
      </c>
    </row>
    <row r="929" spans="1:4">
      <c r="A929">
        <v>2352</v>
      </c>
      <c r="B929" s="1" t="s">
        <v>664</v>
      </c>
      <c r="C929" s="1" t="s">
        <v>1268</v>
      </c>
      <c r="D929" s="1" t="s">
        <v>675</v>
      </c>
    </row>
    <row r="930" spans="1:4">
      <c r="A930">
        <v>2353</v>
      </c>
      <c r="B930" s="1" t="s">
        <v>665</v>
      </c>
      <c r="C930" s="1" t="s">
        <v>1269</v>
      </c>
      <c r="D930" s="1" t="s">
        <v>675</v>
      </c>
    </row>
    <row r="931" spans="1:4">
      <c r="A931">
        <v>2354</v>
      </c>
      <c r="B931" s="1" t="s">
        <v>854</v>
      </c>
      <c r="C931" s="1" t="s">
        <v>1714</v>
      </c>
      <c r="D931" s="1" t="s">
        <v>675</v>
      </c>
    </row>
    <row r="932" spans="1:4">
      <c r="A932">
        <v>2400</v>
      </c>
      <c r="B932" s="1" t="s">
        <v>855</v>
      </c>
      <c r="C932" s="1" t="s">
        <v>1715</v>
      </c>
      <c r="D932" s="1" t="s">
        <v>875</v>
      </c>
    </row>
    <row r="933" spans="1:4">
      <c r="A933">
        <v>2401</v>
      </c>
      <c r="B933" s="1" t="s">
        <v>1716</v>
      </c>
      <c r="C933" s="1" t="s">
        <v>1280</v>
      </c>
      <c r="D933" s="1" t="s">
        <v>875</v>
      </c>
    </row>
    <row r="934" spans="1:4">
      <c r="A934">
        <v>2500</v>
      </c>
      <c r="B934" s="1" t="s">
        <v>33</v>
      </c>
      <c r="C934" s="1" t="s">
        <v>2036</v>
      </c>
      <c r="D934" s="1" t="s">
        <v>71</v>
      </c>
    </row>
    <row r="935" spans="1:4">
      <c r="A935">
        <v>2501</v>
      </c>
      <c r="B935" s="1" t="s">
        <v>856</v>
      </c>
      <c r="C935" s="1" t="s">
        <v>1860</v>
      </c>
      <c r="D935" s="1" t="s">
        <v>71</v>
      </c>
    </row>
    <row r="936" spans="1:4">
      <c r="A936">
        <v>2502</v>
      </c>
      <c r="B936" s="1" t="s">
        <v>857</v>
      </c>
      <c r="C936" s="1" t="s">
        <v>1861</v>
      </c>
      <c r="D936" s="1" t="s">
        <v>71</v>
      </c>
    </row>
    <row r="937" spans="1:4">
      <c r="A937">
        <v>2503</v>
      </c>
      <c r="B937" s="1" t="s">
        <v>858</v>
      </c>
      <c r="C937" s="1" t="s">
        <v>1862</v>
      </c>
      <c r="D937" s="1" t="s">
        <v>71</v>
      </c>
    </row>
    <row r="938" spans="1:4">
      <c r="A938">
        <v>2504</v>
      </c>
      <c r="B938" s="1" t="s">
        <v>710</v>
      </c>
      <c r="C938" s="1" t="s">
        <v>1273</v>
      </c>
      <c r="D938" s="1" t="s">
        <v>71</v>
      </c>
    </row>
    <row r="939" spans="1:4">
      <c r="A939">
        <v>2505</v>
      </c>
      <c r="B939" s="1" t="s">
        <v>859</v>
      </c>
      <c r="C939" s="1" t="s">
        <v>1863</v>
      </c>
      <c r="D939" s="1" t="s">
        <v>71</v>
      </c>
    </row>
    <row r="940" spans="1:4">
      <c r="A940">
        <v>2506</v>
      </c>
      <c r="B940" s="1" t="s">
        <v>860</v>
      </c>
      <c r="C940" s="1" t="s">
        <v>1864</v>
      </c>
      <c r="D940" s="1" t="s">
        <v>71</v>
      </c>
    </row>
    <row r="941" spans="1:4">
      <c r="A941">
        <v>2507</v>
      </c>
      <c r="B941" s="1" t="s">
        <v>861</v>
      </c>
      <c r="C941" s="1" t="s">
        <v>1865</v>
      </c>
      <c r="D941" s="1" t="s">
        <v>71</v>
      </c>
    </row>
    <row r="942" spans="1:4">
      <c r="A942">
        <v>2508</v>
      </c>
      <c r="B942" s="1" t="s">
        <v>862</v>
      </c>
      <c r="C942" s="1" t="s">
        <v>4726</v>
      </c>
      <c r="D942" s="1" t="s">
        <v>71</v>
      </c>
    </row>
    <row r="943" spans="1:4">
      <c r="A943">
        <v>2509</v>
      </c>
      <c r="B943" s="1" t="s">
        <v>863</v>
      </c>
      <c r="C943" s="1" t="s">
        <v>4727</v>
      </c>
      <c r="D943" s="1" t="s">
        <v>71</v>
      </c>
    </row>
    <row r="944" spans="1:4">
      <c r="A944">
        <v>2510</v>
      </c>
      <c r="B944" s="1" t="s">
        <v>864</v>
      </c>
      <c r="C944" s="1" t="s">
        <v>4728</v>
      </c>
      <c r="D944" s="1" t="s">
        <v>71</v>
      </c>
    </row>
    <row r="945" spans="1:4">
      <c r="A945">
        <v>2511</v>
      </c>
      <c r="B945" s="1" t="s">
        <v>1752</v>
      </c>
      <c r="C945" s="21" t="s">
        <v>4729</v>
      </c>
      <c r="D945" s="1" t="s">
        <v>71</v>
      </c>
    </row>
    <row r="946" spans="1:4">
      <c r="A946">
        <v>2512</v>
      </c>
      <c r="B946" s="1" t="s">
        <v>866</v>
      </c>
      <c r="C946" s="1" t="s">
        <v>4730</v>
      </c>
      <c r="D946" s="1" t="s">
        <v>71</v>
      </c>
    </row>
    <row r="947" spans="1:4">
      <c r="A947">
        <v>2513</v>
      </c>
      <c r="B947" s="1" t="s">
        <v>867</v>
      </c>
      <c r="C947" s="1" t="s">
        <v>2037</v>
      </c>
      <c r="D947" s="1" t="s">
        <v>71</v>
      </c>
    </row>
    <row r="948" spans="1:4">
      <c r="A948">
        <v>2514</v>
      </c>
      <c r="B948" s="1" t="s">
        <v>868</v>
      </c>
      <c r="C948" s="1" t="s">
        <v>2038</v>
      </c>
      <c r="D948" s="1" t="s">
        <v>71</v>
      </c>
    </row>
    <row r="949" spans="1:4">
      <c r="A949">
        <v>2515</v>
      </c>
      <c r="B949" s="1" t="s">
        <v>869</v>
      </c>
      <c r="C949" s="1" t="s">
        <v>4731</v>
      </c>
      <c r="D949" s="1" t="s">
        <v>71</v>
      </c>
    </row>
    <row r="950" spans="1:4">
      <c r="A950">
        <v>2516</v>
      </c>
      <c r="B950" s="1" t="s">
        <v>870</v>
      </c>
      <c r="C950" s="1" t="s">
        <v>2039</v>
      </c>
      <c r="D950" s="1" t="s">
        <v>71</v>
      </c>
    </row>
    <row r="951" spans="1:4">
      <c r="A951">
        <v>2517</v>
      </c>
      <c r="B951" s="1" t="s">
        <v>871</v>
      </c>
      <c r="C951" s="1" t="s">
        <v>4732</v>
      </c>
      <c r="D951" s="1" t="s">
        <v>71</v>
      </c>
    </row>
    <row r="952" spans="1:4">
      <c r="A952">
        <v>2518</v>
      </c>
      <c r="B952" s="1" t="s">
        <v>872</v>
      </c>
      <c r="C952" s="1" t="s">
        <v>2040</v>
      </c>
      <c r="D952" s="1" t="s">
        <v>71</v>
      </c>
    </row>
    <row r="953" spans="1:4">
      <c r="A953">
        <v>2519</v>
      </c>
      <c r="B953" s="1" t="s">
        <v>873</v>
      </c>
      <c r="C953" s="1" t="s">
        <v>2041</v>
      </c>
      <c r="D953" s="1" t="s">
        <v>71</v>
      </c>
    </row>
    <row r="954" spans="1:4">
      <c r="A954">
        <v>2520</v>
      </c>
      <c r="B954" s="1" t="s">
        <v>874</v>
      </c>
      <c r="C954" s="1" t="s">
        <v>2042</v>
      </c>
      <c r="D954" s="1" t="s">
        <v>71</v>
      </c>
    </row>
    <row r="955" spans="1:4">
      <c r="A955">
        <v>2521</v>
      </c>
      <c r="B955" s="1" t="s">
        <v>875</v>
      </c>
      <c r="C955" s="1" t="s">
        <v>2043</v>
      </c>
      <c r="D955" s="1" t="s">
        <v>71</v>
      </c>
    </row>
    <row r="956" spans="1:4">
      <c r="A956">
        <v>2522</v>
      </c>
      <c r="B956" s="1" t="s">
        <v>876</v>
      </c>
      <c r="C956" s="1" t="s">
        <v>2044</v>
      </c>
      <c r="D956" s="1" t="s">
        <v>71</v>
      </c>
    </row>
    <row r="957" spans="1:4">
      <c r="A957">
        <v>2523</v>
      </c>
      <c r="B957" s="1" t="s">
        <v>877</v>
      </c>
      <c r="C957" s="1" t="s">
        <v>2045</v>
      </c>
      <c r="D957" s="1" t="s">
        <v>71</v>
      </c>
    </row>
    <row r="958" spans="1:4">
      <c r="A958">
        <v>2524</v>
      </c>
      <c r="B958" s="1" t="s">
        <v>878</v>
      </c>
      <c r="C958" s="1" t="s">
        <v>2046</v>
      </c>
      <c r="D958" s="1" t="s">
        <v>71</v>
      </c>
    </row>
    <row r="959" spans="1:4">
      <c r="A959">
        <v>2525</v>
      </c>
      <c r="B959" s="1" t="s">
        <v>879</v>
      </c>
      <c r="C959" s="1" t="s">
        <v>2047</v>
      </c>
      <c r="D959" s="1" t="s">
        <v>71</v>
      </c>
    </row>
    <row r="960" spans="1:4">
      <c r="A960">
        <v>2526</v>
      </c>
      <c r="B960" s="1" t="s">
        <v>689</v>
      </c>
      <c r="C960" s="1" t="s">
        <v>1767</v>
      </c>
      <c r="D960" s="1" t="s">
        <v>71</v>
      </c>
    </row>
    <row r="961" spans="1:4">
      <c r="A961">
        <v>2527</v>
      </c>
      <c r="B961" s="1" t="s">
        <v>690</v>
      </c>
      <c r="C961" s="1" t="s">
        <v>1768</v>
      </c>
      <c r="D961" s="1" t="s">
        <v>71</v>
      </c>
    </row>
    <row r="962" spans="1:4">
      <c r="A962">
        <v>2528</v>
      </c>
      <c r="B962" s="1" t="s">
        <v>691</v>
      </c>
      <c r="C962" s="1" t="s">
        <v>2576</v>
      </c>
      <c r="D962" s="1" t="s">
        <v>71</v>
      </c>
    </row>
    <row r="963" spans="1:4">
      <c r="A963">
        <v>2529</v>
      </c>
      <c r="B963" s="1" t="s">
        <v>692</v>
      </c>
      <c r="C963" s="1" t="s">
        <v>1769</v>
      </c>
      <c r="D963" s="1" t="s">
        <v>71</v>
      </c>
    </row>
    <row r="964" spans="1:4">
      <c r="A964">
        <v>2530</v>
      </c>
      <c r="B964" s="1" t="s">
        <v>880</v>
      </c>
      <c r="C964" s="1" t="s">
        <v>2462</v>
      </c>
      <c r="D964" s="1" t="s">
        <v>71</v>
      </c>
    </row>
    <row r="965" spans="1:4">
      <c r="A965">
        <v>2531</v>
      </c>
      <c r="B965" s="1" t="s">
        <v>881</v>
      </c>
      <c r="C965" s="1" t="s">
        <v>2048</v>
      </c>
      <c r="D965" s="1" t="s">
        <v>71</v>
      </c>
    </row>
    <row r="966" spans="1:4">
      <c r="A966">
        <v>2532</v>
      </c>
      <c r="B966" s="1" t="s">
        <v>882</v>
      </c>
      <c r="C966" s="1" t="s">
        <v>2049</v>
      </c>
      <c r="D966" s="1" t="s">
        <v>71</v>
      </c>
    </row>
    <row r="967" spans="1:4">
      <c r="A967">
        <v>2533</v>
      </c>
      <c r="B967" s="1" t="s">
        <v>883</v>
      </c>
      <c r="C967" s="1" t="s">
        <v>2050</v>
      </c>
      <c r="D967" s="1" t="s">
        <v>71</v>
      </c>
    </row>
    <row r="968" spans="1:4">
      <c r="A968">
        <v>2534</v>
      </c>
      <c r="B968" s="1" t="s">
        <v>884</v>
      </c>
      <c r="C968" s="1" t="s">
        <v>2051</v>
      </c>
      <c r="D968" s="1" t="s">
        <v>71</v>
      </c>
    </row>
    <row r="969" spans="1:4">
      <c r="A969">
        <v>2535</v>
      </c>
      <c r="B969" s="1" t="s">
        <v>885</v>
      </c>
      <c r="C969" s="1" t="s">
        <v>2052</v>
      </c>
      <c r="D969" s="1" t="s">
        <v>71</v>
      </c>
    </row>
    <row r="970" spans="1:4">
      <c r="A970">
        <v>2536</v>
      </c>
      <c r="B970" s="1" t="s">
        <v>886</v>
      </c>
      <c r="C970" s="1" t="s">
        <v>2053</v>
      </c>
      <c r="D970" s="1" t="s">
        <v>71</v>
      </c>
    </row>
    <row r="971" spans="1:4">
      <c r="A971">
        <v>2537</v>
      </c>
      <c r="B971" s="1" t="s">
        <v>887</v>
      </c>
      <c r="C971" s="1" t="s">
        <v>2054</v>
      </c>
      <c r="D971" s="1" t="s">
        <v>71</v>
      </c>
    </row>
    <row r="972" spans="1:4">
      <c r="A972">
        <v>2538</v>
      </c>
      <c r="B972" s="1" t="s">
        <v>888</v>
      </c>
      <c r="C972" s="1" t="s">
        <v>2055</v>
      </c>
      <c r="D972" s="1" t="s">
        <v>71</v>
      </c>
    </row>
    <row r="973" spans="1:4">
      <c r="A973">
        <v>2539</v>
      </c>
      <c r="B973" s="1" t="s">
        <v>889</v>
      </c>
      <c r="C973" s="1" t="s">
        <v>2056</v>
      </c>
      <c r="D973" s="1" t="s">
        <v>71</v>
      </c>
    </row>
    <row r="974" spans="1:4">
      <c r="A974">
        <v>2540</v>
      </c>
      <c r="B974" s="1" t="s">
        <v>890</v>
      </c>
      <c r="C974" s="1" t="s">
        <v>1866</v>
      </c>
      <c r="D974" s="1" t="s">
        <v>71</v>
      </c>
    </row>
    <row r="975" spans="1:4">
      <c r="A975">
        <v>2541</v>
      </c>
      <c r="B975" s="1" t="s">
        <v>891</v>
      </c>
      <c r="C975" s="1" t="s">
        <v>2057</v>
      </c>
      <c r="D975" s="1" t="s">
        <v>71</v>
      </c>
    </row>
    <row r="976" spans="1:4">
      <c r="A976">
        <v>2542</v>
      </c>
      <c r="B976" s="1" t="s">
        <v>892</v>
      </c>
      <c r="C976" s="1" t="s">
        <v>2058</v>
      </c>
      <c r="D976" s="1" t="s">
        <v>71</v>
      </c>
    </row>
    <row r="977" spans="1:4">
      <c r="A977">
        <v>2543</v>
      </c>
      <c r="B977" s="1" t="s">
        <v>893</v>
      </c>
      <c r="C977" s="1" t="s">
        <v>2059</v>
      </c>
      <c r="D977" s="1" t="s">
        <v>71</v>
      </c>
    </row>
    <row r="978" spans="1:4">
      <c r="A978">
        <v>2544</v>
      </c>
      <c r="B978" s="1" t="s">
        <v>894</v>
      </c>
      <c r="C978" s="1" t="s">
        <v>2060</v>
      </c>
      <c r="D978" s="1" t="s">
        <v>71</v>
      </c>
    </row>
    <row r="979" spans="1:4">
      <c r="A979">
        <v>2545</v>
      </c>
      <c r="B979" s="1" t="s">
        <v>895</v>
      </c>
      <c r="C979" s="1" t="s">
        <v>2061</v>
      </c>
      <c r="D979" s="1" t="s">
        <v>71</v>
      </c>
    </row>
    <row r="980" spans="1:4">
      <c r="A980">
        <v>2546</v>
      </c>
      <c r="B980" s="1" t="s">
        <v>896</v>
      </c>
      <c r="C980" s="1" t="s">
        <v>2062</v>
      </c>
      <c r="D980" s="1" t="s">
        <v>71</v>
      </c>
    </row>
    <row r="981" spans="1:4">
      <c r="A981">
        <v>2547</v>
      </c>
      <c r="B981" s="1" t="s">
        <v>897</v>
      </c>
      <c r="C981" s="1" t="s">
        <v>2063</v>
      </c>
      <c r="D981" s="1" t="s">
        <v>71</v>
      </c>
    </row>
    <row r="982" spans="1:4">
      <c r="A982">
        <v>2548</v>
      </c>
      <c r="B982" s="1" t="s">
        <v>898</v>
      </c>
      <c r="C982" s="1" t="s">
        <v>2064</v>
      </c>
      <c r="D982" s="1" t="s">
        <v>71</v>
      </c>
    </row>
    <row r="983" spans="1:4">
      <c r="A983">
        <v>2549</v>
      </c>
      <c r="B983" s="1" t="s">
        <v>899</v>
      </c>
      <c r="C983" s="1" t="s">
        <v>2065</v>
      </c>
      <c r="D983" s="1" t="s">
        <v>71</v>
      </c>
    </row>
    <row r="984" spans="1:4">
      <c r="A984">
        <v>2550</v>
      </c>
      <c r="B984" s="1" t="s">
        <v>839</v>
      </c>
      <c r="C984" s="1" t="s">
        <v>1707</v>
      </c>
      <c r="D984" s="1" t="s">
        <v>71</v>
      </c>
    </row>
    <row r="985" spans="1:4">
      <c r="A985">
        <v>2551</v>
      </c>
      <c r="B985" s="1" t="s">
        <v>900</v>
      </c>
      <c r="C985" s="1" t="s">
        <v>2066</v>
      </c>
      <c r="D985" s="1" t="s">
        <v>71</v>
      </c>
    </row>
    <row r="986" spans="1:4">
      <c r="A986">
        <v>2552</v>
      </c>
      <c r="B986" s="1" t="s">
        <v>901</v>
      </c>
      <c r="C986" s="1" t="s">
        <v>2067</v>
      </c>
      <c r="D986" s="1" t="s">
        <v>71</v>
      </c>
    </row>
    <row r="987" spans="1:4">
      <c r="A987">
        <v>2553</v>
      </c>
      <c r="B987" s="1" t="s">
        <v>902</v>
      </c>
      <c r="C987" s="1" t="s">
        <v>2068</v>
      </c>
      <c r="D987" s="1" t="s">
        <v>71</v>
      </c>
    </row>
    <row r="988" spans="1:4">
      <c r="A988">
        <v>2554</v>
      </c>
      <c r="B988" s="1" t="s">
        <v>903</v>
      </c>
      <c r="C988" s="1" t="s">
        <v>2069</v>
      </c>
      <c r="D988" s="1" t="s">
        <v>71</v>
      </c>
    </row>
    <row r="989" spans="1:4">
      <c r="A989">
        <v>2555</v>
      </c>
      <c r="B989" s="1" t="s">
        <v>904</v>
      </c>
      <c r="C989" s="1" t="s">
        <v>2070</v>
      </c>
      <c r="D989" s="1" t="s">
        <v>71</v>
      </c>
    </row>
    <row r="990" spans="1:4">
      <c r="A990">
        <v>2556</v>
      </c>
      <c r="B990" s="1" t="s">
        <v>905</v>
      </c>
      <c r="C990" s="1" t="s">
        <v>2071</v>
      </c>
      <c r="D990" s="1" t="s">
        <v>71</v>
      </c>
    </row>
    <row r="991" spans="1:4">
      <c r="A991">
        <v>2557</v>
      </c>
      <c r="B991" s="1" t="s">
        <v>906</v>
      </c>
      <c r="C991" s="1" t="s">
        <v>2072</v>
      </c>
      <c r="D991" s="1" t="s">
        <v>71</v>
      </c>
    </row>
    <row r="992" spans="1:4">
      <c r="A992">
        <v>2558</v>
      </c>
      <c r="B992" s="1" t="s">
        <v>763</v>
      </c>
      <c r="C992" s="1" t="s">
        <v>1428</v>
      </c>
      <c r="D992" s="1" t="s">
        <v>71</v>
      </c>
    </row>
    <row r="993" spans="1:4">
      <c r="A993">
        <v>2559</v>
      </c>
      <c r="B993" s="1" t="s">
        <v>764</v>
      </c>
      <c r="C993" s="1" t="s">
        <v>1429</v>
      </c>
      <c r="D993" s="1" t="s">
        <v>71</v>
      </c>
    </row>
    <row r="994" spans="1:4">
      <c r="A994">
        <v>2560</v>
      </c>
      <c r="B994" s="1" t="s">
        <v>907</v>
      </c>
      <c r="C994" s="1" t="s">
        <v>2073</v>
      </c>
      <c r="D994" s="1" t="s">
        <v>71</v>
      </c>
    </row>
    <row r="995" spans="1:4">
      <c r="A995">
        <v>2561</v>
      </c>
      <c r="B995" s="1" t="s">
        <v>908</v>
      </c>
      <c r="C995" s="1" t="s">
        <v>2074</v>
      </c>
      <c r="D995" s="1" t="s">
        <v>71</v>
      </c>
    </row>
    <row r="996" spans="1:4">
      <c r="A996">
        <v>2562</v>
      </c>
      <c r="B996" s="1" t="s">
        <v>766</v>
      </c>
      <c r="C996" s="1" t="s">
        <v>1431</v>
      </c>
      <c r="D996" s="1" t="s">
        <v>71</v>
      </c>
    </row>
    <row r="997" spans="1:4">
      <c r="A997">
        <v>2563</v>
      </c>
      <c r="B997" s="1" t="s">
        <v>909</v>
      </c>
      <c r="C997" s="1" t="s">
        <v>909</v>
      </c>
      <c r="D997" s="1" t="s">
        <v>71</v>
      </c>
    </row>
    <row r="998" spans="1:4">
      <c r="A998">
        <v>2564</v>
      </c>
      <c r="B998" s="1" t="s">
        <v>910</v>
      </c>
      <c r="C998" s="1" t="s">
        <v>1268</v>
      </c>
      <c r="D998" s="1" t="s">
        <v>71</v>
      </c>
    </row>
    <row r="999" spans="1:4">
      <c r="A999">
        <v>2565</v>
      </c>
      <c r="B999" s="1" t="s">
        <v>665</v>
      </c>
      <c r="C999" s="1" t="s">
        <v>1269</v>
      </c>
      <c r="D999" s="1" t="s">
        <v>71</v>
      </c>
    </row>
    <row r="1000" spans="1:4">
      <c r="A1000">
        <v>2566</v>
      </c>
      <c r="B1000" s="1" t="s">
        <v>911</v>
      </c>
      <c r="C1000" s="1" t="s">
        <v>2075</v>
      </c>
      <c r="D1000" s="1" t="s">
        <v>71</v>
      </c>
    </row>
    <row r="1001" spans="1:4">
      <c r="A1001">
        <v>2567</v>
      </c>
      <c r="B1001" s="1" t="s">
        <v>912</v>
      </c>
      <c r="C1001" s="1" t="s">
        <v>2076</v>
      </c>
      <c r="D1001" s="1" t="s">
        <v>71</v>
      </c>
    </row>
    <row r="1002" spans="1:4">
      <c r="A1002">
        <v>2568</v>
      </c>
      <c r="B1002" s="1" t="s">
        <v>913</v>
      </c>
      <c r="C1002" s="1" t="s">
        <v>2077</v>
      </c>
      <c r="D1002" s="1" t="s">
        <v>71</v>
      </c>
    </row>
    <row r="1003" spans="1:4">
      <c r="A1003">
        <v>2569</v>
      </c>
      <c r="B1003" s="1" t="s">
        <v>914</v>
      </c>
      <c r="C1003" s="1" t="s">
        <v>2078</v>
      </c>
      <c r="D1003" s="1" t="s">
        <v>71</v>
      </c>
    </row>
    <row r="1004" spans="1:4">
      <c r="A1004">
        <v>2570</v>
      </c>
      <c r="B1004" s="1" t="s">
        <v>915</v>
      </c>
      <c r="C1004" s="1" t="s">
        <v>2079</v>
      </c>
      <c r="D1004" s="1" t="s">
        <v>71</v>
      </c>
    </row>
    <row r="1005" spans="1:4">
      <c r="A1005">
        <v>2571</v>
      </c>
      <c r="B1005" s="1" t="s">
        <v>916</v>
      </c>
      <c r="C1005" s="1" t="s">
        <v>2080</v>
      </c>
      <c r="D1005" s="1" t="s">
        <v>71</v>
      </c>
    </row>
    <row r="1006" spans="1:4">
      <c r="A1006">
        <v>2572</v>
      </c>
      <c r="B1006" s="1" t="s">
        <v>917</v>
      </c>
      <c r="C1006" s="1" t="s">
        <v>2081</v>
      </c>
      <c r="D1006" s="1" t="s">
        <v>71</v>
      </c>
    </row>
    <row r="1007" spans="1:4">
      <c r="A1007">
        <v>2573</v>
      </c>
      <c r="B1007" s="1" t="s">
        <v>918</v>
      </c>
      <c r="C1007" s="1" t="s">
        <v>2082</v>
      </c>
      <c r="D1007" s="1" t="s">
        <v>71</v>
      </c>
    </row>
    <row r="1008" spans="1:4">
      <c r="A1008">
        <v>2574</v>
      </c>
      <c r="B1008" s="1" t="s">
        <v>919</v>
      </c>
      <c r="C1008" s="1" t="s">
        <v>2083</v>
      </c>
      <c r="D1008" s="1" t="s">
        <v>71</v>
      </c>
    </row>
    <row r="1009" spans="1:4">
      <c r="A1009">
        <v>2575</v>
      </c>
      <c r="B1009" s="1" t="s">
        <v>201</v>
      </c>
      <c r="C1009" s="1" t="s">
        <v>1499</v>
      </c>
      <c r="D1009" s="1" t="s">
        <v>71</v>
      </c>
    </row>
    <row r="1010" spans="1:4">
      <c r="A1010">
        <v>2576</v>
      </c>
      <c r="B1010" s="1" t="s">
        <v>202</v>
      </c>
      <c r="C1010" s="1" t="s">
        <v>1726</v>
      </c>
      <c r="D1010" s="1" t="s">
        <v>71</v>
      </c>
    </row>
    <row r="1011" spans="1:4">
      <c r="A1011">
        <v>2577</v>
      </c>
      <c r="B1011" s="1" t="s">
        <v>203</v>
      </c>
      <c r="C1011" s="1" t="s">
        <v>1727</v>
      </c>
      <c r="D1011" s="1" t="s">
        <v>71</v>
      </c>
    </row>
    <row r="1012" spans="1:4">
      <c r="A1012">
        <v>2578</v>
      </c>
      <c r="B1012" s="1" t="s">
        <v>204</v>
      </c>
      <c r="C1012" s="1" t="s">
        <v>1728</v>
      </c>
      <c r="D1012" s="1" t="s">
        <v>71</v>
      </c>
    </row>
    <row r="1013" spans="1:4">
      <c r="A1013">
        <v>2579</v>
      </c>
      <c r="B1013" s="1" t="s">
        <v>205</v>
      </c>
      <c r="C1013" s="1" t="s">
        <v>1729</v>
      </c>
      <c r="D1013" s="1" t="s">
        <v>71</v>
      </c>
    </row>
    <row r="1014" spans="1:4">
      <c r="A1014">
        <v>2580</v>
      </c>
      <c r="B1014" s="1" t="s">
        <v>206</v>
      </c>
      <c r="C1014" s="1" t="s">
        <v>1730</v>
      </c>
      <c r="D1014" s="1" t="s">
        <v>71</v>
      </c>
    </row>
    <row r="1015" spans="1:4">
      <c r="A1015">
        <v>2581</v>
      </c>
      <c r="B1015" s="1" t="s">
        <v>207</v>
      </c>
      <c r="C1015" s="1" t="s">
        <v>1731</v>
      </c>
      <c r="D1015" s="1" t="s">
        <v>71</v>
      </c>
    </row>
    <row r="1016" spans="1:4">
      <c r="A1016">
        <v>2582</v>
      </c>
      <c r="B1016" s="1" t="s">
        <v>208</v>
      </c>
      <c r="C1016" s="1" t="s">
        <v>1732</v>
      </c>
      <c r="D1016" s="1" t="s">
        <v>71</v>
      </c>
    </row>
    <row r="1017" spans="1:4">
      <c r="A1017">
        <v>2583</v>
      </c>
      <c r="B1017" s="1" t="s">
        <v>209</v>
      </c>
      <c r="C1017" s="1" t="s">
        <v>1733</v>
      </c>
      <c r="D1017" s="1" t="s">
        <v>71</v>
      </c>
    </row>
    <row r="1018" spans="1:4">
      <c r="A1018">
        <v>2584</v>
      </c>
      <c r="B1018" s="1" t="s">
        <v>210</v>
      </c>
      <c r="C1018" s="1" t="s">
        <v>1734</v>
      </c>
      <c r="D1018" s="1" t="s">
        <v>71</v>
      </c>
    </row>
    <row r="1019" spans="1:4">
      <c r="A1019">
        <v>2585</v>
      </c>
      <c r="B1019" s="1" t="s">
        <v>211</v>
      </c>
      <c r="C1019" s="1" t="s">
        <v>1735</v>
      </c>
      <c r="D1019" s="1" t="s">
        <v>71</v>
      </c>
    </row>
    <row r="1020" spans="1:4">
      <c r="A1020">
        <v>2586</v>
      </c>
      <c r="B1020" s="1" t="s">
        <v>212</v>
      </c>
      <c r="C1020" s="1" t="s">
        <v>1736</v>
      </c>
      <c r="D1020" s="1" t="s">
        <v>71</v>
      </c>
    </row>
    <row r="1021" spans="1:4">
      <c r="A1021">
        <v>2587</v>
      </c>
      <c r="B1021" s="1" t="s">
        <v>213</v>
      </c>
      <c r="C1021" s="1" t="s">
        <v>1737</v>
      </c>
      <c r="D1021" s="1" t="s">
        <v>71</v>
      </c>
    </row>
    <row r="1022" spans="1:4">
      <c r="A1022">
        <v>2588</v>
      </c>
      <c r="B1022" s="1" t="s">
        <v>920</v>
      </c>
      <c r="C1022" s="1" t="s">
        <v>2084</v>
      </c>
      <c r="D1022" s="1" t="s">
        <v>71</v>
      </c>
    </row>
    <row r="1023" spans="1:4">
      <c r="A1023">
        <v>2589</v>
      </c>
      <c r="B1023" s="1" t="s">
        <v>921</v>
      </c>
      <c r="C1023" s="1" t="s">
        <v>2085</v>
      </c>
      <c r="D1023" s="1" t="s">
        <v>71</v>
      </c>
    </row>
    <row r="1024" spans="1:4">
      <c r="A1024">
        <v>2590</v>
      </c>
      <c r="B1024" s="1" t="s">
        <v>922</v>
      </c>
      <c r="C1024" s="1" t="s">
        <v>2086</v>
      </c>
      <c r="D1024" s="1" t="s">
        <v>71</v>
      </c>
    </row>
    <row r="1025" spans="1:4">
      <c r="A1025">
        <v>2591</v>
      </c>
      <c r="B1025" s="1" t="s">
        <v>923</v>
      </c>
      <c r="C1025" s="1" t="s">
        <v>1522</v>
      </c>
      <c r="D1025" s="1" t="s">
        <v>71</v>
      </c>
    </row>
    <row r="1026" spans="1:4">
      <c r="A1026">
        <v>2592</v>
      </c>
      <c r="B1026" s="1" t="s">
        <v>924</v>
      </c>
      <c r="C1026" s="1" t="s">
        <v>2463</v>
      </c>
      <c r="D1026" s="1" t="s">
        <v>71</v>
      </c>
    </row>
    <row r="1027" spans="1:4">
      <c r="A1027">
        <v>2593</v>
      </c>
      <c r="B1027" s="1" t="s">
        <v>925</v>
      </c>
      <c r="C1027" s="1" t="s">
        <v>2087</v>
      </c>
      <c r="D1027" s="1" t="s">
        <v>71</v>
      </c>
    </row>
    <row r="1028" spans="1:4">
      <c r="A1028">
        <v>2594</v>
      </c>
      <c r="B1028" s="1" t="s">
        <v>926</v>
      </c>
      <c r="C1028" s="1" t="s">
        <v>2088</v>
      </c>
      <c r="D1028" s="1" t="s">
        <v>71</v>
      </c>
    </row>
    <row r="1029" spans="1:4">
      <c r="A1029">
        <v>2595</v>
      </c>
      <c r="B1029" s="1" t="s">
        <v>927</v>
      </c>
      <c r="C1029" s="1" t="s">
        <v>2089</v>
      </c>
      <c r="D1029" s="1" t="s">
        <v>71</v>
      </c>
    </row>
    <row r="1030" spans="1:4">
      <c r="A1030">
        <v>2596</v>
      </c>
      <c r="B1030" s="1" t="s">
        <v>928</v>
      </c>
      <c r="C1030" s="1" t="s">
        <v>1753</v>
      </c>
      <c r="D1030" s="1" t="s">
        <v>71</v>
      </c>
    </row>
    <row r="1031" spans="1:4">
      <c r="A1031">
        <v>2597</v>
      </c>
      <c r="B1031" s="1" t="s">
        <v>929</v>
      </c>
      <c r="C1031" s="1" t="s">
        <v>1717</v>
      </c>
      <c r="D1031" s="1" t="s">
        <v>71</v>
      </c>
    </row>
    <row r="1032" spans="1:4">
      <c r="A1032">
        <v>2598</v>
      </c>
      <c r="B1032" s="1" t="s">
        <v>930</v>
      </c>
      <c r="C1032" s="1" t="s">
        <v>1718</v>
      </c>
      <c r="D1032" s="1" t="s">
        <v>71</v>
      </c>
    </row>
    <row r="1033" spans="1:4">
      <c r="A1033">
        <v>2599</v>
      </c>
      <c r="B1033" s="1" t="s">
        <v>931</v>
      </c>
      <c r="C1033" s="1" t="s">
        <v>1719</v>
      </c>
      <c r="D1033" s="1" t="s">
        <v>71</v>
      </c>
    </row>
    <row r="1034" spans="1:4">
      <c r="A1034">
        <v>2600</v>
      </c>
      <c r="B1034" s="1" t="s">
        <v>932</v>
      </c>
      <c r="C1034" s="1" t="s">
        <v>1720</v>
      </c>
      <c r="D1034" s="1" t="s">
        <v>71</v>
      </c>
    </row>
    <row r="1035" spans="1:4">
      <c r="A1035">
        <v>2601</v>
      </c>
      <c r="B1035" s="1" t="s">
        <v>933</v>
      </c>
      <c r="C1035" s="1" t="s">
        <v>1721</v>
      </c>
      <c r="D1035" s="1" t="s">
        <v>71</v>
      </c>
    </row>
    <row r="1036" spans="1:4">
      <c r="A1036">
        <v>2602</v>
      </c>
      <c r="B1036" s="1" t="s">
        <v>934</v>
      </c>
      <c r="C1036" s="1" t="s">
        <v>1722</v>
      </c>
      <c r="D1036" s="1" t="s">
        <v>71</v>
      </c>
    </row>
    <row r="1037" spans="1:4">
      <c r="A1037">
        <v>2603</v>
      </c>
      <c r="B1037" s="1" t="s">
        <v>935</v>
      </c>
      <c r="C1037" s="1" t="s">
        <v>1720</v>
      </c>
      <c r="D1037" s="1" t="s">
        <v>71</v>
      </c>
    </row>
    <row r="1038" spans="1:4">
      <c r="A1038">
        <v>2604</v>
      </c>
      <c r="B1038" s="1" t="s">
        <v>936</v>
      </c>
      <c r="C1038" s="1" t="s">
        <v>1723</v>
      </c>
      <c r="D1038" s="1" t="s">
        <v>71</v>
      </c>
    </row>
    <row r="1039" spans="1:4">
      <c r="A1039">
        <v>2605</v>
      </c>
      <c r="B1039" s="1" t="s">
        <v>937</v>
      </c>
      <c r="C1039" s="1" t="s">
        <v>1724</v>
      </c>
      <c r="D1039" s="1" t="s">
        <v>71</v>
      </c>
    </row>
    <row r="1040" spans="1:4">
      <c r="A1040">
        <v>3000</v>
      </c>
      <c r="B1040" s="1" t="s">
        <v>938</v>
      </c>
      <c r="C1040" s="1" t="s">
        <v>2474</v>
      </c>
      <c r="D1040" s="1" t="s">
        <v>1211</v>
      </c>
    </row>
    <row r="1041" spans="1:4">
      <c r="A1041">
        <v>3001</v>
      </c>
      <c r="B1041" s="1" t="s">
        <v>939</v>
      </c>
      <c r="C1041" s="1" t="s">
        <v>2475</v>
      </c>
      <c r="D1041" s="1" t="s">
        <v>1211</v>
      </c>
    </row>
    <row r="1042" spans="1:4">
      <c r="A1042">
        <v>3002</v>
      </c>
      <c r="B1042" s="1" t="s">
        <v>940</v>
      </c>
      <c r="C1042" s="1" t="s">
        <v>2476</v>
      </c>
      <c r="D1042" s="1" t="s">
        <v>1211</v>
      </c>
    </row>
    <row r="1043" spans="1:4">
      <c r="A1043">
        <v>3003</v>
      </c>
      <c r="B1043" s="1" t="s">
        <v>941</v>
      </c>
      <c r="C1043" s="1" t="s">
        <v>2477</v>
      </c>
      <c r="D1043" s="1" t="s">
        <v>1211</v>
      </c>
    </row>
    <row r="1044" spans="1:4">
      <c r="A1044">
        <v>3004</v>
      </c>
      <c r="B1044" s="1" t="s">
        <v>942</v>
      </c>
      <c r="C1044" s="1" t="s">
        <v>2478</v>
      </c>
      <c r="D1044" s="1" t="s">
        <v>1211</v>
      </c>
    </row>
    <row r="1045" spans="1:4">
      <c r="A1045">
        <v>3005</v>
      </c>
      <c r="B1045" s="1" t="s">
        <v>943</v>
      </c>
      <c r="C1045" s="1" t="s">
        <v>2479</v>
      </c>
      <c r="D1045" s="1" t="s">
        <v>1211</v>
      </c>
    </row>
    <row r="1046" spans="1:4">
      <c r="A1046">
        <v>3006</v>
      </c>
      <c r="B1046" s="1" t="s">
        <v>944</v>
      </c>
      <c r="C1046" s="1" t="s">
        <v>2480</v>
      </c>
      <c r="D1046" s="1" t="s">
        <v>1211</v>
      </c>
    </row>
    <row r="1047" spans="1:4">
      <c r="A1047">
        <v>3007</v>
      </c>
      <c r="B1047" s="1" t="s">
        <v>945</v>
      </c>
      <c r="C1047" s="1" t="s">
        <v>2481</v>
      </c>
      <c r="D1047" s="1" t="s">
        <v>1211</v>
      </c>
    </row>
    <row r="1048" spans="1:4">
      <c r="A1048">
        <v>3008</v>
      </c>
      <c r="B1048" s="1" t="s">
        <v>946</v>
      </c>
      <c r="C1048" s="1" t="s">
        <v>2482</v>
      </c>
      <c r="D1048" s="1" t="s">
        <v>1211</v>
      </c>
    </row>
    <row r="1049" spans="1:4">
      <c r="A1049">
        <v>3009</v>
      </c>
      <c r="B1049" s="1" t="s">
        <v>947</v>
      </c>
      <c r="C1049" s="1" t="s">
        <v>2483</v>
      </c>
      <c r="D1049" s="1" t="s">
        <v>1211</v>
      </c>
    </row>
    <row r="1050" spans="1:4">
      <c r="A1050">
        <v>3010</v>
      </c>
      <c r="B1050" s="1" t="s">
        <v>948</v>
      </c>
      <c r="C1050" s="1" t="s">
        <v>2484</v>
      </c>
      <c r="D1050" s="1" t="s">
        <v>1211</v>
      </c>
    </row>
    <row r="1051" spans="1:4">
      <c r="A1051">
        <v>3011</v>
      </c>
      <c r="B1051" s="1" t="s">
        <v>949</v>
      </c>
      <c r="C1051" s="1" t="s">
        <v>2485</v>
      </c>
      <c r="D1051" s="1" t="s">
        <v>1211</v>
      </c>
    </row>
    <row r="1052" spans="1:4">
      <c r="A1052">
        <v>3012</v>
      </c>
      <c r="B1052" s="1" t="s">
        <v>950</v>
      </c>
      <c r="C1052" s="1" t="s">
        <v>2486</v>
      </c>
      <c r="D1052" s="1" t="s">
        <v>1211</v>
      </c>
    </row>
    <row r="1053" spans="1:4">
      <c r="A1053">
        <v>3013</v>
      </c>
      <c r="B1053" s="1" t="s">
        <v>951</v>
      </c>
      <c r="C1053" s="1" t="s">
        <v>2487</v>
      </c>
      <c r="D1053" s="1" t="s">
        <v>1211</v>
      </c>
    </row>
    <row r="1054" spans="1:4">
      <c r="A1054">
        <v>3014</v>
      </c>
      <c r="B1054" s="1" t="s">
        <v>952</v>
      </c>
      <c r="C1054" s="1" t="s">
        <v>2488</v>
      </c>
      <c r="D1054" s="1" t="s">
        <v>1211</v>
      </c>
    </row>
    <row r="1055" spans="1:4">
      <c r="A1055">
        <v>3015</v>
      </c>
      <c r="B1055" s="1" t="s">
        <v>953</v>
      </c>
      <c r="C1055" s="1" t="s">
        <v>2464</v>
      </c>
      <c r="D1055" s="1" t="s">
        <v>1211</v>
      </c>
    </row>
    <row r="1056" spans="1:4">
      <c r="A1056">
        <v>3016</v>
      </c>
      <c r="B1056" s="1" t="s">
        <v>941</v>
      </c>
      <c r="C1056" s="1" t="s">
        <v>2489</v>
      </c>
      <c r="D1056" s="1" t="s">
        <v>1211</v>
      </c>
    </row>
    <row r="1057" spans="1:4">
      <c r="A1057">
        <v>3017</v>
      </c>
      <c r="B1057" s="1" t="s">
        <v>954</v>
      </c>
      <c r="C1057" s="1" t="s">
        <v>2464</v>
      </c>
      <c r="D1057" s="1" t="s">
        <v>1211</v>
      </c>
    </row>
    <row r="1058" spans="1:4">
      <c r="A1058">
        <v>3018</v>
      </c>
      <c r="B1058" s="1" t="s">
        <v>941</v>
      </c>
      <c r="C1058" s="1" t="s">
        <v>2490</v>
      </c>
      <c r="D1058" s="1" t="s">
        <v>1211</v>
      </c>
    </row>
    <row r="1059" spans="1:4">
      <c r="A1059">
        <v>3019</v>
      </c>
      <c r="B1059" s="1" t="s">
        <v>955</v>
      </c>
      <c r="C1059" s="1" t="s">
        <v>2464</v>
      </c>
      <c r="D1059" s="1" t="s">
        <v>1211</v>
      </c>
    </row>
    <row r="1060" spans="1:4">
      <c r="A1060">
        <v>3020</v>
      </c>
      <c r="B1060" s="1" t="s">
        <v>941</v>
      </c>
      <c r="C1060" s="1" t="s">
        <v>2491</v>
      </c>
      <c r="D1060" s="1" t="s">
        <v>1211</v>
      </c>
    </row>
    <row r="1061" spans="1:4">
      <c r="A1061">
        <v>3021</v>
      </c>
      <c r="B1061" s="1" t="s">
        <v>956</v>
      </c>
      <c r="C1061" s="1" t="s">
        <v>2492</v>
      </c>
      <c r="D1061" s="1" t="s">
        <v>1211</v>
      </c>
    </row>
    <row r="1062" spans="1:4">
      <c r="A1062">
        <v>3022</v>
      </c>
      <c r="B1062" s="1" t="s">
        <v>957</v>
      </c>
      <c r="C1062" s="1" t="s">
        <v>2464</v>
      </c>
      <c r="D1062" s="1" t="s">
        <v>1211</v>
      </c>
    </row>
    <row r="1063" spans="1:4">
      <c r="A1063">
        <v>3023</v>
      </c>
      <c r="B1063" s="1" t="s">
        <v>956</v>
      </c>
      <c r="C1063" s="1" t="s">
        <v>2493</v>
      </c>
      <c r="D1063" s="1" t="s">
        <v>1211</v>
      </c>
    </row>
    <row r="1064" spans="1:4">
      <c r="A1064">
        <v>3024</v>
      </c>
      <c r="B1064" s="1" t="s">
        <v>958</v>
      </c>
      <c r="C1064" s="1" t="s">
        <v>2464</v>
      </c>
      <c r="D1064" s="1" t="s">
        <v>1211</v>
      </c>
    </row>
    <row r="1065" spans="1:4">
      <c r="A1065">
        <v>3025</v>
      </c>
      <c r="B1065" s="1" t="s">
        <v>956</v>
      </c>
      <c r="C1065" s="1" t="s">
        <v>2494</v>
      </c>
      <c r="D1065" s="1" t="s">
        <v>1211</v>
      </c>
    </row>
    <row r="1066" spans="1:4">
      <c r="A1066">
        <v>3026</v>
      </c>
      <c r="B1066" s="1" t="s">
        <v>959</v>
      </c>
      <c r="C1066" s="1" t="s">
        <v>2495</v>
      </c>
      <c r="D1066" s="1" t="s">
        <v>1211</v>
      </c>
    </row>
    <row r="1067" spans="1:4">
      <c r="A1067">
        <v>3027</v>
      </c>
      <c r="B1067" s="1" t="s">
        <v>960</v>
      </c>
      <c r="C1067" s="1" t="s">
        <v>2464</v>
      </c>
      <c r="D1067" s="1" t="s">
        <v>1211</v>
      </c>
    </row>
    <row r="1068" spans="1:4">
      <c r="A1068">
        <v>3028</v>
      </c>
      <c r="B1068" s="1" t="s">
        <v>959</v>
      </c>
      <c r="C1068" s="1" t="s">
        <v>2496</v>
      </c>
      <c r="D1068" s="1" t="s">
        <v>1211</v>
      </c>
    </row>
    <row r="1069" spans="1:4">
      <c r="A1069">
        <v>3029</v>
      </c>
      <c r="B1069" s="1" t="s">
        <v>961</v>
      </c>
      <c r="C1069" s="1" t="s">
        <v>2497</v>
      </c>
      <c r="D1069" s="1" t="s">
        <v>1211</v>
      </c>
    </row>
    <row r="1070" spans="1:4">
      <c r="A1070">
        <v>3030</v>
      </c>
      <c r="B1070" s="1" t="s">
        <v>962</v>
      </c>
      <c r="C1070" s="1" t="s">
        <v>2498</v>
      </c>
      <c r="D1070" s="1" t="s">
        <v>1211</v>
      </c>
    </row>
    <row r="1071" spans="1:4">
      <c r="A1071">
        <v>3031</v>
      </c>
      <c r="B1071" s="1" t="s">
        <v>963</v>
      </c>
      <c r="C1071" s="1" t="s">
        <v>2499</v>
      </c>
      <c r="D1071" s="1" t="s">
        <v>1211</v>
      </c>
    </row>
    <row r="1072" spans="1:4">
      <c r="A1072">
        <v>3032</v>
      </c>
      <c r="B1072" s="1" t="s">
        <v>964</v>
      </c>
      <c r="C1072" s="1" t="s">
        <v>2500</v>
      </c>
      <c r="D1072" s="1" t="s">
        <v>1211</v>
      </c>
    </row>
    <row r="1073" spans="1:4">
      <c r="A1073">
        <v>3033</v>
      </c>
      <c r="B1073" s="1" t="s">
        <v>1046</v>
      </c>
      <c r="C1073" s="1" t="s">
        <v>2501</v>
      </c>
      <c r="D1073" s="1" t="s">
        <v>1211</v>
      </c>
    </row>
    <row r="1074" spans="1:4">
      <c r="A1074">
        <v>3034</v>
      </c>
      <c r="B1074" s="1" t="s">
        <v>965</v>
      </c>
      <c r="C1074" s="1" t="s">
        <v>2502</v>
      </c>
      <c r="D1074" s="1" t="s">
        <v>1211</v>
      </c>
    </row>
    <row r="1075" spans="1:4">
      <c r="A1075">
        <v>3035</v>
      </c>
      <c r="B1075" s="1" t="s">
        <v>966</v>
      </c>
      <c r="C1075" s="1" t="s">
        <v>2503</v>
      </c>
      <c r="D1075" s="1" t="s">
        <v>1211</v>
      </c>
    </row>
    <row r="1076" spans="1:4">
      <c r="A1076">
        <v>3036</v>
      </c>
      <c r="B1076" s="1" t="s">
        <v>967</v>
      </c>
      <c r="C1076" s="1" t="s">
        <v>2504</v>
      </c>
      <c r="D1076" s="1" t="s">
        <v>1211</v>
      </c>
    </row>
    <row r="1077" spans="1:4">
      <c r="A1077">
        <v>3037</v>
      </c>
      <c r="B1077" s="1" t="s">
        <v>968</v>
      </c>
      <c r="C1077" s="1" t="s">
        <v>2505</v>
      </c>
      <c r="D1077" s="1" t="s">
        <v>1211</v>
      </c>
    </row>
    <row r="1078" spans="1:4">
      <c r="A1078">
        <v>3038</v>
      </c>
      <c r="B1078" s="1" t="s">
        <v>969</v>
      </c>
      <c r="C1078" s="1" t="s">
        <v>2577</v>
      </c>
      <c r="D1078" s="1" t="s">
        <v>1211</v>
      </c>
    </row>
    <row r="1079" spans="1:4">
      <c r="A1079">
        <v>3039</v>
      </c>
      <c r="B1079" s="1" t="s">
        <v>970</v>
      </c>
      <c r="C1079" s="1" t="s">
        <v>2578</v>
      </c>
      <c r="D1079" s="1" t="s">
        <v>1211</v>
      </c>
    </row>
    <row r="1080" spans="1:4">
      <c r="A1080">
        <v>3040</v>
      </c>
      <c r="B1080" s="1" t="s">
        <v>971</v>
      </c>
      <c r="C1080" s="1" t="s">
        <v>2506</v>
      </c>
      <c r="D1080" s="1" t="s">
        <v>1211</v>
      </c>
    </row>
    <row r="1081" spans="1:4">
      <c r="A1081">
        <v>3041</v>
      </c>
      <c r="B1081" s="1" t="s">
        <v>957</v>
      </c>
      <c r="C1081" s="1" t="s">
        <v>2464</v>
      </c>
      <c r="D1081" s="1" t="s">
        <v>1211</v>
      </c>
    </row>
    <row r="1082" spans="1:4">
      <c r="A1082">
        <v>3042</v>
      </c>
      <c r="B1082" s="1" t="s">
        <v>971</v>
      </c>
      <c r="C1082" s="1" t="s">
        <v>2507</v>
      </c>
      <c r="D1082" s="1" t="s">
        <v>1211</v>
      </c>
    </row>
    <row r="1083" spans="1:4">
      <c r="A1083">
        <v>3043</v>
      </c>
      <c r="B1083" s="1" t="s">
        <v>958</v>
      </c>
      <c r="C1083" s="1" t="s">
        <v>2464</v>
      </c>
      <c r="D1083" s="1" t="s">
        <v>1211</v>
      </c>
    </row>
    <row r="1084" spans="1:4">
      <c r="A1084">
        <v>3044</v>
      </c>
      <c r="B1084" s="1" t="s">
        <v>971</v>
      </c>
      <c r="C1084" s="1" t="s">
        <v>2508</v>
      </c>
      <c r="D1084" s="1" t="s">
        <v>1211</v>
      </c>
    </row>
    <row r="1085" spans="1:4">
      <c r="A1085">
        <v>3045</v>
      </c>
      <c r="B1085" s="1" t="s">
        <v>972</v>
      </c>
      <c r="C1085" s="1" t="s">
        <v>2509</v>
      </c>
      <c r="D1085" s="1" t="s">
        <v>1211</v>
      </c>
    </row>
    <row r="1086" spans="1:4">
      <c r="A1086">
        <v>3046</v>
      </c>
      <c r="B1086" s="1" t="s">
        <v>973</v>
      </c>
      <c r="C1086" s="1" t="s">
        <v>2510</v>
      </c>
      <c r="D1086" s="1" t="s">
        <v>1211</v>
      </c>
    </row>
    <row r="1087" spans="1:4">
      <c r="A1087">
        <v>3047</v>
      </c>
      <c r="B1087" s="1" t="s">
        <v>974</v>
      </c>
      <c r="C1087" s="1" t="s">
        <v>2590</v>
      </c>
      <c r="D1087" s="1" t="s">
        <v>1211</v>
      </c>
    </row>
    <row r="1088" spans="1:4">
      <c r="A1088">
        <v>3048</v>
      </c>
      <c r="B1088" s="1" t="s">
        <v>975</v>
      </c>
      <c r="C1088" s="1" t="s">
        <v>2464</v>
      </c>
      <c r="D1088" s="1" t="s">
        <v>1211</v>
      </c>
    </row>
    <row r="1089" spans="1:4">
      <c r="A1089">
        <v>3049</v>
      </c>
      <c r="B1089" s="1" t="s">
        <v>974</v>
      </c>
      <c r="C1089" s="1" t="s">
        <v>2511</v>
      </c>
      <c r="D1089" s="1" t="s">
        <v>1211</v>
      </c>
    </row>
    <row r="1090" spans="1:4">
      <c r="A1090">
        <v>3050</v>
      </c>
      <c r="B1090" s="1" t="s">
        <v>976</v>
      </c>
      <c r="C1090" s="1" t="s">
        <v>2512</v>
      </c>
      <c r="D1090" s="1" t="s">
        <v>1211</v>
      </c>
    </row>
    <row r="1091" spans="1:4">
      <c r="A1091">
        <v>3051</v>
      </c>
      <c r="B1091" s="1" t="s">
        <v>977</v>
      </c>
      <c r="C1091" s="1" t="s">
        <v>2513</v>
      </c>
      <c r="D1091" s="1" t="s">
        <v>1211</v>
      </c>
    </row>
    <row r="1092" spans="1:4">
      <c r="A1092">
        <v>3052</v>
      </c>
      <c r="B1092" s="1" t="s">
        <v>978</v>
      </c>
      <c r="C1092" s="1" t="s">
        <v>2579</v>
      </c>
      <c r="D1092" s="1" t="s">
        <v>1211</v>
      </c>
    </row>
    <row r="1093" spans="1:4">
      <c r="A1093">
        <v>3053</v>
      </c>
      <c r="B1093" s="1" t="s">
        <v>975</v>
      </c>
      <c r="C1093" s="1" t="s">
        <v>2464</v>
      </c>
      <c r="D1093" s="1" t="s">
        <v>1211</v>
      </c>
    </row>
    <row r="1094" spans="1:4">
      <c r="A1094">
        <v>3054</v>
      </c>
      <c r="B1094" s="1" t="s">
        <v>978</v>
      </c>
      <c r="C1094" s="1" t="s">
        <v>2579</v>
      </c>
      <c r="D1094" s="1" t="s">
        <v>1211</v>
      </c>
    </row>
    <row r="1095" spans="1:4">
      <c r="A1095">
        <v>3055</v>
      </c>
      <c r="B1095" s="1" t="s">
        <v>979</v>
      </c>
      <c r="C1095" s="1" t="s">
        <v>2514</v>
      </c>
      <c r="D1095" s="1" t="s">
        <v>1211</v>
      </c>
    </row>
    <row r="1096" spans="1:4">
      <c r="A1096">
        <v>3056</v>
      </c>
      <c r="B1096" s="1" t="s">
        <v>980</v>
      </c>
      <c r="C1096" s="1" t="s">
        <v>2515</v>
      </c>
      <c r="D1096" s="1" t="s">
        <v>1211</v>
      </c>
    </row>
    <row r="1097" spans="1:4">
      <c r="A1097">
        <v>3057</v>
      </c>
      <c r="B1097" s="1" t="s">
        <v>981</v>
      </c>
      <c r="C1097" s="1" t="s">
        <v>2516</v>
      </c>
      <c r="D1097" s="1" t="s">
        <v>1211</v>
      </c>
    </row>
    <row r="1098" spans="1:4">
      <c r="A1098">
        <v>3058</v>
      </c>
      <c r="B1098" s="1" t="s">
        <v>982</v>
      </c>
      <c r="C1098" s="1" t="s">
        <v>2517</v>
      </c>
      <c r="D1098" s="1" t="s">
        <v>1211</v>
      </c>
    </row>
    <row r="1099" spans="1:4">
      <c r="A1099">
        <v>3059</v>
      </c>
      <c r="B1099" s="1" t="s">
        <v>983</v>
      </c>
      <c r="C1099" s="1" t="s">
        <v>2518</v>
      </c>
      <c r="D1099" s="1" t="s">
        <v>1211</v>
      </c>
    </row>
    <row r="1100" spans="1:4">
      <c r="A1100">
        <v>3060</v>
      </c>
      <c r="B1100" s="1" t="s">
        <v>957</v>
      </c>
      <c r="C1100" s="1" t="s">
        <v>2464</v>
      </c>
      <c r="D1100" s="1" t="s">
        <v>1211</v>
      </c>
    </row>
    <row r="1101" spans="1:4">
      <c r="A1101">
        <v>3061</v>
      </c>
      <c r="B1101" s="1" t="s">
        <v>983</v>
      </c>
      <c r="C1101" s="1" t="s">
        <v>2519</v>
      </c>
      <c r="D1101" s="1" t="s">
        <v>1211</v>
      </c>
    </row>
    <row r="1102" spans="1:4">
      <c r="A1102">
        <v>3062</v>
      </c>
      <c r="B1102" s="1" t="s">
        <v>958</v>
      </c>
      <c r="C1102" s="1" t="s">
        <v>2464</v>
      </c>
      <c r="D1102" s="1" t="s">
        <v>1211</v>
      </c>
    </row>
    <row r="1103" spans="1:4">
      <c r="A1103">
        <v>3063</v>
      </c>
      <c r="B1103" s="1" t="s">
        <v>983</v>
      </c>
      <c r="C1103" s="1" t="s">
        <v>2520</v>
      </c>
      <c r="D1103" s="1" t="s">
        <v>1211</v>
      </c>
    </row>
    <row r="1104" spans="1:4">
      <c r="A1104">
        <v>3064</v>
      </c>
      <c r="B1104" s="1" t="s">
        <v>984</v>
      </c>
      <c r="C1104" s="1" t="s">
        <v>2521</v>
      </c>
      <c r="D1104" s="1" t="s">
        <v>1211</v>
      </c>
    </row>
    <row r="1105" spans="1:4">
      <c r="A1105">
        <v>3065</v>
      </c>
      <c r="B1105" s="1" t="s">
        <v>985</v>
      </c>
      <c r="C1105" s="1" t="s">
        <v>2522</v>
      </c>
      <c r="D1105" s="1" t="s">
        <v>1211</v>
      </c>
    </row>
    <row r="1106" spans="1:4">
      <c r="A1106">
        <v>3066</v>
      </c>
      <c r="B1106" s="1" t="s">
        <v>986</v>
      </c>
      <c r="C1106" s="1" t="s">
        <v>2523</v>
      </c>
      <c r="D1106" s="1" t="s">
        <v>1211</v>
      </c>
    </row>
    <row r="1107" spans="1:4">
      <c r="A1107">
        <v>3067</v>
      </c>
      <c r="B1107" s="1" t="s">
        <v>987</v>
      </c>
      <c r="C1107" s="1" t="s">
        <v>2464</v>
      </c>
      <c r="D1107" s="1" t="s">
        <v>1211</v>
      </c>
    </row>
    <row r="1108" spans="1:4">
      <c r="A1108">
        <v>3068</v>
      </c>
      <c r="B1108" s="1" t="s">
        <v>947</v>
      </c>
      <c r="C1108" s="1" t="s">
        <v>2524</v>
      </c>
      <c r="D1108" s="1" t="s">
        <v>1211</v>
      </c>
    </row>
    <row r="1109" spans="1:4">
      <c r="A1109">
        <v>3069</v>
      </c>
      <c r="B1109" s="1" t="s">
        <v>988</v>
      </c>
      <c r="C1109" s="1" t="s">
        <v>2464</v>
      </c>
      <c r="D1109" s="1" t="s">
        <v>1211</v>
      </c>
    </row>
    <row r="1110" spans="1:4">
      <c r="A1110">
        <v>3070</v>
      </c>
      <c r="B1110" s="1" t="s">
        <v>947</v>
      </c>
      <c r="C1110" s="1" t="s">
        <v>2525</v>
      </c>
      <c r="D1110" s="1" t="s">
        <v>1211</v>
      </c>
    </row>
    <row r="1111" spans="1:4">
      <c r="A1111">
        <v>3071</v>
      </c>
      <c r="B1111" s="1" t="s">
        <v>989</v>
      </c>
      <c r="C1111" s="1" t="s">
        <v>2526</v>
      </c>
      <c r="D1111" s="1" t="s">
        <v>1211</v>
      </c>
    </row>
    <row r="1112" spans="1:4">
      <c r="A1112">
        <v>3072</v>
      </c>
      <c r="B1112" s="1" t="s">
        <v>990</v>
      </c>
      <c r="C1112" s="1" t="s">
        <v>2527</v>
      </c>
      <c r="D1112" s="1" t="s">
        <v>1211</v>
      </c>
    </row>
    <row r="1113" spans="1:4">
      <c r="A1113">
        <v>3073</v>
      </c>
      <c r="B1113" s="1" t="s">
        <v>991</v>
      </c>
      <c r="C1113" s="1" t="s">
        <v>2464</v>
      </c>
      <c r="D1113" s="1" t="s">
        <v>1211</v>
      </c>
    </row>
    <row r="1114" spans="1:4">
      <c r="A1114">
        <v>3074</v>
      </c>
      <c r="B1114" s="1" t="s">
        <v>992</v>
      </c>
      <c r="C1114" s="1" t="s">
        <v>2528</v>
      </c>
      <c r="D1114" s="1" t="s">
        <v>1211</v>
      </c>
    </row>
    <row r="1115" spans="1:4">
      <c r="A1115">
        <v>3075</v>
      </c>
      <c r="B1115" s="1" t="s">
        <v>992</v>
      </c>
      <c r="C1115" s="1" t="s">
        <v>2529</v>
      </c>
      <c r="D1115" s="1" t="s">
        <v>1211</v>
      </c>
    </row>
    <row r="1116" spans="1:4">
      <c r="A1116">
        <v>3076</v>
      </c>
      <c r="B1116" s="1" t="s">
        <v>993</v>
      </c>
      <c r="C1116" s="1" t="s">
        <v>2530</v>
      </c>
      <c r="D1116" s="1" t="s">
        <v>1211</v>
      </c>
    </row>
    <row r="1117" spans="1:4">
      <c r="A1117">
        <v>3077</v>
      </c>
      <c r="B1117" s="1" t="s">
        <v>974</v>
      </c>
      <c r="C1117" s="1" t="s">
        <v>2464</v>
      </c>
      <c r="D1117" s="1" t="s">
        <v>1211</v>
      </c>
    </row>
    <row r="1118" spans="1:4">
      <c r="A1118">
        <v>3078</v>
      </c>
      <c r="B1118" s="1" t="s">
        <v>994</v>
      </c>
      <c r="C1118" s="1" t="s">
        <v>2591</v>
      </c>
      <c r="D1118" s="1" t="s">
        <v>1211</v>
      </c>
    </row>
    <row r="1119" spans="1:4">
      <c r="A1119">
        <v>3079</v>
      </c>
      <c r="B1119" s="1" t="s">
        <v>995</v>
      </c>
      <c r="C1119" s="1" t="s">
        <v>2532</v>
      </c>
      <c r="D1119" s="1" t="s">
        <v>1211</v>
      </c>
    </row>
    <row r="1120" spans="1:4">
      <c r="A1120">
        <v>3080</v>
      </c>
      <c r="B1120" s="1" t="s">
        <v>974</v>
      </c>
      <c r="C1120" s="1" t="s">
        <v>2464</v>
      </c>
      <c r="D1120" s="1" t="s">
        <v>1211</v>
      </c>
    </row>
    <row r="1121" spans="1:4">
      <c r="A1121">
        <v>3081</v>
      </c>
      <c r="B1121" s="1" t="s">
        <v>996</v>
      </c>
      <c r="C1121" s="1" t="s">
        <v>2533</v>
      </c>
      <c r="D1121" s="1" t="s">
        <v>1211</v>
      </c>
    </row>
    <row r="1122" spans="1:4">
      <c r="A1122">
        <v>3082</v>
      </c>
      <c r="B1122" s="1" t="s">
        <v>997</v>
      </c>
      <c r="C1122" s="1" t="s">
        <v>2534</v>
      </c>
      <c r="D1122" s="1" t="s">
        <v>1211</v>
      </c>
    </row>
    <row r="1123" spans="1:4">
      <c r="A1123">
        <v>3083</v>
      </c>
      <c r="B1123" s="1" t="s">
        <v>998</v>
      </c>
      <c r="C1123" s="1" t="s">
        <v>2535</v>
      </c>
      <c r="D1123" s="1" t="s">
        <v>1211</v>
      </c>
    </row>
    <row r="1124" spans="1:4">
      <c r="A1124">
        <v>3084</v>
      </c>
      <c r="B1124" s="1" t="s">
        <v>999</v>
      </c>
      <c r="C1124" s="1" t="s">
        <v>2464</v>
      </c>
      <c r="D1124" s="1" t="s">
        <v>1211</v>
      </c>
    </row>
    <row r="1125" spans="1:4">
      <c r="A1125">
        <v>3085</v>
      </c>
      <c r="B1125" s="1" t="s">
        <v>963</v>
      </c>
      <c r="C1125" s="1" t="s">
        <v>2536</v>
      </c>
      <c r="D1125" s="1" t="s">
        <v>1211</v>
      </c>
    </row>
    <row r="1126" spans="1:4">
      <c r="A1126">
        <v>3086</v>
      </c>
      <c r="B1126" s="1" t="s">
        <v>1000</v>
      </c>
      <c r="C1126" s="1" t="s">
        <v>2537</v>
      </c>
      <c r="D1126" s="1" t="s">
        <v>1211</v>
      </c>
    </row>
    <row r="1127" spans="1:4">
      <c r="A1127">
        <v>3087</v>
      </c>
      <c r="B1127" s="1" t="s">
        <v>1001</v>
      </c>
      <c r="C1127" s="1" t="s">
        <v>2538</v>
      </c>
      <c r="D1127" s="1" t="s">
        <v>1211</v>
      </c>
    </row>
    <row r="1128" spans="1:4">
      <c r="A1128">
        <v>3088</v>
      </c>
      <c r="B1128" s="1" t="s">
        <v>1002</v>
      </c>
      <c r="C1128" s="1" t="s">
        <v>2539</v>
      </c>
      <c r="D1128" s="1" t="s">
        <v>1211</v>
      </c>
    </row>
    <row r="1129" spans="1:4">
      <c r="A1129">
        <v>3089</v>
      </c>
      <c r="B1129" s="1" t="s">
        <v>1003</v>
      </c>
      <c r="C1129" s="1" t="s">
        <v>2540</v>
      </c>
      <c r="D1129" s="1" t="s">
        <v>1211</v>
      </c>
    </row>
    <row r="1130" spans="1:4">
      <c r="A1130">
        <v>3090</v>
      </c>
      <c r="B1130" s="1" t="s">
        <v>1004</v>
      </c>
      <c r="C1130" s="1" t="s">
        <v>2541</v>
      </c>
      <c r="D1130" s="1" t="s">
        <v>1211</v>
      </c>
    </row>
    <row r="1131" spans="1:4">
      <c r="A1131">
        <v>3091</v>
      </c>
      <c r="B1131" s="1" t="s">
        <v>1005</v>
      </c>
      <c r="C1131" s="1" t="s">
        <v>2542</v>
      </c>
      <c r="D1131" s="1" t="s">
        <v>1211</v>
      </c>
    </row>
    <row r="1132" spans="1:4">
      <c r="A1132">
        <v>3092</v>
      </c>
      <c r="B1132" s="1" t="s">
        <v>1006</v>
      </c>
      <c r="C1132" s="1" t="s">
        <v>2543</v>
      </c>
      <c r="D1132" s="1" t="s">
        <v>1211</v>
      </c>
    </row>
    <row r="1133" spans="1:4">
      <c r="A1133">
        <v>3093</v>
      </c>
      <c r="B1133" s="1" t="s">
        <v>1007</v>
      </c>
      <c r="C1133" s="1" t="s">
        <v>2544</v>
      </c>
      <c r="D1133" s="1" t="s">
        <v>1211</v>
      </c>
    </row>
    <row r="1134" spans="1:4">
      <c r="A1134">
        <v>3094</v>
      </c>
      <c r="B1134" s="1" t="s">
        <v>987</v>
      </c>
      <c r="C1134" s="1" t="s">
        <v>2464</v>
      </c>
      <c r="D1134" s="1" t="s">
        <v>1211</v>
      </c>
    </row>
    <row r="1135" spans="1:4">
      <c r="A1135">
        <v>3095</v>
      </c>
      <c r="B1135" s="1" t="s">
        <v>1007</v>
      </c>
      <c r="C1135" s="1" t="s">
        <v>2545</v>
      </c>
      <c r="D1135" s="1" t="s">
        <v>1211</v>
      </c>
    </row>
    <row r="1136" spans="1:4">
      <c r="A1136">
        <v>3096</v>
      </c>
      <c r="B1136" s="1" t="s">
        <v>1008</v>
      </c>
      <c r="C1136" s="1" t="s">
        <v>2546</v>
      </c>
      <c r="D1136" s="1" t="s">
        <v>1211</v>
      </c>
    </row>
    <row r="1137" spans="1:4">
      <c r="A1137">
        <v>3097</v>
      </c>
      <c r="B1137" s="1" t="s">
        <v>1009</v>
      </c>
      <c r="C1137" s="1" t="s">
        <v>2547</v>
      </c>
      <c r="D1137" s="1" t="s">
        <v>1211</v>
      </c>
    </row>
    <row r="1138" spans="1:4">
      <c r="A1138">
        <v>3098</v>
      </c>
      <c r="B1138" s="1" t="s">
        <v>1010</v>
      </c>
      <c r="C1138" s="1" t="s">
        <v>2548</v>
      </c>
      <c r="D1138" s="1" t="s">
        <v>1211</v>
      </c>
    </row>
    <row r="1139" spans="1:4">
      <c r="A1139">
        <v>3099</v>
      </c>
      <c r="B1139" s="1" t="s">
        <v>1011</v>
      </c>
      <c r="C1139" s="1" t="s">
        <v>2549</v>
      </c>
      <c r="D1139" s="1" t="s">
        <v>1211</v>
      </c>
    </row>
    <row r="1140" spans="1:4">
      <c r="A1140">
        <v>3100</v>
      </c>
      <c r="B1140" s="1" t="s">
        <v>1012</v>
      </c>
      <c r="C1140" s="1" t="s">
        <v>2550</v>
      </c>
      <c r="D1140" s="1" t="s">
        <v>1211</v>
      </c>
    </row>
    <row r="1141" spans="1:4">
      <c r="A1141">
        <v>3101</v>
      </c>
      <c r="B1141" s="1" t="s">
        <v>1013</v>
      </c>
      <c r="C1141" s="1" t="s">
        <v>2551</v>
      </c>
      <c r="D1141" s="1" t="s">
        <v>1211</v>
      </c>
    </row>
    <row r="1142" spans="1:4">
      <c r="A1142">
        <v>3102</v>
      </c>
      <c r="B1142" s="1" t="s">
        <v>1014</v>
      </c>
      <c r="C1142" s="1" t="s">
        <v>2552</v>
      </c>
      <c r="D1142" s="1" t="s">
        <v>1211</v>
      </c>
    </row>
    <row r="1143" spans="1:4">
      <c r="A1143">
        <v>3103</v>
      </c>
      <c r="B1143" s="1" t="s">
        <v>1015</v>
      </c>
      <c r="C1143" s="1" t="s">
        <v>2553</v>
      </c>
      <c r="D1143" s="1" t="s">
        <v>1211</v>
      </c>
    </row>
    <row r="1144" spans="1:4">
      <c r="A1144">
        <v>3104</v>
      </c>
      <c r="B1144" s="1" t="s">
        <v>1016</v>
      </c>
      <c r="C1144" s="1" t="s">
        <v>2554</v>
      </c>
      <c r="D1144" s="1" t="s">
        <v>1211</v>
      </c>
    </row>
    <row r="1145" spans="1:4">
      <c r="A1145">
        <v>3105</v>
      </c>
      <c r="B1145" s="1" t="s">
        <v>1017</v>
      </c>
      <c r="C1145" s="1" t="s">
        <v>2555</v>
      </c>
      <c r="D1145" s="1" t="s">
        <v>1211</v>
      </c>
    </row>
    <row r="1146" spans="1:4">
      <c r="A1146">
        <v>3106</v>
      </c>
      <c r="B1146" s="1" t="s">
        <v>1018</v>
      </c>
      <c r="C1146" s="1" t="s">
        <v>2556</v>
      </c>
      <c r="D1146" s="1" t="s">
        <v>1211</v>
      </c>
    </row>
    <row r="1147" spans="1:4">
      <c r="A1147">
        <v>3107</v>
      </c>
      <c r="B1147" s="1" t="s">
        <v>1019</v>
      </c>
      <c r="C1147" s="1" t="s">
        <v>2557</v>
      </c>
      <c r="D1147" s="1" t="s">
        <v>1211</v>
      </c>
    </row>
    <row r="1148" spans="1:4">
      <c r="A1148">
        <v>3108</v>
      </c>
      <c r="B1148" s="1" t="s">
        <v>1020</v>
      </c>
      <c r="C1148" s="1" t="s">
        <v>2558</v>
      </c>
      <c r="D1148" s="1" t="s">
        <v>1211</v>
      </c>
    </row>
    <row r="1149" spans="1:4">
      <c r="A1149">
        <v>3109</v>
      </c>
      <c r="B1149" s="1" t="s">
        <v>1021</v>
      </c>
      <c r="C1149" s="1" t="s">
        <v>2559</v>
      </c>
      <c r="D1149" s="1" t="s">
        <v>1211</v>
      </c>
    </row>
    <row r="1150" spans="1:4">
      <c r="A1150">
        <v>3110</v>
      </c>
      <c r="B1150" s="1" t="s">
        <v>1022</v>
      </c>
      <c r="C1150" s="1" t="s">
        <v>2560</v>
      </c>
      <c r="D1150" s="1" t="s">
        <v>1211</v>
      </c>
    </row>
    <row r="1151" spans="1:4">
      <c r="A1151">
        <v>3111</v>
      </c>
      <c r="B1151" s="1" t="s">
        <v>1023</v>
      </c>
      <c r="C1151" s="1" t="s">
        <v>2561</v>
      </c>
      <c r="D1151" s="1" t="s">
        <v>1211</v>
      </c>
    </row>
    <row r="1152" spans="1:4">
      <c r="A1152">
        <v>3112</v>
      </c>
      <c r="B1152" s="1" t="s">
        <v>1024</v>
      </c>
      <c r="C1152" s="1" t="s">
        <v>2562</v>
      </c>
      <c r="D1152" s="1" t="s">
        <v>1211</v>
      </c>
    </row>
    <row r="1153" spans="1:4">
      <c r="A1153">
        <v>3113</v>
      </c>
      <c r="B1153" s="1" t="s">
        <v>1025</v>
      </c>
      <c r="C1153" s="1" t="s">
        <v>2563</v>
      </c>
      <c r="D1153" s="1" t="s">
        <v>1211</v>
      </c>
    </row>
    <row r="1154" spans="1:4">
      <c r="A1154">
        <v>3114</v>
      </c>
      <c r="B1154" s="1" t="s">
        <v>1026</v>
      </c>
      <c r="C1154" s="1" t="s">
        <v>2564</v>
      </c>
      <c r="D1154" s="1" t="s">
        <v>1211</v>
      </c>
    </row>
    <row r="1155" spans="1:4">
      <c r="A1155">
        <v>3115</v>
      </c>
      <c r="B1155" s="1" t="s">
        <v>1027</v>
      </c>
      <c r="C1155" s="1" t="s">
        <v>2565</v>
      </c>
      <c r="D1155" s="1" t="s">
        <v>1211</v>
      </c>
    </row>
    <row r="1156" spans="1:4">
      <c r="A1156">
        <v>3116</v>
      </c>
      <c r="B1156" s="1" t="s">
        <v>1028</v>
      </c>
      <c r="C1156" s="1" t="s">
        <v>2566</v>
      </c>
      <c r="D1156" s="1" t="s">
        <v>1211</v>
      </c>
    </row>
    <row r="1157" spans="1:4">
      <c r="A1157">
        <v>3117</v>
      </c>
      <c r="B1157" s="1" t="s">
        <v>1029</v>
      </c>
      <c r="C1157" s="1" t="s">
        <v>2567</v>
      </c>
      <c r="D1157" s="1" t="s">
        <v>1211</v>
      </c>
    </row>
    <row r="1158" spans="1:4">
      <c r="A1158">
        <v>3118</v>
      </c>
      <c r="B1158" s="1" t="s">
        <v>693</v>
      </c>
      <c r="C1158" s="1" t="s">
        <v>1770</v>
      </c>
      <c r="D1158" s="1" t="s">
        <v>1211</v>
      </c>
    </row>
    <row r="1159" spans="1:4">
      <c r="A1159">
        <v>3119</v>
      </c>
      <c r="B1159" s="1" t="s">
        <v>1030</v>
      </c>
      <c r="C1159" s="1" t="s">
        <v>2464</v>
      </c>
      <c r="D1159" s="1" t="s">
        <v>1211</v>
      </c>
    </row>
    <row r="1160" spans="1:4">
      <c r="A1160">
        <v>3120</v>
      </c>
      <c r="B1160" s="1" t="s">
        <v>1031</v>
      </c>
      <c r="C1160" s="1" t="s">
        <v>2568</v>
      </c>
      <c r="D1160" s="1" t="s">
        <v>1211</v>
      </c>
    </row>
    <row r="1161" spans="1:4">
      <c r="A1161">
        <v>3121</v>
      </c>
      <c r="B1161" s="1" t="s">
        <v>1030</v>
      </c>
      <c r="C1161" s="1" t="s">
        <v>2464</v>
      </c>
      <c r="D1161" s="1" t="s">
        <v>1211</v>
      </c>
    </row>
    <row r="1162" spans="1:4">
      <c r="A1162">
        <v>3122</v>
      </c>
      <c r="B1162" s="1" t="s">
        <v>1032</v>
      </c>
      <c r="C1162" s="1" t="s">
        <v>2569</v>
      </c>
      <c r="D1162" s="1" t="s">
        <v>1211</v>
      </c>
    </row>
    <row r="1163" spans="1:4">
      <c r="A1163">
        <v>3123</v>
      </c>
      <c r="B1163" s="1" t="s">
        <v>406</v>
      </c>
      <c r="C1163" s="1" t="s">
        <v>1771</v>
      </c>
      <c r="D1163" s="1" t="s">
        <v>1211</v>
      </c>
    </row>
    <row r="1164" spans="1:4">
      <c r="A1164">
        <v>4000</v>
      </c>
      <c r="B1164" s="1" t="s">
        <v>1033</v>
      </c>
      <c r="C1164" s="1" t="s">
        <v>2580</v>
      </c>
      <c r="D1164" s="1" t="s">
        <v>1212</v>
      </c>
    </row>
    <row r="1165" spans="1:4">
      <c r="A1165">
        <v>4001</v>
      </c>
      <c r="B1165" s="1" t="s">
        <v>964</v>
      </c>
      <c r="C1165" s="1" t="s">
        <v>2500</v>
      </c>
      <c r="D1165" s="1" t="s">
        <v>1212</v>
      </c>
    </row>
    <row r="1166" spans="1:4">
      <c r="A1166">
        <v>4002</v>
      </c>
      <c r="B1166" s="1" t="s">
        <v>1034</v>
      </c>
      <c r="C1166" s="1" t="s">
        <v>2536</v>
      </c>
      <c r="D1166" s="1" t="s">
        <v>1212</v>
      </c>
    </row>
    <row r="1167" spans="1:4">
      <c r="A1167">
        <v>4003</v>
      </c>
      <c r="B1167" s="1" t="s">
        <v>1035</v>
      </c>
      <c r="C1167" s="1" t="s">
        <v>2581</v>
      </c>
      <c r="D1167" s="1" t="s">
        <v>1212</v>
      </c>
    </row>
    <row r="1168" spans="1:4">
      <c r="A1168">
        <v>4004</v>
      </c>
      <c r="B1168" s="1" t="s">
        <v>1036</v>
      </c>
      <c r="C1168" s="1" t="s">
        <v>2490</v>
      </c>
      <c r="D1168" s="1" t="s">
        <v>1212</v>
      </c>
    </row>
    <row r="1169" spans="1:4">
      <c r="A1169">
        <v>4005</v>
      </c>
      <c r="B1169" s="1" t="s">
        <v>1037</v>
      </c>
      <c r="C1169" s="1" t="s">
        <v>2491</v>
      </c>
      <c r="D1169" s="1" t="s">
        <v>1212</v>
      </c>
    </row>
    <row r="1170" spans="1:4">
      <c r="A1170">
        <v>4006</v>
      </c>
      <c r="B1170" s="1" t="s">
        <v>1038</v>
      </c>
      <c r="C1170" s="1" t="s">
        <v>2582</v>
      </c>
      <c r="D1170" s="1" t="s">
        <v>1212</v>
      </c>
    </row>
    <row r="1171" spans="1:4">
      <c r="A1171">
        <v>4007</v>
      </c>
      <c r="B1171" s="1" t="s">
        <v>1039</v>
      </c>
      <c r="C1171" s="1" t="s">
        <v>2545</v>
      </c>
      <c r="D1171" s="1" t="s">
        <v>1212</v>
      </c>
    </row>
    <row r="1172" spans="1:4">
      <c r="A1172">
        <v>4008</v>
      </c>
      <c r="B1172" s="1" t="s">
        <v>1040</v>
      </c>
      <c r="C1172" s="1" t="s">
        <v>2583</v>
      </c>
      <c r="D1172" s="1" t="s">
        <v>1212</v>
      </c>
    </row>
    <row r="1173" spans="1:4">
      <c r="A1173">
        <v>4009</v>
      </c>
      <c r="B1173" s="1" t="s">
        <v>945</v>
      </c>
      <c r="C1173" s="1" t="s">
        <v>2481</v>
      </c>
      <c r="D1173" s="1" t="s">
        <v>1212</v>
      </c>
    </row>
    <row r="1174" spans="1:4">
      <c r="A1174">
        <v>4010</v>
      </c>
      <c r="B1174" s="1" t="s">
        <v>946</v>
      </c>
      <c r="C1174" s="1" t="s">
        <v>2482</v>
      </c>
      <c r="D1174" s="1" t="s">
        <v>1212</v>
      </c>
    </row>
    <row r="1175" spans="1:4">
      <c r="A1175">
        <v>4011</v>
      </c>
      <c r="B1175" s="1" t="s">
        <v>998</v>
      </c>
      <c r="C1175" s="1" t="s">
        <v>2535</v>
      </c>
      <c r="D1175" s="1" t="s">
        <v>1212</v>
      </c>
    </row>
    <row r="1176" spans="1:4">
      <c r="A1176">
        <v>4012</v>
      </c>
      <c r="B1176" s="1" t="s">
        <v>1041</v>
      </c>
      <c r="C1176" s="1" t="s">
        <v>2584</v>
      </c>
      <c r="D1176" s="1" t="s">
        <v>1212</v>
      </c>
    </row>
    <row r="1177" spans="1:4">
      <c r="A1177">
        <v>4013</v>
      </c>
      <c r="B1177" s="1" t="s">
        <v>1042</v>
      </c>
      <c r="C1177" s="1" t="s">
        <v>2585</v>
      </c>
      <c r="D1177" s="1" t="s">
        <v>1212</v>
      </c>
    </row>
    <row r="1178" spans="1:4">
      <c r="A1178">
        <v>4014</v>
      </c>
      <c r="B1178" s="1" t="s">
        <v>976</v>
      </c>
      <c r="C1178" s="1" t="s">
        <v>2512</v>
      </c>
      <c r="D1178" s="1" t="s">
        <v>1212</v>
      </c>
    </row>
    <row r="1179" spans="1:4">
      <c r="A1179">
        <v>4015</v>
      </c>
      <c r="B1179" s="1" t="s">
        <v>977</v>
      </c>
      <c r="C1179" s="1" t="s">
        <v>2513</v>
      </c>
      <c r="D1179" s="1" t="s">
        <v>1212</v>
      </c>
    </row>
    <row r="1180" spans="1:4">
      <c r="A1180">
        <v>4016</v>
      </c>
      <c r="B1180" s="1" t="s">
        <v>1043</v>
      </c>
      <c r="C1180" s="1" t="s">
        <v>2586</v>
      </c>
      <c r="D1180" s="1" t="s">
        <v>1212</v>
      </c>
    </row>
    <row r="1181" spans="1:4">
      <c r="A1181">
        <v>4017</v>
      </c>
      <c r="B1181" s="1" t="s">
        <v>1044</v>
      </c>
      <c r="C1181" s="1" t="s">
        <v>2587</v>
      </c>
      <c r="D1181" s="1" t="s">
        <v>1212</v>
      </c>
    </row>
    <row r="1182" spans="1:4">
      <c r="A1182">
        <v>4018</v>
      </c>
      <c r="B1182" s="1" t="s">
        <v>1045</v>
      </c>
      <c r="C1182" s="1" t="s">
        <v>2528</v>
      </c>
      <c r="D1182" s="1" t="s">
        <v>1212</v>
      </c>
    </row>
    <row r="1183" spans="1:4">
      <c r="A1183">
        <v>4019</v>
      </c>
      <c r="B1183" s="1" t="s">
        <v>992</v>
      </c>
      <c r="C1183" s="1" t="s">
        <v>2528</v>
      </c>
      <c r="D1183" s="1" t="s">
        <v>1212</v>
      </c>
    </row>
    <row r="1184" spans="1:4">
      <c r="A1184">
        <v>4020</v>
      </c>
      <c r="B1184" s="1" t="s">
        <v>1046</v>
      </c>
      <c r="C1184" s="1" t="s">
        <v>2501</v>
      </c>
      <c r="D1184" s="1" t="s">
        <v>1212</v>
      </c>
    </row>
    <row r="1185" spans="1:4">
      <c r="A1185">
        <v>4021</v>
      </c>
      <c r="B1185" s="1" t="s">
        <v>692</v>
      </c>
      <c r="C1185" s="1" t="s">
        <v>1769</v>
      </c>
      <c r="D1185" s="1" t="s">
        <v>1212</v>
      </c>
    </row>
    <row r="1186" spans="1:4">
      <c r="A1186">
        <v>4022</v>
      </c>
      <c r="B1186" s="1" t="s">
        <v>1047</v>
      </c>
      <c r="C1186" s="1" t="s">
        <v>2588</v>
      </c>
      <c r="D1186" s="1" t="s">
        <v>1212</v>
      </c>
    </row>
    <row r="1187" spans="1:4">
      <c r="A1187">
        <v>4023</v>
      </c>
      <c r="B1187" s="1" t="s">
        <v>693</v>
      </c>
      <c r="C1187" s="1" t="s">
        <v>1770</v>
      </c>
      <c r="D1187" s="1" t="s">
        <v>1212</v>
      </c>
    </row>
    <row r="1188" spans="1:4">
      <c r="A1188">
        <v>4024</v>
      </c>
      <c r="B1188" s="1" t="s">
        <v>690</v>
      </c>
      <c r="C1188" s="1" t="s">
        <v>1768</v>
      </c>
      <c r="D1188" s="1" t="s">
        <v>1212</v>
      </c>
    </row>
    <row r="1189" spans="1:4">
      <c r="A1189">
        <v>4025</v>
      </c>
      <c r="B1189" s="1" t="s">
        <v>1004</v>
      </c>
      <c r="C1189" s="1" t="s">
        <v>2541</v>
      </c>
      <c r="D1189" s="1" t="s">
        <v>1212</v>
      </c>
    </row>
    <row r="1190" spans="1:4">
      <c r="A1190">
        <v>4026</v>
      </c>
      <c r="B1190" s="1" t="s">
        <v>1005</v>
      </c>
      <c r="C1190" s="1" t="s">
        <v>2542</v>
      </c>
      <c r="D1190" s="1" t="s">
        <v>1212</v>
      </c>
    </row>
    <row r="1191" spans="1:4">
      <c r="A1191">
        <v>4027</v>
      </c>
      <c r="B1191" s="1" t="s">
        <v>1006</v>
      </c>
      <c r="C1191" s="1" t="s">
        <v>2543</v>
      </c>
      <c r="D1191" s="1" t="s">
        <v>1212</v>
      </c>
    </row>
    <row r="1192" spans="1:4">
      <c r="A1192">
        <v>4028</v>
      </c>
      <c r="B1192" s="1" t="s">
        <v>968</v>
      </c>
      <c r="C1192" s="1" t="s">
        <v>2505</v>
      </c>
      <c r="D1192" s="1" t="s">
        <v>1212</v>
      </c>
    </row>
    <row r="1193" spans="1:4">
      <c r="A1193">
        <v>4029</v>
      </c>
      <c r="B1193" s="1" t="s">
        <v>972</v>
      </c>
      <c r="C1193" s="1" t="s">
        <v>2509</v>
      </c>
      <c r="D1193" s="1" t="s">
        <v>1212</v>
      </c>
    </row>
    <row r="1194" spans="1:4">
      <c r="A1194">
        <v>4030</v>
      </c>
      <c r="B1194" s="1" t="s">
        <v>1048</v>
      </c>
      <c r="C1194" s="1" t="s">
        <v>2589</v>
      </c>
      <c r="D1194" s="1" t="s">
        <v>1212</v>
      </c>
    </row>
    <row r="1195" spans="1:4">
      <c r="A1195">
        <v>4031</v>
      </c>
      <c r="B1195" s="1" t="s">
        <v>981</v>
      </c>
      <c r="C1195" s="1" t="s">
        <v>2516</v>
      </c>
      <c r="D1195" s="1" t="s">
        <v>1212</v>
      </c>
    </row>
    <row r="1196" spans="1:4">
      <c r="A1196">
        <v>4032</v>
      </c>
      <c r="B1196" s="1" t="s">
        <v>949</v>
      </c>
      <c r="C1196" s="1" t="s">
        <v>2485</v>
      </c>
      <c r="D1196" s="1" t="s">
        <v>1212</v>
      </c>
    </row>
    <row r="1197" spans="1:4">
      <c r="A1197">
        <v>4033</v>
      </c>
      <c r="B1197" s="1" t="s">
        <v>1000</v>
      </c>
      <c r="C1197" s="1" t="s">
        <v>2537</v>
      </c>
      <c r="D1197" s="1" t="s">
        <v>1212</v>
      </c>
    </row>
    <row r="1198" spans="1:4">
      <c r="A1198">
        <v>4034</v>
      </c>
      <c r="B1198" s="1" t="s">
        <v>1049</v>
      </c>
      <c r="C1198" s="1" t="s">
        <v>2590</v>
      </c>
      <c r="D1198" s="1" t="s">
        <v>1212</v>
      </c>
    </row>
    <row r="1199" spans="1:4">
      <c r="A1199">
        <v>4035</v>
      </c>
      <c r="B1199" s="1" t="s">
        <v>1050</v>
      </c>
      <c r="C1199" s="1" t="s">
        <v>2511</v>
      </c>
      <c r="D1199" s="1" t="s">
        <v>1212</v>
      </c>
    </row>
    <row r="1200" spans="1:4">
      <c r="A1200">
        <v>4036</v>
      </c>
      <c r="B1200" s="1" t="s">
        <v>1051</v>
      </c>
      <c r="C1200" s="1" t="s">
        <v>2591</v>
      </c>
      <c r="D1200" s="1" t="s">
        <v>1212</v>
      </c>
    </row>
    <row r="1201" spans="1:4">
      <c r="A1201">
        <v>4037</v>
      </c>
      <c r="B1201" s="1" t="s">
        <v>1052</v>
      </c>
      <c r="C1201" s="1" t="s">
        <v>2592</v>
      </c>
      <c r="D1201" s="1" t="s">
        <v>1212</v>
      </c>
    </row>
    <row r="1202" spans="1:4">
      <c r="A1202">
        <v>4038</v>
      </c>
      <c r="B1202" s="1" t="s">
        <v>962</v>
      </c>
      <c r="C1202" s="1" t="s">
        <v>2498</v>
      </c>
      <c r="D1202" s="1" t="s">
        <v>1212</v>
      </c>
    </row>
    <row r="1203" spans="1:4">
      <c r="A1203">
        <v>4039</v>
      </c>
      <c r="B1203" s="1" t="s">
        <v>997</v>
      </c>
      <c r="C1203" s="1" t="s">
        <v>2534</v>
      </c>
      <c r="D1203" s="1" t="s">
        <v>1212</v>
      </c>
    </row>
    <row r="1204" spans="1:4">
      <c r="A1204">
        <v>4040</v>
      </c>
      <c r="B1204" s="1" t="s">
        <v>993</v>
      </c>
      <c r="C1204" s="1" t="s">
        <v>2530</v>
      </c>
      <c r="D1204" s="1" t="s">
        <v>1212</v>
      </c>
    </row>
    <row r="1205" spans="1:4">
      <c r="A1205">
        <v>4041</v>
      </c>
      <c r="B1205" s="1" t="s">
        <v>979</v>
      </c>
      <c r="C1205" s="1" t="s">
        <v>2514</v>
      </c>
      <c r="D1205" s="1" t="s">
        <v>1212</v>
      </c>
    </row>
    <row r="1206" spans="1:4">
      <c r="A1206">
        <v>4042</v>
      </c>
      <c r="B1206" s="1" t="s">
        <v>973</v>
      </c>
      <c r="C1206" s="1" t="s">
        <v>2510</v>
      </c>
      <c r="D1206" s="1" t="s">
        <v>1212</v>
      </c>
    </row>
    <row r="1207" spans="1:4">
      <c r="A1207">
        <v>4043</v>
      </c>
      <c r="B1207" s="1" t="s">
        <v>1053</v>
      </c>
      <c r="C1207" s="1" t="s">
        <v>2593</v>
      </c>
      <c r="D1207" s="1" t="s">
        <v>1212</v>
      </c>
    </row>
    <row r="1208" spans="1:4">
      <c r="A1208">
        <v>4044</v>
      </c>
      <c r="B1208" s="1" t="s">
        <v>1054</v>
      </c>
      <c r="C1208" s="1" t="s">
        <v>2594</v>
      </c>
      <c r="D1208" s="1" t="s">
        <v>1212</v>
      </c>
    </row>
    <row r="1209" spans="1:4">
      <c r="A1209">
        <v>4045</v>
      </c>
      <c r="B1209" s="1" t="s">
        <v>689</v>
      </c>
      <c r="C1209" s="1" t="s">
        <v>1767</v>
      </c>
      <c r="D1209" s="1" t="s">
        <v>1212</v>
      </c>
    </row>
    <row r="1210" spans="1:4">
      <c r="A1210">
        <v>4046</v>
      </c>
      <c r="B1210" s="1" t="s">
        <v>1055</v>
      </c>
      <c r="C1210" s="1" t="s">
        <v>2595</v>
      </c>
      <c r="D1210" s="1" t="s">
        <v>1212</v>
      </c>
    </row>
    <row r="1211" spans="1:4">
      <c r="A1211">
        <v>4047</v>
      </c>
      <c r="B1211" s="1" t="s">
        <v>1056</v>
      </c>
      <c r="C1211" s="1" t="s">
        <v>2596</v>
      </c>
      <c r="D1211" s="1" t="s">
        <v>1212</v>
      </c>
    </row>
    <row r="1212" spans="1:4">
      <c r="A1212">
        <v>4048</v>
      </c>
      <c r="B1212" s="1" t="s">
        <v>1057</v>
      </c>
      <c r="C1212" s="1" t="s">
        <v>2597</v>
      </c>
      <c r="D1212" s="1" t="s">
        <v>1212</v>
      </c>
    </row>
    <row r="1213" spans="1:4">
      <c r="A1213">
        <v>4049</v>
      </c>
      <c r="B1213" s="1" t="s">
        <v>984</v>
      </c>
      <c r="C1213" s="1" t="s">
        <v>2521</v>
      </c>
      <c r="D1213" s="1" t="s">
        <v>1212</v>
      </c>
    </row>
    <row r="1214" spans="1:4">
      <c r="A1214">
        <v>4050</v>
      </c>
      <c r="B1214" s="1" t="s">
        <v>985</v>
      </c>
      <c r="C1214" s="1" t="s">
        <v>2522</v>
      </c>
      <c r="D1214" s="1" t="s">
        <v>1212</v>
      </c>
    </row>
    <row r="1215" spans="1:4">
      <c r="A1215">
        <v>4051</v>
      </c>
      <c r="B1215" s="1" t="s">
        <v>986</v>
      </c>
      <c r="C1215" s="1" t="s">
        <v>2523</v>
      </c>
      <c r="D1215" s="1" t="s">
        <v>1212</v>
      </c>
    </row>
    <row r="1216" spans="1:4">
      <c r="A1216">
        <v>4052</v>
      </c>
      <c r="B1216" s="1" t="s">
        <v>694</v>
      </c>
      <c r="C1216" s="1" t="s">
        <v>1771</v>
      </c>
      <c r="D1216" s="1" t="s">
        <v>1212</v>
      </c>
    </row>
    <row r="1217" spans="1:4">
      <c r="A1217">
        <v>4053</v>
      </c>
      <c r="B1217" s="1" t="s">
        <v>1058</v>
      </c>
      <c r="C1217" s="1" t="s">
        <v>2598</v>
      </c>
      <c r="D1217" s="1" t="s">
        <v>1212</v>
      </c>
    </row>
    <row r="1218" spans="1:4">
      <c r="A1218">
        <v>4054</v>
      </c>
      <c r="B1218" s="1" t="s">
        <v>1059</v>
      </c>
      <c r="C1218" s="1" t="s">
        <v>2599</v>
      </c>
      <c r="D1218" s="1" t="s">
        <v>1212</v>
      </c>
    </row>
    <row r="1219" spans="1:4">
      <c r="A1219">
        <v>4055</v>
      </c>
      <c r="B1219" s="1" t="s">
        <v>966</v>
      </c>
      <c r="C1219" s="1" t="s">
        <v>2503</v>
      </c>
      <c r="D1219" s="1" t="s">
        <v>1212</v>
      </c>
    </row>
    <row r="1220" spans="1:4">
      <c r="A1220">
        <v>4056</v>
      </c>
      <c r="B1220" s="1" t="s">
        <v>1060</v>
      </c>
      <c r="C1220" s="1" t="s">
        <v>2600</v>
      </c>
      <c r="D1220" s="1" t="s">
        <v>1212</v>
      </c>
    </row>
    <row r="1221" spans="1:4">
      <c r="A1221">
        <v>4057</v>
      </c>
      <c r="B1221" s="1" t="s">
        <v>948</v>
      </c>
      <c r="C1221" s="1" t="s">
        <v>2484</v>
      </c>
      <c r="D1221" s="1" t="s">
        <v>1212</v>
      </c>
    </row>
    <row r="1222" spans="1:4">
      <c r="A1222">
        <v>4058</v>
      </c>
      <c r="B1222" s="1" t="s">
        <v>1061</v>
      </c>
      <c r="C1222" s="1" t="s">
        <v>2524</v>
      </c>
      <c r="D1222" s="1" t="s">
        <v>1212</v>
      </c>
    </row>
    <row r="1223" spans="1:4">
      <c r="A1223">
        <v>4059</v>
      </c>
      <c r="B1223" s="1" t="s">
        <v>1062</v>
      </c>
      <c r="C1223" s="1" t="s">
        <v>2525</v>
      </c>
      <c r="D1223" s="1" t="s">
        <v>1212</v>
      </c>
    </row>
    <row r="1224" spans="1:4">
      <c r="A1224">
        <v>4060</v>
      </c>
      <c r="B1224" s="1" t="s">
        <v>1012</v>
      </c>
      <c r="C1224" s="1" t="s">
        <v>2550</v>
      </c>
      <c r="D1224" s="1" t="s">
        <v>1212</v>
      </c>
    </row>
    <row r="1225" spans="1:4">
      <c r="A1225">
        <v>4061</v>
      </c>
      <c r="B1225" s="1" t="s">
        <v>1063</v>
      </c>
      <c r="C1225" s="1" t="s">
        <v>2601</v>
      </c>
      <c r="D1225" s="1" t="s">
        <v>1212</v>
      </c>
    </row>
    <row r="1226" spans="1:4">
      <c r="A1226">
        <v>4062</v>
      </c>
      <c r="B1226" s="1" t="s">
        <v>1064</v>
      </c>
      <c r="C1226" s="1" t="s">
        <v>2602</v>
      </c>
      <c r="D1226" s="1" t="s">
        <v>1212</v>
      </c>
    </row>
    <row r="1227" spans="1:4">
      <c r="A1227">
        <v>4063</v>
      </c>
      <c r="B1227" s="1" t="s">
        <v>1065</v>
      </c>
      <c r="C1227" s="1" t="s">
        <v>2496</v>
      </c>
      <c r="D1227" s="1" t="s">
        <v>1212</v>
      </c>
    </row>
    <row r="1228" spans="1:4">
      <c r="A1228">
        <v>4064</v>
      </c>
      <c r="B1228" s="1" t="s">
        <v>1066</v>
      </c>
      <c r="C1228" s="1" t="s">
        <v>2603</v>
      </c>
      <c r="D1228" s="1" t="s">
        <v>1212</v>
      </c>
    </row>
    <row r="1229" spans="1:4">
      <c r="A1229">
        <v>4065</v>
      </c>
      <c r="B1229" s="1" t="s">
        <v>688</v>
      </c>
      <c r="C1229" s="1" t="s">
        <v>2568</v>
      </c>
      <c r="D1229" s="1" t="s">
        <v>1212</v>
      </c>
    </row>
    <row r="1230" spans="1:4">
      <c r="A1230">
        <v>4066</v>
      </c>
      <c r="B1230" s="1" t="s">
        <v>1067</v>
      </c>
      <c r="C1230" s="1" t="s">
        <v>2604</v>
      </c>
      <c r="D1230" s="1" t="s">
        <v>1212</v>
      </c>
    </row>
    <row r="1231" spans="1:4">
      <c r="A1231">
        <v>4067</v>
      </c>
      <c r="B1231" s="1" t="s">
        <v>1011</v>
      </c>
      <c r="C1231" s="1" t="s">
        <v>2549</v>
      </c>
      <c r="D1231" s="1" t="s">
        <v>1212</v>
      </c>
    </row>
    <row r="1232" spans="1:4">
      <c r="A1232">
        <v>4068</v>
      </c>
      <c r="B1232" s="1" t="s">
        <v>1013</v>
      </c>
      <c r="C1232" s="1" t="s">
        <v>2551</v>
      </c>
      <c r="D1232" s="1" t="s">
        <v>1212</v>
      </c>
    </row>
    <row r="1233" spans="1:4">
      <c r="A1233">
        <v>4069</v>
      </c>
      <c r="B1233" s="1" t="s">
        <v>1068</v>
      </c>
      <c r="C1233" s="1" t="s">
        <v>2605</v>
      </c>
      <c r="D1233" s="1" t="s">
        <v>1212</v>
      </c>
    </row>
    <row r="1234" spans="1:4">
      <c r="A1234">
        <v>4070</v>
      </c>
      <c r="B1234" s="1" t="s">
        <v>1069</v>
      </c>
      <c r="C1234" s="1" t="s">
        <v>2606</v>
      </c>
      <c r="D1234" s="1" t="s">
        <v>1212</v>
      </c>
    </row>
    <row r="1235" spans="1:4">
      <c r="A1235">
        <v>4071</v>
      </c>
      <c r="B1235" s="1" t="s">
        <v>1001</v>
      </c>
      <c r="C1235" s="1" t="s">
        <v>2538</v>
      </c>
      <c r="D1235" s="1" t="s">
        <v>1212</v>
      </c>
    </row>
    <row r="1236" spans="1:4">
      <c r="A1236">
        <v>4072</v>
      </c>
      <c r="B1236" s="1" t="s">
        <v>1070</v>
      </c>
      <c r="C1236" s="1" t="s">
        <v>2607</v>
      </c>
      <c r="D1236" s="1" t="s">
        <v>1212</v>
      </c>
    </row>
    <row r="1237" spans="1:4">
      <c r="A1237">
        <v>4073</v>
      </c>
      <c r="B1237" s="1" t="s">
        <v>1071</v>
      </c>
      <c r="C1237" s="1" t="s">
        <v>2608</v>
      </c>
      <c r="D1237" s="1" t="s">
        <v>1212</v>
      </c>
    </row>
    <row r="1238" spans="1:4">
      <c r="A1238">
        <v>4074</v>
      </c>
      <c r="B1238" s="1" t="s">
        <v>1072</v>
      </c>
      <c r="C1238" s="1" t="s">
        <v>2609</v>
      </c>
      <c r="D1238" s="1" t="s">
        <v>1212</v>
      </c>
    </row>
    <row r="1239" spans="1:4">
      <c r="A1239">
        <v>4075</v>
      </c>
      <c r="B1239" s="1" t="s">
        <v>1073</v>
      </c>
      <c r="C1239" s="1" t="s">
        <v>2610</v>
      </c>
      <c r="D1239" s="1" t="s">
        <v>1212</v>
      </c>
    </row>
    <row r="1240" spans="1:4">
      <c r="A1240">
        <v>4076</v>
      </c>
      <c r="B1240" s="1" t="s">
        <v>983</v>
      </c>
      <c r="C1240" s="1" t="s">
        <v>2518</v>
      </c>
      <c r="D1240" s="1" t="s">
        <v>1212</v>
      </c>
    </row>
    <row r="1241" spans="1:4">
      <c r="A1241">
        <v>4077</v>
      </c>
      <c r="B1241" s="1" t="s">
        <v>1074</v>
      </c>
      <c r="C1241" s="1" t="s">
        <v>2519</v>
      </c>
      <c r="D1241" s="1" t="s">
        <v>1212</v>
      </c>
    </row>
    <row r="1242" spans="1:4">
      <c r="A1242">
        <v>4078</v>
      </c>
      <c r="B1242" s="1" t="s">
        <v>1075</v>
      </c>
      <c r="C1242" s="1" t="s">
        <v>2520</v>
      </c>
      <c r="D1242" s="1" t="s">
        <v>1212</v>
      </c>
    </row>
    <row r="1243" spans="1:4">
      <c r="A1243">
        <v>4079</v>
      </c>
      <c r="B1243" s="1" t="s">
        <v>1076</v>
      </c>
      <c r="C1243" s="1" t="s">
        <v>2611</v>
      </c>
      <c r="D1243" s="1" t="s">
        <v>1212</v>
      </c>
    </row>
    <row r="1244" spans="1:4">
      <c r="A1244">
        <v>4080</v>
      </c>
      <c r="B1244" s="1" t="s">
        <v>1077</v>
      </c>
      <c r="C1244" s="1" t="s">
        <v>2612</v>
      </c>
      <c r="D1244" s="1" t="s">
        <v>1212</v>
      </c>
    </row>
    <row r="1245" spans="1:4">
      <c r="A1245">
        <v>4081</v>
      </c>
      <c r="B1245" s="1" t="s">
        <v>1078</v>
      </c>
      <c r="C1245" s="1" t="s">
        <v>2613</v>
      </c>
      <c r="D1245" s="1" t="s">
        <v>1212</v>
      </c>
    </row>
    <row r="1246" spans="1:4">
      <c r="A1246">
        <v>4082</v>
      </c>
      <c r="B1246" s="1" t="s">
        <v>1079</v>
      </c>
      <c r="C1246" s="1" t="s">
        <v>2579</v>
      </c>
      <c r="D1246" s="1" t="s">
        <v>1212</v>
      </c>
    </row>
    <row r="1247" spans="1:4">
      <c r="A1247">
        <v>4083</v>
      </c>
      <c r="B1247" s="1" t="s">
        <v>1080</v>
      </c>
      <c r="C1247" s="1" t="s">
        <v>2614</v>
      </c>
      <c r="D1247" s="1" t="s">
        <v>1212</v>
      </c>
    </row>
    <row r="1248" spans="1:4">
      <c r="A1248">
        <v>4084</v>
      </c>
      <c r="B1248" s="1" t="s">
        <v>942</v>
      </c>
      <c r="C1248" s="1" t="s">
        <v>2478</v>
      </c>
      <c r="D1248" s="1" t="s">
        <v>1212</v>
      </c>
    </row>
    <row r="1249" spans="1:4">
      <c r="A1249">
        <v>4085</v>
      </c>
      <c r="B1249" s="1" t="s">
        <v>943</v>
      </c>
      <c r="C1249" s="1" t="s">
        <v>2479</v>
      </c>
      <c r="D1249" s="1" t="s">
        <v>1212</v>
      </c>
    </row>
    <row r="1250" spans="1:4">
      <c r="A1250">
        <v>4086</v>
      </c>
      <c r="B1250" s="1" t="s">
        <v>1081</v>
      </c>
      <c r="C1250" s="1" t="s">
        <v>2615</v>
      </c>
      <c r="D1250" s="1" t="s">
        <v>1212</v>
      </c>
    </row>
    <row r="1251" spans="1:4">
      <c r="A1251">
        <v>4087</v>
      </c>
      <c r="B1251" s="1" t="s">
        <v>1082</v>
      </c>
      <c r="C1251" s="1" t="s">
        <v>2507</v>
      </c>
      <c r="D1251" s="1" t="s">
        <v>1212</v>
      </c>
    </row>
    <row r="1252" spans="1:4">
      <c r="A1252">
        <v>4088</v>
      </c>
      <c r="B1252" s="1" t="s">
        <v>1083</v>
      </c>
      <c r="C1252" s="1" t="s">
        <v>2508</v>
      </c>
      <c r="D1252" s="1" t="s">
        <v>1212</v>
      </c>
    </row>
    <row r="1253" spans="1:4">
      <c r="A1253">
        <v>4089</v>
      </c>
      <c r="B1253" s="1" t="s">
        <v>1084</v>
      </c>
      <c r="C1253" s="1" t="s">
        <v>2616</v>
      </c>
      <c r="D1253" s="1" t="s">
        <v>1212</v>
      </c>
    </row>
    <row r="1254" spans="1:4">
      <c r="A1254">
        <v>4090</v>
      </c>
      <c r="B1254" s="1" t="s">
        <v>1085</v>
      </c>
      <c r="C1254" s="1" t="s">
        <v>2493</v>
      </c>
      <c r="D1254" s="1" t="s">
        <v>1212</v>
      </c>
    </row>
    <row r="1255" spans="1:4">
      <c r="A1255">
        <v>4091</v>
      </c>
      <c r="B1255" s="1" t="s">
        <v>1086</v>
      </c>
      <c r="C1255" s="1" t="s">
        <v>2494</v>
      </c>
      <c r="D1255" s="1" t="s">
        <v>1212</v>
      </c>
    </row>
    <row r="1256" spans="1:4">
      <c r="A1256">
        <v>4092</v>
      </c>
      <c r="B1256" s="1" t="s">
        <v>1087</v>
      </c>
      <c r="C1256" s="1" t="s">
        <v>2533</v>
      </c>
      <c r="D1256" s="1" t="s">
        <v>1212</v>
      </c>
    </row>
    <row r="1257" spans="1:4">
      <c r="A1257">
        <v>4093</v>
      </c>
      <c r="B1257" s="1" t="s">
        <v>938</v>
      </c>
      <c r="C1257" s="1" t="s">
        <v>2474</v>
      </c>
      <c r="D1257" s="1" t="s">
        <v>1212</v>
      </c>
    </row>
    <row r="1258" spans="1:4">
      <c r="A1258">
        <v>4094</v>
      </c>
      <c r="B1258" s="1" t="s">
        <v>939</v>
      </c>
      <c r="C1258" s="1" t="s">
        <v>2475</v>
      </c>
      <c r="D1258" s="1" t="s">
        <v>1212</v>
      </c>
    </row>
    <row r="1259" spans="1:4">
      <c r="A1259">
        <v>4095</v>
      </c>
      <c r="B1259" s="1" t="s">
        <v>940</v>
      </c>
      <c r="C1259" s="1" t="s">
        <v>2476</v>
      </c>
      <c r="D1259" s="1" t="s">
        <v>1212</v>
      </c>
    </row>
    <row r="1260" spans="1:4">
      <c r="A1260">
        <v>4096</v>
      </c>
      <c r="B1260" s="1" t="s">
        <v>970</v>
      </c>
      <c r="C1260" s="1" t="s">
        <v>2578</v>
      </c>
      <c r="D1260" s="1" t="s">
        <v>1212</v>
      </c>
    </row>
    <row r="1261" spans="1:4">
      <c r="A1261">
        <v>4097</v>
      </c>
      <c r="B1261" s="1" t="s">
        <v>969</v>
      </c>
      <c r="C1261" s="1" t="s">
        <v>2577</v>
      </c>
      <c r="D1261" s="1" t="s">
        <v>1212</v>
      </c>
    </row>
    <row r="1262" spans="1:4">
      <c r="A1262">
        <v>4098</v>
      </c>
      <c r="B1262" s="1" t="s">
        <v>995</v>
      </c>
      <c r="C1262" s="1" t="s">
        <v>2532</v>
      </c>
      <c r="D1262" s="1" t="s">
        <v>1212</v>
      </c>
    </row>
    <row r="1263" spans="1:4">
      <c r="A1263">
        <v>4099</v>
      </c>
      <c r="B1263" s="1" t="s">
        <v>1088</v>
      </c>
      <c r="C1263" s="1" t="s">
        <v>2502</v>
      </c>
      <c r="D1263" s="1" t="s">
        <v>1212</v>
      </c>
    </row>
    <row r="1264" spans="1:4">
      <c r="A1264">
        <v>4100</v>
      </c>
      <c r="B1264" s="1" t="s">
        <v>1089</v>
      </c>
      <c r="C1264" s="1" t="s">
        <v>2617</v>
      </c>
      <c r="D1264" s="1" t="s">
        <v>1212</v>
      </c>
    </row>
    <row r="1265" spans="1:4">
      <c r="A1265">
        <v>4101</v>
      </c>
      <c r="B1265" s="1" t="s">
        <v>952</v>
      </c>
      <c r="C1265" s="1" t="s">
        <v>2488</v>
      </c>
      <c r="D1265" s="1" t="s">
        <v>1212</v>
      </c>
    </row>
    <row r="1266" spans="1:4">
      <c r="A1266">
        <v>4102</v>
      </c>
      <c r="B1266" s="1" t="s">
        <v>1090</v>
      </c>
      <c r="C1266" s="1" t="s">
        <v>2618</v>
      </c>
      <c r="D1266" s="1" t="s">
        <v>1212</v>
      </c>
    </row>
    <row r="1267" spans="1:4">
      <c r="A1267">
        <v>4103</v>
      </c>
      <c r="B1267" s="1" t="s">
        <v>1091</v>
      </c>
      <c r="C1267" s="1" t="s">
        <v>2619</v>
      </c>
      <c r="D1267" s="1" t="s">
        <v>1212</v>
      </c>
    </row>
    <row r="1268" spans="1:4">
      <c r="A1268">
        <v>4104</v>
      </c>
      <c r="B1268" s="1" t="s">
        <v>1092</v>
      </c>
      <c r="C1268" s="1" t="s">
        <v>2620</v>
      </c>
      <c r="D1268" s="1" t="s">
        <v>1212</v>
      </c>
    </row>
    <row r="1269" spans="1:4">
      <c r="A1269">
        <v>4105</v>
      </c>
      <c r="B1269" s="1" t="s">
        <v>1093</v>
      </c>
      <c r="C1269" s="1" t="s">
        <v>2621</v>
      </c>
      <c r="D1269" s="1" t="s">
        <v>1212</v>
      </c>
    </row>
    <row r="1270" spans="1:4">
      <c r="A1270">
        <v>4106</v>
      </c>
      <c r="B1270" s="1" t="s">
        <v>989</v>
      </c>
      <c r="C1270" s="1" t="s">
        <v>2526</v>
      </c>
      <c r="D1270" s="1" t="s">
        <v>1212</v>
      </c>
    </row>
    <row r="1271" spans="1:4">
      <c r="A1271">
        <v>4107</v>
      </c>
      <c r="B1271" s="1" t="s">
        <v>990</v>
      </c>
      <c r="C1271" s="1" t="s">
        <v>2527</v>
      </c>
      <c r="D1271" s="1" t="s">
        <v>1212</v>
      </c>
    </row>
    <row r="1272" spans="1:4">
      <c r="A1272">
        <v>4108</v>
      </c>
      <c r="B1272" s="1" t="s">
        <v>967</v>
      </c>
      <c r="C1272" s="1" t="s">
        <v>2504</v>
      </c>
      <c r="D1272" s="1" t="s">
        <v>1212</v>
      </c>
    </row>
    <row r="1273" spans="1:4">
      <c r="A1273">
        <v>4109</v>
      </c>
      <c r="B1273" s="1" t="s">
        <v>951</v>
      </c>
      <c r="C1273" s="1" t="s">
        <v>2487</v>
      </c>
      <c r="D1273" s="1" t="s">
        <v>1212</v>
      </c>
    </row>
    <row r="1274" spans="1:4">
      <c r="A1274">
        <v>4110</v>
      </c>
      <c r="B1274" s="1" t="s">
        <v>980</v>
      </c>
      <c r="C1274" s="1" t="s">
        <v>2515</v>
      </c>
      <c r="D1274" s="1" t="s">
        <v>1212</v>
      </c>
    </row>
    <row r="1275" spans="1:4">
      <c r="A1275">
        <v>4111</v>
      </c>
      <c r="B1275" s="1" t="s">
        <v>950</v>
      </c>
      <c r="C1275" s="1" t="s">
        <v>2486</v>
      </c>
      <c r="D1275" s="1" t="s">
        <v>1212</v>
      </c>
    </row>
    <row r="1276" spans="1:4">
      <c r="A1276">
        <v>4112</v>
      </c>
      <c r="B1276" s="1" t="s">
        <v>1094</v>
      </c>
      <c r="C1276" s="1"/>
      <c r="D1276" s="1" t="s">
        <v>1212</v>
      </c>
    </row>
    <row r="1277" spans="1:4">
      <c r="A1277">
        <v>4113</v>
      </c>
      <c r="B1277" s="1" t="s">
        <v>1095</v>
      </c>
      <c r="C1277" s="1" t="s">
        <v>2622</v>
      </c>
      <c r="D1277" s="1" t="s">
        <v>1212</v>
      </c>
    </row>
    <row r="1278" spans="1:4">
      <c r="A1278">
        <v>4114</v>
      </c>
      <c r="B1278" s="1" t="s">
        <v>1096</v>
      </c>
      <c r="C1278" s="1" t="s">
        <v>2623</v>
      </c>
      <c r="D1278" s="1" t="s">
        <v>1212</v>
      </c>
    </row>
    <row r="1279" spans="1:4">
      <c r="A1279">
        <v>4115</v>
      </c>
      <c r="B1279" s="1" t="s">
        <v>385</v>
      </c>
      <c r="C1279" s="1" t="s">
        <v>1342</v>
      </c>
      <c r="D1279" s="1" t="s">
        <v>1212</v>
      </c>
    </row>
    <row r="1280" spans="1:4">
      <c r="A1280">
        <v>4116</v>
      </c>
      <c r="B1280" s="1" t="s">
        <v>314</v>
      </c>
      <c r="C1280" s="1" t="s">
        <v>1307</v>
      </c>
      <c r="D1280" s="1" t="s">
        <v>1212</v>
      </c>
    </row>
    <row r="1281" spans="1:4">
      <c r="A1281">
        <v>4117</v>
      </c>
      <c r="B1281" s="1" t="s">
        <v>1097</v>
      </c>
      <c r="C1281" s="1" t="s">
        <v>2624</v>
      </c>
      <c r="D1281" s="1" t="s">
        <v>1212</v>
      </c>
    </row>
    <row r="1282" spans="1:4">
      <c r="A1282">
        <v>4118</v>
      </c>
      <c r="B1282" s="1" t="s">
        <v>303</v>
      </c>
      <c r="C1282" s="1" t="s">
        <v>1302</v>
      </c>
      <c r="D1282" s="1" t="s">
        <v>1212</v>
      </c>
    </row>
    <row r="1283" spans="1:4">
      <c r="A1283">
        <v>4119</v>
      </c>
      <c r="B1283" s="1" t="s">
        <v>1098</v>
      </c>
      <c r="C1283" s="1" t="s">
        <v>1309</v>
      </c>
      <c r="D1283" s="1" t="s">
        <v>1212</v>
      </c>
    </row>
    <row r="1284" spans="1:4">
      <c r="A1284">
        <v>4120</v>
      </c>
      <c r="B1284" s="1" t="s">
        <v>1099</v>
      </c>
      <c r="C1284" s="1" t="s">
        <v>4725</v>
      </c>
      <c r="D1284" s="1" t="s">
        <v>1212</v>
      </c>
    </row>
    <row r="1285" spans="1:4">
      <c r="A1285">
        <v>4121</v>
      </c>
      <c r="B1285" s="1" t="s">
        <v>1100</v>
      </c>
      <c r="C1285" s="1" t="s">
        <v>2626</v>
      </c>
      <c r="D1285" s="1" t="s">
        <v>1212</v>
      </c>
    </row>
    <row r="1286" spans="1:4">
      <c r="A1286">
        <v>4122</v>
      </c>
      <c r="B1286" s="1" t="s">
        <v>1101</v>
      </c>
      <c r="C1286" s="1" t="s">
        <v>2061</v>
      </c>
      <c r="D1286" s="1" t="s">
        <v>1212</v>
      </c>
    </row>
    <row r="1287" spans="1:4">
      <c r="A1287">
        <v>4123</v>
      </c>
      <c r="B1287" s="1" t="s">
        <v>1102</v>
      </c>
      <c r="C1287" s="1" t="s">
        <v>2627</v>
      </c>
      <c r="D1287" s="1" t="s">
        <v>1212</v>
      </c>
    </row>
    <row r="1288" spans="1:4">
      <c r="A1288">
        <v>4124</v>
      </c>
      <c r="B1288" s="1" t="s">
        <v>1103</v>
      </c>
      <c r="C1288" s="1" t="s">
        <v>2628</v>
      </c>
      <c r="D1288" s="1" t="s">
        <v>1212</v>
      </c>
    </row>
    <row r="1289" spans="1:4">
      <c r="A1289">
        <v>4125</v>
      </c>
      <c r="B1289" s="1" t="s">
        <v>1104</v>
      </c>
      <c r="C1289" s="1" t="s">
        <v>2579</v>
      </c>
      <c r="D1289" s="1" t="s">
        <v>1212</v>
      </c>
    </row>
    <row r="1290" spans="1:4">
      <c r="A1290">
        <v>4126</v>
      </c>
      <c r="B1290" s="1" t="s">
        <v>1105</v>
      </c>
      <c r="C1290" s="1" t="s">
        <v>2629</v>
      </c>
      <c r="D1290" s="1" t="s">
        <v>1212</v>
      </c>
    </row>
    <row r="1291" spans="1:4">
      <c r="A1291">
        <v>4127</v>
      </c>
      <c r="B1291" s="1" t="s">
        <v>212</v>
      </c>
      <c r="C1291" s="1" t="s">
        <v>1736</v>
      </c>
      <c r="D1291" s="1" t="s">
        <v>1212</v>
      </c>
    </row>
    <row r="1292" spans="1:4">
      <c r="A1292">
        <v>4128</v>
      </c>
      <c r="B1292" s="1" t="s">
        <v>210</v>
      </c>
      <c r="C1292" s="1" t="s">
        <v>1734</v>
      </c>
      <c r="D1292" s="1" t="s">
        <v>1212</v>
      </c>
    </row>
    <row r="1293" spans="1:4">
      <c r="A1293">
        <v>4129</v>
      </c>
      <c r="B1293" s="1" t="s">
        <v>206</v>
      </c>
      <c r="C1293" s="1" t="s">
        <v>1730</v>
      </c>
      <c r="D1293" s="1" t="s">
        <v>1212</v>
      </c>
    </row>
    <row r="1294" spans="1:4">
      <c r="A1294">
        <v>4130</v>
      </c>
      <c r="B1294" s="1" t="s">
        <v>1106</v>
      </c>
      <c r="C1294" s="1" t="s">
        <v>2630</v>
      </c>
      <c r="D1294" s="1" t="s">
        <v>1212</v>
      </c>
    </row>
    <row r="1295" spans="1:4">
      <c r="A1295">
        <v>4131</v>
      </c>
      <c r="B1295" s="1" t="s">
        <v>265</v>
      </c>
      <c r="C1295" s="1" t="s">
        <v>1305</v>
      </c>
      <c r="D1295" s="1" t="s">
        <v>1212</v>
      </c>
    </row>
    <row r="1296" spans="1:4">
      <c r="A1296">
        <v>4132</v>
      </c>
      <c r="B1296" s="1" t="s">
        <v>1107</v>
      </c>
      <c r="C1296" s="1"/>
      <c r="D1296" s="1" t="s">
        <v>1212</v>
      </c>
    </row>
    <row r="1297" spans="1:4">
      <c r="A1297">
        <v>4133</v>
      </c>
      <c r="B1297" s="1" t="s">
        <v>1108</v>
      </c>
      <c r="C1297" s="1" t="s">
        <v>2631</v>
      </c>
      <c r="D1297" s="1" t="s">
        <v>1212</v>
      </c>
    </row>
    <row r="1298" spans="1:4">
      <c r="A1298">
        <v>4134</v>
      </c>
      <c r="B1298" s="1" t="s">
        <v>691</v>
      </c>
      <c r="C1298" s="1" t="s">
        <v>2576</v>
      </c>
      <c r="D1298" s="1" t="s">
        <v>1212</v>
      </c>
    </row>
    <row r="1299" spans="1:4">
      <c r="A1299">
        <v>4135</v>
      </c>
      <c r="B1299" s="1" t="s">
        <v>261</v>
      </c>
      <c r="C1299" s="1" t="s">
        <v>1359</v>
      </c>
      <c r="D1299" s="1" t="s">
        <v>1212</v>
      </c>
    </row>
    <row r="1300" spans="1:4">
      <c r="A1300">
        <v>6000</v>
      </c>
      <c r="B1300" s="1" t="s">
        <v>1033</v>
      </c>
      <c r="C1300" s="1" t="s">
        <v>2580</v>
      </c>
      <c r="D1300" s="1" t="s">
        <v>1213</v>
      </c>
    </row>
    <row r="1301" spans="1:4">
      <c r="A1301">
        <v>6001</v>
      </c>
      <c r="B1301" s="1" t="s">
        <v>964</v>
      </c>
      <c r="C1301" s="1" t="s">
        <v>2500</v>
      </c>
      <c r="D1301" s="1" t="s">
        <v>1213</v>
      </c>
    </row>
    <row r="1302" spans="1:4">
      <c r="A1302">
        <v>6002</v>
      </c>
      <c r="B1302" s="1" t="s">
        <v>1034</v>
      </c>
      <c r="C1302" s="1" t="s">
        <v>2536</v>
      </c>
      <c r="D1302" s="1" t="s">
        <v>1213</v>
      </c>
    </row>
    <row r="1303" spans="1:4">
      <c r="A1303">
        <v>6003</v>
      </c>
      <c r="B1303" s="1" t="s">
        <v>1035</v>
      </c>
      <c r="C1303" s="1" t="s">
        <v>2581</v>
      </c>
      <c r="D1303" s="1" t="s">
        <v>1213</v>
      </c>
    </row>
    <row r="1304" spans="1:4">
      <c r="A1304">
        <v>6004</v>
      </c>
      <c r="B1304" s="1" t="s">
        <v>1036</v>
      </c>
      <c r="C1304" s="1" t="s">
        <v>2490</v>
      </c>
      <c r="D1304" s="1" t="s">
        <v>1213</v>
      </c>
    </row>
    <row r="1305" spans="1:4">
      <c r="A1305">
        <v>6005</v>
      </c>
      <c r="B1305" s="1" t="s">
        <v>1037</v>
      </c>
      <c r="C1305" s="1" t="s">
        <v>2491</v>
      </c>
      <c r="D1305" s="1" t="s">
        <v>1213</v>
      </c>
    </row>
    <row r="1306" spans="1:4">
      <c r="A1306">
        <v>6006</v>
      </c>
      <c r="B1306" s="1" t="s">
        <v>1038</v>
      </c>
      <c r="C1306" s="1" t="s">
        <v>2582</v>
      </c>
      <c r="D1306" s="1" t="s">
        <v>1213</v>
      </c>
    </row>
    <row r="1307" spans="1:4">
      <c r="A1307">
        <v>6007</v>
      </c>
      <c r="B1307" s="1" t="s">
        <v>1039</v>
      </c>
      <c r="C1307" s="1" t="s">
        <v>2545</v>
      </c>
      <c r="D1307" s="1" t="s">
        <v>1213</v>
      </c>
    </row>
    <row r="1308" spans="1:4">
      <c r="A1308">
        <v>6008</v>
      </c>
      <c r="B1308" s="1" t="s">
        <v>1040</v>
      </c>
      <c r="C1308" s="1" t="s">
        <v>2583</v>
      </c>
      <c r="D1308" s="1" t="s">
        <v>1213</v>
      </c>
    </row>
    <row r="1309" spans="1:4">
      <c r="A1309">
        <v>6009</v>
      </c>
      <c r="B1309" s="1" t="s">
        <v>945</v>
      </c>
      <c r="C1309" s="1" t="s">
        <v>2481</v>
      </c>
      <c r="D1309" s="1" t="s">
        <v>1213</v>
      </c>
    </row>
    <row r="1310" spans="1:4">
      <c r="A1310">
        <v>6010</v>
      </c>
      <c r="B1310" s="1" t="s">
        <v>946</v>
      </c>
      <c r="C1310" s="1" t="s">
        <v>2482</v>
      </c>
      <c r="D1310" s="1" t="s">
        <v>1213</v>
      </c>
    </row>
    <row r="1311" spans="1:4">
      <c r="A1311">
        <v>6011</v>
      </c>
      <c r="B1311" s="1" t="s">
        <v>998</v>
      </c>
      <c r="C1311" s="1" t="s">
        <v>2535</v>
      </c>
      <c r="D1311" s="1" t="s">
        <v>1213</v>
      </c>
    </row>
    <row r="1312" spans="1:4">
      <c r="A1312">
        <v>6012</v>
      </c>
      <c r="B1312" s="1" t="s">
        <v>1041</v>
      </c>
      <c r="C1312" s="1" t="s">
        <v>2584</v>
      </c>
      <c r="D1312" s="1" t="s">
        <v>1213</v>
      </c>
    </row>
    <row r="1313" spans="1:4">
      <c r="A1313">
        <v>6013</v>
      </c>
      <c r="B1313" s="1" t="s">
        <v>1042</v>
      </c>
      <c r="C1313" s="1" t="s">
        <v>2585</v>
      </c>
      <c r="D1313" s="1" t="s">
        <v>1213</v>
      </c>
    </row>
    <row r="1314" spans="1:4">
      <c r="A1314">
        <v>6014</v>
      </c>
      <c r="B1314" s="1" t="s">
        <v>976</v>
      </c>
      <c r="C1314" s="1" t="s">
        <v>2512</v>
      </c>
      <c r="D1314" s="1" t="s">
        <v>1213</v>
      </c>
    </row>
    <row r="1315" spans="1:4">
      <c r="A1315">
        <v>6015</v>
      </c>
      <c r="B1315" s="1" t="s">
        <v>977</v>
      </c>
      <c r="C1315" s="1" t="s">
        <v>2513</v>
      </c>
      <c r="D1315" s="1" t="s">
        <v>1213</v>
      </c>
    </row>
    <row r="1316" spans="1:4">
      <c r="A1316">
        <v>6016</v>
      </c>
      <c r="B1316" s="1" t="s">
        <v>1043</v>
      </c>
      <c r="C1316" s="1" t="s">
        <v>2586</v>
      </c>
      <c r="D1316" s="1" t="s">
        <v>1213</v>
      </c>
    </row>
    <row r="1317" spans="1:4">
      <c r="A1317">
        <v>6017</v>
      </c>
      <c r="B1317" s="1" t="s">
        <v>1044</v>
      </c>
      <c r="C1317" s="1" t="s">
        <v>2587</v>
      </c>
      <c r="D1317" s="1" t="s">
        <v>1213</v>
      </c>
    </row>
    <row r="1318" spans="1:4">
      <c r="A1318">
        <v>6018</v>
      </c>
      <c r="B1318" s="1" t="s">
        <v>1045</v>
      </c>
      <c r="C1318" s="1" t="s">
        <v>2528</v>
      </c>
      <c r="D1318" s="1" t="s">
        <v>1213</v>
      </c>
    </row>
    <row r="1319" spans="1:4">
      <c r="A1319">
        <v>6019</v>
      </c>
      <c r="B1319" s="1" t="s">
        <v>992</v>
      </c>
      <c r="C1319" s="1" t="s">
        <v>2528</v>
      </c>
      <c r="D1319" s="1" t="s">
        <v>1213</v>
      </c>
    </row>
    <row r="1320" spans="1:4">
      <c r="A1320">
        <v>6020</v>
      </c>
      <c r="B1320" s="1" t="s">
        <v>1046</v>
      </c>
      <c r="C1320" s="1" t="s">
        <v>2501</v>
      </c>
      <c r="D1320" s="1" t="s">
        <v>1213</v>
      </c>
    </row>
    <row r="1321" spans="1:4">
      <c r="A1321">
        <v>6021</v>
      </c>
      <c r="B1321" s="1" t="s">
        <v>692</v>
      </c>
      <c r="C1321" s="1" t="s">
        <v>1769</v>
      </c>
      <c r="D1321" s="1" t="s">
        <v>1213</v>
      </c>
    </row>
    <row r="1322" spans="1:4">
      <c r="A1322">
        <v>6022</v>
      </c>
      <c r="B1322" s="1" t="s">
        <v>1047</v>
      </c>
      <c r="C1322" s="1" t="s">
        <v>2588</v>
      </c>
      <c r="D1322" s="1" t="s">
        <v>1213</v>
      </c>
    </row>
    <row r="1323" spans="1:4">
      <c r="A1323">
        <v>6023</v>
      </c>
      <c r="B1323" s="1" t="s">
        <v>693</v>
      </c>
      <c r="C1323" s="1" t="s">
        <v>1770</v>
      </c>
      <c r="D1323" s="1" t="s">
        <v>1213</v>
      </c>
    </row>
    <row r="1324" spans="1:4">
      <c r="A1324">
        <v>6024</v>
      </c>
      <c r="B1324" s="1" t="s">
        <v>690</v>
      </c>
      <c r="C1324" s="1" t="s">
        <v>1768</v>
      </c>
      <c r="D1324" s="1" t="s">
        <v>1213</v>
      </c>
    </row>
    <row r="1325" spans="1:4">
      <c r="A1325">
        <v>6025</v>
      </c>
      <c r="B1325" s="1" t="s">
        <v>1004</v>
      </c>
      <c r="C1325" s="1" t="s">
        <v>2541</v>
      </c>
      <c r="D1325" s="1" t="s">
        <v>1213</v>
      </c>
    </row>
    <row r="1326" spans="1:4">
      <c r="A1326">
        <v>6026</v>
      </c>
      <c r="B1326" s="1" t="s">
        <v>1005</v>
      </c>
      <c r="C1326" s="1" t="s">
        <v>2542</v>
      </c>
      <c r="D1326" s="1" t="s">
        <v>1213</v>
      </c>
    </row>
    <row r="1327" spans="1:4">
      <c r="A1327">
        <v>6027</v>
      </c>
      <c r="B1327" s="1" t="s">
        <v>1006</v>
      </c>
      <c r="C1327" s="1" t="s">
        <v>2543</v>
      </c>
      <c r="D1327" s="1" t="s">
        <v>1213</v>
      </c>
    </row>
    <row r="1328" spans="1:4">
      <c r="A1328">
        <v>6028</v>
      </c>
      <c r="B1328" s="1" t="s">
        <v>968</v>
      </c>
      <c r="C1328" s="1" t="s">
        <v>2505</v>
      </c>
      <c r="D1328" s="1" t="s">
        <v>1213</v>
      </c>
    </row>
    <row r="1329" spans="1:4">
      <c r="A1329">
        <v>6029</v>
      </c>
      <c r="B1329" s="1" t="s">
        <v>972</v>
      </c>
      <c r="C1329" s="1" t="s">
        <v>2509</v>
      </c>
      <c r="D1329" s="1" t="s">
        <v>1213</v>
      </c>
    </row>
    <row r="1330" spans="1:4">
      <c r="A1330">
        <v>6030</v>
      </c>
      <c r="B1330" s="1" t="s">
        <v>1048</v>
      </c>
      <c r="C1330" s="1" t="s">
        <v>2589</v>
      </c>
      <c r="D1330" s="1" t="s">
        <v>1213</v>
      </c>
    </row>
    <row r="1331" spans="1:4">
      <c r="A1331">
        <v>6031</v>
      </c>
      <c r="B1331" s="1" t="s">
        <v>981</v>
      </c>
      <c r="C1331" s="1" t="s">
        <v>2516</v>
      </c>
      <c r="D1331" s="1" t="s">
        <v>1213</v>
      </c>
    </row>
    <row r="1332" spans="1:4">
      <c r="A1332">
        <v>6032</v>
      </c>
      <c r="B1332" s="1" t="s">
        <v>949</v>
      </c>
      <c r="C1332" s="1" t="s">
        <v>2485</v>
      </c>
      <c r="D1332" s="1" t="s">
        <v>1213</v>
      </c>
    </row>
    <row r="1333" spans="1:4">
      <c r="A1333">
        <v>6033</v>
      </c>
      <c r="B1333" s="1" t="s">
        <v>1000</v>
      </c>
      <c r="C1333" s="1" t="s">
        <v>2537</v>
      </c>
      <c r="D1333" s="1" t="s">
        <v>1213</v>
      </c>
    </row>
    <row r="1334" spans="1:4">
      <c r="A1334">
        <v>6034</v>
      </c>
      <c r="B1334" s="1" t="s">
        <v>1049</v>
      </c>
      <c r="C1334" s="1" t="s">
        <v>2590</v>
      </c>
      <c r="D1334" s="1" t="s">
        <v>1213</v>
      </c>
    </row>
    <row r="1335" spans="1:4">
      <c r="A1335">
        <v>6035</v>
      </c>
      <c r="B1335" s="1" t="s">
        <v>1050</v>
      </c>
      <c r="C1335" s="1" t="s">
        <v>2511</v>
      </c>
      <c r="D1335" s="1" t="s">
        <v>1213</v>
      </c>
    </row>
    <row r="1336" spans="1:4">
      <c r="A1336">
        <v>6036</v>
      </c>
      <c r="B1336" s="1" t="s">
        <v>1051</v>
      </c>
      <c r="C1336" s="1" t="s">
        <v>2531</v>
      </c>
      <c r="D1336" s="1" t="s">
        <v>1213</v>
      </c>
    </row>
    <row r="1337" spans="1:4">
      <c r="A1337">
        <v>6037</v>
      </c>
      <c r="B1337" s="1" t="s">
        <v>1052</v>
      </c>
      <c r="C1337" s="1" t="s">
        <v>2592</v>
      </c>
      <c r="D1337" s="1" t="s">
        <v>1213</v>
      </c>
    </row>
    <row r="1338" spans="1:4">
      <c r="A1338">
        <v>6038</v>
      </c>
      <c r="B1338" s="1" t="s">
        <v>962</v>
      </c>
      <c r="C1338" s="1" t="s">
        <v>2498</v>
      </c>
      <c r="D1338" s="1" t="s">
        <v>1213</v>
      </c>
    </row>
    <row r="1339" spans="1:4">
      <c r="A1339">
        <v>6039</v>
      </c>
      <c r="B1339" s="1" t="s">
        <v>997</v>
      </c>
      <c r="C1339" s="1" t="s">
        <v>2534</v>
      </c>
      <c r="D1339" s="1" t="s">
        <v>1213</v>
      </c>
    </row>
    <row r="1340" spans="1:4">
      <c r="A1340">
        <v>6040</v>
      </c>
      <c r="B1340" s="1" t="s">
        <v>993</v>
      </c>
      <c r="C1340" s="1" t="s">
        <v>2530</v>
      </c>
      <c r="D1340" s="1" t="s">
        <v>1213</v>
      </c>
    </row>
    <row r="1341" spans="1:4">
      <c r="A1341">
        <v>6041</v>
      </c>
      <c r="B1341" s="1" t="s">
        <v>979</v>
      </c>
      <c r="C1341" s="1" t="s">
        <v>2514</v>
      </c>
      <c r="D1341" s="1" t="s">
        <v>1213</v>
      </c>
    </row>
    <row r="1342" spans="1:4">
      <c r="A1342">
        <v>6042</v>
      </c>
      <c r="B1342" s="1" t="s">
        <v>973</v>
      </c>
      <c r="C1342" s="1" t="s">
        <v>2510</v>
      </c>
      <c r="D1342" s="1" t="s">
        <v>1213</v>
      </c>
    </row>
    <row r="1343" spans="1:4">
      <c r="A1343">
        <v>6043</v>
      </c>
      <c r="B1343" s="1" t="s">
        <v>1053</v>
      </c>
      <c r="C1343" s="1" t="s">
        <v>2593</v>
      </c>
      <c r="D1343" s="1" t="s">
        <v>1213</v>
      </c>
    </row>
    <row r="1344" spans="1:4">
      <c r="A1344">
        <v>6044</v>
      </c>
      <c r="B1344" s="1" t="s">
        <v>1054</v>
      </c>
      <c r="C1344" s="1" t="s">
        <v>2594</v>
      </c>
      <c r="D1344" s="1" t="s">
        <v>1213</v>
      </c>
    </row>
    <row r="1345" spans="1:4">
      <c r="A1345">
        <v>6045</v>
      </c>
      <c r="B1345" s="1" t="s">
        <v>689</v>
      </c>
      <c r="C1345" s="1" t="s">
        <v>1767</v>
      </c>
      <c r="D1345" s="1" t="s">
        <v>1213</v>
      </c>
    </row>
    <row r="1346" spans="1:4">
      <c r="A1346">
        <v>6046</v>
      </c>
      <c r="B1346" s="1" t="s">
        <v>1055</v>
      </c>
      <c r="C1346" s="1" t="s">
        <v>2595</v>
      </c>
      <c r="D1346" s="1" t="s">
        <v>1213</v>
      </c>
    </row>
    <row r="1347" spans="1:4">
      <c r="A1347">
        <v>6047</v>
      </c>
      <c r="B1347" s="1" t="s">
        <v>1056</v>
      </c>
      <c r="C1347" s="1" t="s">
        <v>2596</v>
      </c>
      <c r="D1347" s="1" t="s">
        <v>1213</v>
      </c>
    </row>
    <row r="1348" spans="1:4">
      <c r="A1348">
        <v>6048</v>
      </c>
      <c r="B1348" s="1" t="s">
        <v>1057</v>
      </c>
      <c r="C1348" s="1" t="s">
        <v>2597</v>
      </c>
      <c r="D1348" s="1" t="s">
        <v>1213</v>
      </c>
    </row>
    <row r="1349" spans="1:4">
      <c r="A1349">
        <v>6049</v>
      </c>
      <c r="B1349" s="1" t="s">
        <v>984</v>
      </c>
      <c r="C1349" s="1" t="s">
        <v>2521</v>
      </c>
      <c r="D1349" s="1" t="s">
        <v>1213</v>
      </c>
    </row>
    <row r="1350" spans="1:4">
      <c r="A1350">
        <v>6050</v>
      </c>
      <c r="B1350" s="1" t="s">
        <v>985</v>
      </c>
      <c r="C1350" s="1" t="s">
        <v>2522</v>
      </c>
      <c r="D1350" s="1" t="s">
        <v>1213</v>
      </c>
    </row>
    <row r="1351" spans="1:4">
      <c r="A1351">
        <v>6051</v>
      </c>
      <c r="B1351" s="1" t="s">
        <v>986</v>
      </c>
      <c r="C1351" s="1" t="s">
        <v>2523</v>
      </c>
      <c r="D1351" s="1" t="s">
        <v>1213</v>
      </c>
    </row>
    <row r="1352" spans="1:4">
      <c r="A1352">
        <v>6052</v>
      </c>
      <c r="B1352" s="1" t="s">
        <v>694</v>
      </c>
      <c r="C1352" s="1" t="s">
        <v>1771</v>
      </c>
      <c r="D1352" s="1" t="s">
        <v>1213</v>
      </c>
    </row>
    <row r="1353" spans="1:4">
      <c r="A1353">
        <v>6053</v>
      </c>
      <c r="B1353" s="1" t="s">
        <v>1058</v>
      </c>
      <c r="C1353" s="1" t="s">
        <v>2598</v>
      </c>
      <c r="D1353" s="1" t="s">
        <v>1213</v>
      </c>
    </row>
    <row r="1354" spans="1:4">
      <c r="A1354">
        <v>6054</v>
      </c>
      <c r="B1354" s="1" t="s">
        <v>1059</v>
      </c>
      <c r="C1354" s="1" t="s">
        <v>2599</v>
      </c>
      <c r="D1354" s="1" t="s">
        <v>1213</v>
      </c>
    </row>
    <row r="1355" spans="1:4">
      <c r="A1355">
        <v>6055</v>
      </c>
      <c r="B1355" s="1" t="s">
        <v>966</v>
      </c>
      <c r="C1355" s="1" t="s">
        <v>2503</v>
      </c>
      <c r="D1355" s="1" t="s">
        <v>1213</v>
      </c>
    </row>
    <row r="1356" spans="1:4">
      <c r="A1356">
        <v>6056</v>
      </c>
      <c r="B1356" s="1" t="s">
        <v>1060</v>
      </c>
      <c r="C1356" s="1" t="s">
        <v>2600</v>
      </c>
      <c r="D1356" s="1" t="s">
        <v>1213</v>
      </c>
    </row>
    <row r="1357" spans="1:4">
      <c r="A1357">
        <v>6057</v>
      </c>
      <c r="B1357" s="1" t="s">
        <v>948</v>
      </c>
      <c r="C1357" s="1" t="s">
        <v>2484</v>
      </c>
      <c r="D1357" s="1" t="s">
        <v>1213</v>
      </c>
    </row>
    <row r="1358" spans="1:4">
      <c r="A1358">
        <v>6058</v>
      </c>
      <c r="B1358" s="1" t="s">
        <v>1061</v>
      </c>
      <c r="C1358" s="1" t="s">
        <v>2524</v>
      </c>
      <c r="D1358" s="1" t="s">
        <v>1213</v>
      </c>
    </row>
    <row r="1359" spans="1:4">
      <c r="A1359">
        <v>6059</v>
      </c>
      <c r="B1359" s="1" t="s">
        <v>1062</v>
      </c>
      <c r="C1359" s="1" t="s">
        <v>2525</v>
      </c>
      <c r="D1359" s="1" t="s">
        <v>1213</v>
      </c>
    </row>
    <row r="1360" spans="1:4">
      <c r="A1360">
        <v>6060</v>
      </c>
      <c r="B1360" s="1" t="s">
        <v>1012</v>
      </c>
      <c r="C1360" s="1" t="s">
        <v>2550</v>
      </c>
      <c r="D1360" s="1" t="s">
        <v>1213</v>
      </c>
    </row>
    <row r="1361" spans="1:4">
      <c r="A1361">
        <v>6061</v>
      </c>
      <c r="B1361" s="1" t="s">
        <v>1063</v>
      </c>
      <c r="C1361" s="1" t="s">
        <v>2601</v>
      </c>
      <c r="D1361" s="1" t="s">
        <v>1213</v>
      </c>
    </row>
    <row r="1362" spans="1:4">
      <c r="A1362">
        <v>6062</v>
      </c>
      <c r="B1362" s="1" t="s">
        <v>1064</v>
      </c>
      <c r="C1362" s="1" t="s">
        <v>2602</v>
      </c>
      <c r="D1362" s="1" t="s">
        <v>1213</v>
      </c>
    </row>
    <row r="1363" spans="1:4">
      <c r="A1363">
        <v>6063</v>
      </c>
      <c r="B1363" s="1" t="s">
        <v>1065</v>
      </c>
      <c r="C1363" s="1" t="s">
        <v>2496</v>
      </c>
      <c r="D1363" s="1" t="s">
        <v>1213</v>
      </c>
    </row>
    <row r="1364" spans="1:4">
      <c r="A1364">
        <v>6064</v>
      </c>
      <c r="B1364" s="1" t="s">
        <v>1066</v>
      </c>
      <c r="C1364" s="1" t="s">
        <v>2603</v>
      </c>
      <c r="D1364" s="1" t="s">
        <v>1213</v>
      </c>
    </row>
    <row r="1365" spans="1:4">
      <c r="A1365">
        <v>6065</v>
      </c>
      <c r="B1365" s="1" t="s">
        <v>688</v>
      </c>
      <c r="C1365" s="1" t="s">
        <v>2568</v>
      </c>
      <c r="D1365" s="1" t="s">
        <v>1213</v>
      </c>
    </row>
    <row r="1366" spans="1:4">
      <c r="A1366">
        <v>6066</v>
      </c>
      <c r="B1366" s="1" t="s">
        <v>1067</v>
      </c>
      <c r="C1366" s="1" t="s">
        <v>2604</v>
      </c>
      <c r="D1366" s="1" t="s">
        <v>1213</v>
      </c>
    </row>
    <row r="1367" spans="1:4">
      <c r="A1367">
        <v>6067</v>
      </c>
      <c r="B1367" s="1" t="s">
        <v>1011</v>
      </c>
      <c r="C1367" s="1" t="s">
        <v>2549</v>
      </c>
      <c r="D1367" s="1" t="s">
        <v>1213</v>
      </c>
    </row>
    <row r="1368" spans="1:4">
      <c r="A1368">
        <v>6068</v>
      </c>
      <c r="B1368" s="1" t="s">
        <v>1013</v>
      </c>
      <c r="C1368" s="1" t="s">
        <v>2551</v>
      </c>
      <c r="D1368" s="1" t="s">
        <v>1213</v>
      </c>
    </row>
    <row r="1369" spans="1:4">
      <c r="A1369">
        <v>6069</v>
      </c>
      <c r="B1369" s="1" t="s">
        <v>1068</v>
      </c>
      <c r="C1369" s="1" t="s">
        <v>2605</v>
      </c>
      <c r="D1369" s="1" t="s">
        <v>1213</v>
      </c>
    </row>
    <row r="1370" spans="1:4">
      <c r="A1370">
        <v>6070</v>
      </c>
      <c r="B1370" s="1" t="s">
        <v>1069</v>
      </c>
      <c r="C1370" s="1" t="s">
        <v>2606</v>
      </c>
      <c r="D1370" s="1" t="s">
        <v>1213</v>
      </c>
    </row>
    <row r="1371" spans="1:4">
      <c r="A1371">
        <v>6071</v>
      </c>
      <c r="B1371" s="1" t="s">
        <v>1001</v>
      </c>
      <c r="C1371" s="1" t="s">
        <v>2538</v>
      </c>
      <c r="D1371" s="1" t="s">
        <v>1213</v>
      </c>
    </row>
    <row r="1372" spans="1:4">
      <c r="A1372">
        <v>6072</v>
      </c>
      <c r="B1372" s="1" t="s">
        <v>1070</v>
      </c>
      <c r="C1372" s="1" t="s">
        <v>2607</v>
      </c>
      <c r="D1372" s="1" t="s">
        <v>1213</v>
      </c>
    </row>
    <row r="1373" spans="1:4">
      <c r="A1373">
        <v>6073</v>
      </c>
      <c r="B1373" s="1" t="s">
        <v>1071</v>
      </c>
      <c r="C1373" s="1" t="s">
        <v>2608</v>
      </c>
      <c r="D1373" s="1" t="s">
        <v>1213</v>
      </c>
    </row>
    <row r="1374" spans="1:4">
      <c r="A1374">
        <v>6074</v>
      </c>
      <c r="B1374" s="1" t="s">
        <v>1072</v>
      </c>
      <c r="C1374" s="1" t="s">
        <v>2609</v>
      </c>
      <c r="D1374" s="1" t="s">
        <v>1213</v>
      </c>
    </row>
    <row r="1375" spans="1:4">
      <c r="A1375">
        <v>6075</v>
      </c>
      <c r="B1375" s="1" t="s">
        <v>1073</v>
      </c>
      <c r="C1375" s="1" t="s">
        <v>2610</v>
      </c>
      <c r="D1375" s="1" t="s">
        <v>1213</v>
      </c>
    </row>
    <row r="1376" spans="1:4">
      <c r="A1376">
        <v>6076</v>
      </c>
      <c r="B1376" s="1" t="s">
        <v>983</v>
      </c>
      <c r="C1376" s="1" t="s">
        <v>2518</v>
      </c>
      <c r="D1376" s="1" t="s">
        <v>1213</v>
      </c>
    </row>
    <row r="1377" spans="1:4">
      <c r="A1377">
        <v>6077</v>
      </c>
      <c r="B1377" s="1" t="s">
        <v>1074</v>
      </c>
      <c r="C1377" s="1" t="s">
        <v>2519</v>
      </c>
      <c r="D1377" s="1" t="s">
        <v>1213</v>
      </c>
    </row>
    <row r="1378" spans="1:4">
      <c r="A1378">
        <v>6078</v>
      </c>
      <c r="B1378" s="1" t="s">
        <v>1075</v>
      </c>
      <c r="C1378" s="1" t="s">
        <v>2520</v>
      </c>
      <c r="D1378" s="1" t="s">
        <v>1213</v>
      </c>
    </row>
    <row r="1379" spans="1:4">
      <c r="A1379">
        <v>6079</v>
      </c>
      <c r="B1379" s="1" t="s">
        <v>1076</v>
      </c>
      <c r="C1379" s="1" t="s">
        <v>2611</v>
      </c>
      <c r="D1379" s="1" t="s">
        <v>1213</v>
      </c>
    </row>
    <row r="1380" spans="1:4">
      <c r="A1380">
        <v>6080</v>
      </c>
      <c r="B1380" s="1" t="s">
        <v>1077</v>
      </c>
      <c r="C1380" s="1" t="s">
        <v>2612</v>
      </c>
      <c r="D1380" s="1" t="s">
        <v>1213</v>
      </c>
    </row>
    <row r="1381" spans="1:4">
      <c r="A1381">
        <v>6081</v>
      </c>
      <c r="B1381" s="1" t="s">
        <v>1078</v>
      </c>
      <c r="C1381" s="1" t="s">
        <v>2613</v>
      </c>
      <c r="D1381" s="1" t="s">
        <v>1213</v>
      </c>
    </row>
    <row r="1382" spans="1:4">
      <c r="A1382">
        <v>6082</v>
      </c>
      <c r="B1382" s="1" t="s">
        <v>1079</v>
      </c>
      <c r="C1382" s="1" t="s">
        <v>2579</v>
      </c>
      <c r="D1382" s="1" t="s">
        <v>1213</v>
      </c>
    </row>
    <row r="1383" spans="1:4">
      <c r="A1383">
        <v>6083</v>
      </c>
      <c r="B1383" s="1" t="s">
        <v>1080</v>
      </c>
      <c r="C1383" s="1" t="s">
        <v>2614</v>
      </c>
      <c r="D1383" s="1" t="s">
        <v>1213</v>
      </c>
    </row>
    <row r="1384" spans="1:4">
      <c r="A1384">
        <v>6084</v>
      </c>
      <c r="B1384" s="1" t="s">
        <v>942</v>
      </c>
      <c r="C1384" s="1" t="s">
        <v>2478</v>
      </c>
      <c r="D1384" s="1" t="s">
        <v>1213</v>
      </c>
    </row>
    <row r="1385" spans="1:4">
      <c r="A1385">
        <v>6085</v>
      </c>
      <c r="B1385" s="1" t="s">
        <v>943</v>
      </c>
      <c r="C1385" s="1" t="s">
        <v>2479</v>
      </c>
      <c r="D1385" s="1" t="s">
        <v>1213</v>
      </c>
    </row>
    <row r="1386" spans="1:4">
      <c r="A1386">
        <v>6086</v>
      </c>
      <c r="B1386" s="1" t="s">
        <v>1081</v>
      </c>
      <c r="C1386" s="1" t="s">
        <v>2615</v>
      </c>
      <c r="D1386" s="1" t="s">
        <v>1213</v>
      </c>
    </row>
    <row r="1387" spans="1:4">
      <c r="A1387">
        <v>6087</v>
      </c>
      <c r="B1387" s="1" t="s">
        <v>1082</v>
      </c>
      <c r="C1387" s="1" t="s">
        <v>2507</v>
      </c>
      <c r="D1387" s="1" t="s">
        <v>1213</v>
      </c>
    </row>
    <row r="1388" spans="1:4">
      <c r="A1388">
        <v>6088</v>
      </c>
      <c r="B1388" s="1" t="s">
        <v>1083</v>
      </c>
      <c r="C1388" s="1" t="s">
        <v>2508</v>
      </c>
      <c r="D1388" s="1" t="s">
        <v>1213</v>
      </c>
    </row>
    <row r="1389" spans="1:4">
      <c r="A1389">
        <v>6089</v>
      </c>
      <c r="B1389" s="1" t="s">
        <v>1084</v>
      </c>
      <c r="C1389" s="1" t="s">
        <v>2616</v>
      </c>
      <c r="D1389" s="1" t="s">
        <v>1213</v>
      </c>
    </row>
    <row r="1390" spans="1:4">
      <c r="A1390">
        <v>6090</v>
      </c>
      <c r="B1390" s="1" t="s">
        <v>1085</v>
      </c>
      <c r="C1390" s="1" t="s">
        <v>2493</v>
      </c>
      <c r="D1390" s="1" t="s">
        <v>1213</v>
      </c>
    </row>
    <row r="1391" spans="1:4">
      <c r="A1391">
        <v>6091</v>
      </c>
      <c r="B1391" s="1" t="s">
        <v>1086</v>
      </c>
      <c r="C1391" s="1" t="s">
        <v>2494</v>
      </c>
      <c r="D1391" s="1" t="s">
        <v>1213</v>
      </c>
    </row>
    <row r="1392" spans="1:4">
      <c r="A1392">
        <v>6092</v>
      </c>
      <c r="B1392" s="1" t="s">
        <v>1087</v>
      </c>
      <c r="C1392" s="1" t="s">
        <v>2533</v>
      </c>
      <c r="D1392" s="1" t="s">
        <v>1213</v>
      </c>
    </row>
    <row r="1393" spans="1:4">
      <c r="A1393">
        <v>6093</v>
      </c>
      <c r="B1393" s="1" t="s">
        <v>938</v>
      </c>
      <c r="C1393" s="1" t="s">
        <v>2474</v>
      </c>
      <c r="D1393" s="1" t="s">
        <v>1213</v>
      </c>
    </row>
    <row r="1394" spans="1:4">
      <c r="A1394">
        <v>6094</v>
      </c>
      <c r="B1394" s="1" t="s">
        <v>939</v>
      </c>
      <c r="C1394" s="1" t="s">
        <v>2475</v>
      </c>
      <c r="D1394" s="1" t="s">
        <v>1213</v>
      </c>
    </row>
    <row r="1395" spans="1:4">
      <c r="A1395">
        <v>6095</v>
      </c>
      <c r="B1395" s="1" t="s">
        <v>940</v>
      </c>
      <c r="C1395" s="1" t="s">
        <v>2476</v>
      </c>
      <c r="D1395" s="1" t="s">
        <v>1213</v>
      </c>
    </row>
    <row r="1396" spans="1:4">
      <c r="A1396">
        <v>6096</v>
      </c>
      <c r="B1396" s="1" t="s">
        <v>970</v>
      </c>
      <c r="C1396" s="1" t="s">
        <v>2578</v>
      </c>
      <c r="D1396" s="1" t="s">
        <v>1213</v>
      </c>
    </row>
    <row r="1397" spans="1:4">
      <c r="A1397">
        <v>6097</v>
      </c>
      <c r="B1397" s="1" t="s">
        <v>969</v>
      </c>
      <c r="C1397" s="1" t="s">
        <v>2577</v>
      </c>
      <c r="D1397" s="1" t="s">
        <v>1213</v>
      </c>
    </row>
    <row r="1398" spans="1:4">
      <c r="A1398">
        <v>6098</v>
      </c>
      <c r="B1398" s="1" t="s">
        <v>995</v>
      </c>
      <c r="C1398" s="1" t="s">
        <v>2532</v>
      </c>
      <c r="D1398" s="1" t="s">
        <v>1213</v>
      </c>
    </row>
    <row r="1399" spans="1:4">
      <c r="A1399">
        <v>6099</v>
      </c>
      <c r="B1399" s="1" t="s">
        <v>1088</v>
      </c>
      <c r="C1399" s="1" t="s">
        <v>2502</v>
      </c>
      <c r="D1399" s="1" t="s">
        <v>1213</v>
      </c>
    </row>
    <row r="1400" spans="1:4">
      <c r="A1400">
        <v>6100</v>
      </c>
      <c r="B1400" s="1" t="s">
        <v>1089</v>
      </c>
      <c r="C1400" s="1" t="s">
        <v>2617</v>
      </c>
      <c r="D1400" s="1" t="s">
        <v>1213</v>
      </c>
    </row>
    <row r="1401" spans="1:4">
      <c r="A1401">
        <v>6101</v>
      </c>
      <c r="B1401" s="1" t="s">
        <v>952</v>
      </c>
      <c r="C1401" s="1" t="s">
        <v>2488</v>
      </c>
      <c r="D1401" s="1" t="s">
        <v>1213</v>
      </c>
    </row>
    <row r="1402" spans="1:4">
      <c r="A1402">
        <v>6102</v>
      </c>
      <c r="B1402" s="1" t="s">
        <v>1090</v>
      </c>
      <c r="C1402" s="1" t="s">
        <v>2618</v>
      </c>
      <c r="D1402" s="1" t="s">
        <v>1213</v>
      </c>
    </row>
    <row r="1403" spans="1:4">
      <c r="A1403">
        <v>6103</v>
      </c>
      <c r="B1403" s="1" t="s">
        <v>1091</v>
      </c>
      <c r="C1403" s="1" t="s">
        <v>2619</v>
      </c>
      <c r="D1403" s="1" t="s">
        <v>1213</v>
      </c>
    </row>
    <row r="1404" spans="1:4">
      <c r="A1404">
        <v>6104</v>
      </c>
      <c r="B1404" s="1" t="s">
        <v>1092</v>
      </c>
      <c r="C1404" s="1" t="s">
        <v>2620</v>
      </c>
      <c r="D1404" s="1" t="s">
        <v>1213</v>
      </c>
    </row>
    <row r="1405" spans="1:4">
      <c r="A1405">
        <v>6105</v>
      </c>
      <c r="B1405" s="1" t="s">
        <v>1093</v>
      </c>
      <c r="C1405" s="1" t="s">
        <v>2621</v>
      </c>
      <c r="D1405" s="1" t="s">
        <v>1213</v>
      </c>
    </row>
    <row r="1406" spans="1:4">
      <c r="A1406">
        <v>6106</v>
      </c>
      <c r="B1406" s="1" t="s">
        <v>989</v>
      </c>
      <c r="C1406" s="1" t="s">
        <v>2526</v>
      </c>
      <c r="D1406" s="1" t="s">
        <v>1213</v>
      </c>
    </row>
    <row r="1407" spans="1:4">
      <c r="A1407">
        <v>6107</v>
      </c>
      <c r="B1407" s="1" t="s">
        <v>990</v>
      </c>
      <c r="C1407" s="1" t="s">
        <v>2527</v>
      </c>
      <c r="D1407" s="1" t="s">
        <v>1213</v>
      </c>
    </row>
    <row r="1408" spans="1:4">
      <c r="A1408">
        <v>6108</v>
      </c>
      <c r="B1408" s="1" t="s">
        <v>967</v>
      </c>
      <c r="C1408" s="1" t="s">
        <v>2504</v>
      </c>
      <c r="D1408" s="1" t="s">
        <v>1213</v>
      </c>
    </row>
    <row r="1409" spans="1:4">
      <c r="A1409">
        <v>6109</v>
      </c>
      <c r="B1409" s="1" t="s">
        <v>951</v>
      </c>
      <c r="C1409" s="1" t="s">
        <v>2487</v>
      </c>
      <c r="D1409" s="1" t="s">
        <v>1213</v>
      </c>
    </row>
    <row r="1410" spans="1:4">
      <c r="A1410">
        <v>6110</v>
      </c>
      <c r="B1410" s="1" t="s">
        <v>980</v>
      </c>
      <c r="C1410" s="1" t="s">
        <v>2515</v>
      </c>
      <c r="D1410" s="1" t="s">
        <v>1213</v>
      </c>
    </row>
    <row r="1411" spans="1:4">
      <c r="A1411">
        <v>6111</v>
      </c>
      <c r="B1411" s="1" t="s">
        <v>950</v>
      </c>
      <c r="C1411" s="1" t="s">
        <v>2486</v>
      </c>
      <c r="D1411" s="1" t="s">
        <v>1213</v>
      </c>
    </row>
    <row r="1412" spans="1:4">
      <c r="A1412">
        <v>6112</v>
      </c>
      <c r="B1412" s="1" t="s">
        <v>1094</v>
      </c>
      <c r="C1412" s="1"/>
      <c r="D1412" s="1" t="s">
        <v>1213</v>
      </c>
    </row>
    <row r="1413" spans="1:4">
      <c r="A1413">
        <v>6113</v>
      </c>
      <c r="B1413" s="1" t="s">
        <v>1095</v>
      </c>
      <c r="C1413" s="1" t="s">
        <v>2622</v>
      </c>
      <c r="D1413" s="1" t="s">
        <v>1213</v>
      </c>
    </row>
    <row r="1414" spans="1:4">
      <c r="A1414">
        <v>6114</v>
      </c>
      <c r="B1414" s="1" t="s">
        <v>1096</v>
      </c>
      <c r="C1414" s="1" t="s">
        <v>2623</v>
      </c>
      <c r="D1414" s="1" t="s">
        <v>1213</v>
      </c>
    </row>
    <row r="1415" spans="1:4">
      <c r="A1415">
        <v>6115</v>
      </c>
      <c r="B1415" s="1" t="s">
        <v>385</v>
      </c>
      <c r="C1415" s="1" t="s">
        <v>1342</v>
      </c>
      <c r="D1415" s="1" t="s">
        <v>1213</v>
      </c>
    </row>
    <row r="1416" spans="1:4">
      <c r="A1416">
        <v>6116</v>
      </c>
      <c r="B1416" s="1" t="s">
        <v>314</v>
      </c>
      <c r="C1416" s="1" t="s">
        <v>1307</v>
      </c>
      <c r="D1416" s="1" t="s">
        <v>1213</v>
      </c>
    </row>
    <row r="1417" spans="1:4">
      <c r="A1417">
        <v>6117</v>
      </c>
      <c r="B1417" s="1" t="s">
        <v>1097</v>
      </c>
      <c r="C1417" s="1" t="s">
        <v>2624</v>
      </c>
      <c r="D1417" s="1" t="s">
        <v>1213</v>
      </c>
    </row>
    <row r="1418" spans="1:4">
      <c r="A1418">
        <v>6118</v>
      </c>
      <c r="B1418" s="1" t="s">
        <v>303</v>
      </c>
      <c r="C1418" s="1" t="s">
        <v>1302</v>
      </c>
      <c r="D1418" s="1" t="s">
        <v>1213</v>
      </c>
    </row>
    <row r="1419" spans="1:4">
      <c r="A1419">
        <v>6119</v>
      </c>
      <c r="B1419" s="1" t="s">
        <v>1098</v>
      </c>
      <c r="C1419" s="1" t="s">
        <v>1309</v>
      </c>
      <c r="D1419" s="1" t="s">
        <v>1213</v>
      </c>
    </row>
    <row r="1420" spans="1:4">
      <c r="A1420">
        <v>6120</v>
      </c>
      <c r="B1420" s="1" t="s">
        <v>1099</v>
      </c>
      <c r="C1420" s="1" t="s">
        <v>2625</v>
      </c>
      <c r="D1420" s="1" t="s">
        <v>1213</v>
      </c>
    </row>
    <row r="1421" spans="1:4">
      <c r="A1421">
        <v>6121</v>
      </c>
      <c r="B1421" s="1" t="s">
        <v>1100</v>
      </c>
      <c r="C1421" s="1" t="s">
        <v>2626</v>
      </c>
      <c r="D1421" s="1" t="s">
        <v>1213</v>
      </c>
    </row>
    <row r="1422" spans="1:4">
      <c r="A1422">
        <v>6122</v>
      </c>
      <c r="B1422" s="1" t="s">
        <v>1101</v>
      </c>
      <c r="C1422" s="1" t="s">
        <v>2061</v>
      </c>
      <c r="D1422" s="1" t="s">
        <v>1213</v>
      </c>
    </row>
    <row r="1423" spans="1:4">
      <c r="A1423">
        <v>6123</v>
      </c>
      <c r="B1423" s="1" t="s">
        <v>1102</v>
      </c>
      <c r="C1423" s="1" t="s">
        <v>2627</v>
      </c>
      <c r="D1423" s="1" t="s">
        <v>1213</v>
      </c>
    </row>
    <row r="1424" spans="1:4">
      <c r="A1424">
        <v>6124</v>
      </c>
      <c r="B1424" s="1" t="s">
        <v>1103</v>
      </c>
      <c r="C1424" s="1" t="s">
        <v>2628</v>
      </c>
      <c r="D1424" s="1" t="s">
        <v>1213</v>
      </c>
    </row>
    <row r="1425" spans="1:4">
      <c r="A1425">
        <v>6125</v>
      </c>
      <c r="B1425" s="1" t="s">
        <v>1104</v>
      </c>
      <c r="C1425" s="1" t="s">
        <v>2579</v>
      </c>
      <c r="D1425" s="1" t="s">
        <v>1213</v>
      </c>
    </row>
    <row r="1426" spans="1:4">
      <c r="A1426">
        <v>6126</v>
      </c>
      <c r="B1426" s="1" t="s">
        <v>1105</v>
      </c>
      <c r="C1426" s="1" t="s">
        <v>2629</v>
      </c>
      <c r="D1426" s="1" t="s">
        <v>1213</v>
      </c>
    </row>
    <row r="1427" spans="1:4">
      <c r="A1427">
        <v>6127</v>
      </c>
      <c r="B1427" s="1" t="s">
        <v>212</v>
      </c>
      <c r="C1427" s="1" t="s">
        <v>1736</v>
      </c>
      <c r="D1427" s="1" t="s">
        <v>1213</v>
      </c>
    </row>
    <row r="1428" spans="1:4">
      <c r="A1428">
        <v>6128</v>
      </c>
      <c r="B1428" s="1" t="s">
        <v>210</v>
      </c>
      <c r="C1428" s="1" t="s">
        <v>1734</v>
      </c>
      <c r="D1428" s="1" t="s">
        <v>1213</v>
      </c>
    </row>
    <row r="1429" spans="1:4">
      <c r="A1429">
        <v>6129</v>
      </c>
      <c r="B1429" s="1" t="s">
        <v>206</v>
      </c>
      <c r="C1429" s="1" t="s">
        <v>1730</v>
      </c>
      <c r="D1429" s="1" t="s">
        <v>1213</v>
      </c>
    </row>
    <row r="1430" spans="1:4">
      <c r="A1430">
        <v>6130</v>
      </c>
      <c r="B1430" s="1" t="s">
        <v>1106</v>
      </c>
      <c r="C1430" s="1" t="s">
        <v>2630</v>
      </c>
      <c r="D1430" s="1" t="s">
        <v>1213</v>
      </c>
    </row>
    <row r="1431" spans="1:4">
      <c r="A1431">
        <v>6131</v>
      </c>
      <c r="B1431" s="1" t="s">
        <v>265</v>
      </c>
      <c r="C1431" s="1" t="s">
        <v>1305</v>
      </c>
      <c r="D1431" s="1" t="s">
        <v>1213</v>
      </c>
    </row>
    <row r="1432" spans="1:4">
      <c r="A1432">
        <v>6132</v>
      </c>
      <c r="B1432" s="1" t="s">
        <v>1107</v>
      </c>
      <c r="C1432" s="1"/>
      <c r="D1432" s="1" t="s">
        <v>1213</v>
      </c>
    </row>
    <row r="1433" spans="1:4">
      <c r="A1433">
        <v>6133</v>
      </c>
      <c r="B1433" s="1" t="s">
        <v>1108</v>
      </c>
      <c r="C1433" s="1" t="s">
        <v>2631</v>
      </c>
      <c r="D1433" s="1" t="s">
        <v>1213</v>
      </c>
    </row>
    <row r="1434" spans="1:4">
      <c r="A1434">
        <v>6134</v>
      </c>
      <c r="B1434" s="1" t="s">
        <v>691</v>
      </c>
      <c r="C1434" s="1" t="s">
        <v>2576</v>
      </c>
      <c r="D1434" s="1" t="s">
        <v>1213</v>
      </c>
    </row>
    <row r="1435" spans="1:4">
      <c r="A1435">
        <v>6135</v>
      </c>
      <c r="B1435" s="1" t="s">
        <v>261</v>
      </c>
      <c r="C1435" s="1" t="s">
        <v>1359</v>
      </c>
      <c r="D1435" s="1" t="s">
        <v>1213</v>
      </c>
    </row>
    <row r="1436" spans="1:4">
      <c r="A1436">
        <v>5000</v>
      </c>
      <c r="B1436" s="1" t="s">
        <v>852</v>
      </c>
      <c r="C1436" s="1"/>
      <c r="D1436" s="1" t="s">
        <v>1214</v>
      </c>
    </row>
    <row r="1437" spans="1:4">
      <c r="A1437">
        <v>5001</v>
      </c>
      <c r="B1437" s="1" t="s">
        <v>1109</v>
      </c>
      <c r="C1437" s="1"/>
      <c r="D1437" s="1" t="s">
        <v>1214</v>
      </c>
    </row>
    <row r="1438" spans="1:4">
      <c r="A1438">
        <v>5002</v>
      </c>
      <c r="B1438" s="1" t="s">
        <v>1110</v>
      </c>
      <c r="C1438" s="1"/>
      <c r="D1438" s="1" t="s">
        <v>1214</v>
      </c>
    </row>
    <row r="1439" spans="1:4">
      <c r="A1439">
        <v>5003</v>
      </c>
      <c r="B1439" s="1" t="s">
        <v>1111</v>
      </c>
      <c r="C1439" s="1"/>
      <c r="D1439" s="1" t="s">
        <v>1214</v>
      </c>
    </row>
    <row r="1440" spans="1:4">
      <c r="A1440">
        <v>5004</v>
      </c>
      <c r="B1440" s="1" t="s">
        <v>1112</v>
      </c>
      <c r="C1440" s="1"/>
      <c r="D1440" s="1" t="s">
        <v>1214</v>
      </c>
    </row>
    <row r="1441" spans="1:4">
      <c r="A1441">
        <v>5005</v>
      </c>
      <c r="B1441" s="1" t="s">
        <v>1113</v>
      </c>
      <c r="C1441" s="1"/>
      <c r="D1441" s="1" t="s">
        <v>1214</v>
      </c>
    </row>
    <row r="1442" spans="1:4">
      <c r="A1442">
        <v>5006</v>
      </c>
      <c r="B1442" s="1" t="s">
        <v>1114</v>
      </c>
      <c r="C1442" s="1"/>
      <c r="D1442" s="1" t="s">
        <v>1214</v>
      </c>
    </row>
    <row r="1443" spans="1:4">
      <c r="A1443">
        <v>5007</v>
      </c>
      <c r="B1443" s="1" t="s">
        <v>1115</v>
      </c>
      <c r="C1443" s="1"/>
      <c r="D1443" s="1" t="s">
        <v>1214</v>
      </c>
    </row>
    <row r="1444" spans="1:4">
      <c r="A1444">
        <v>5008</v>
      </c>
      <c r="B1444" s="1" t="s">
        <v>1116</v>
      </c>
      <c r="C1444" s="1"/>
      <c r="D1444" s="1" t="s">
        <v>1214</v>
      </c>
    </row>
    <row r="1445" spans="1:4">
      <c r="A1445">
        <v>5009</v>
      </c>
      <c r="B1445" s="1" t="s">
        <v>1117</v>
      </c>
      <c r="C1445" s="1"/>
      <c r="D1445" s="1" t="s">
        <v>1214</v>
      </c>
    </row>
    <row r="1446" spans="1:4">
      <c r="A1446">
        <v>5010</v>
      </c>
      <c r="B1446" s="1" t="s">
        <v>1118</v>
      </c>
      <c r="C1446" s="1"/>
      <c r="D1446" s="1" t="s">
        <v>1214</v>
      </c>
    </row>
    <row r="1447" spans="1:4">
      <c r="A1447">
        <v>5011</v>
      </c>
      <c r="B1447" s="1" t="s">
        <v>1119</v>
      </c>
      <c r="C1447" s="1"/>
      <c r="D1447" s="1" t="s">
        <v>1214</v>
      </c>
    </row>
    <row r="1448" spans="1:4">
      <c r="A1448">
        <v>5012</v>
      </c>
      <c r="B1448" s="1" t="s">
        <v>1120</v>
      </c>
      <c r="C1448" s="1"/>
      <c r="D1448" s="1" t="s">
        <v>1214</v>
      </c>
    </row>
    <row r="1449" spans="1:4">
      <c r="A1449">
        <v>5013</v>
      </c>
      <c r="B1449" s="1" t="s">
        <v>1121</v>
      </c>
      <c r="C1449" s="1"/>
      <c r="D1449" s="1" t="s">
        <v>1214</v>
      </c>
    </row>
    <row r="1450" spans="1:4">
      <c r="A1450">
        <v>5014</v>
      </c>
      <c r="B1450" s="1" t="s">
        <v>730</v>
      </c>
      <c r="C1450" s="1"/>
      <c r="D1450" s="1" t="s">
        <v>1214</v>
      </c>
    </row>
    <row r="1451" spans="1:4">
      <c r="A1451">
        <v>5015</v>
      </c>
      <c r="B1451" s="1" t="s">
        <v>727</v>
      </c>
      <c r="C1451" s="1"/>
      <c r="D1451" s="1" t="s">
        <v>1214</v>
      </c>
    </row>
    <row r="1452" spans="1:4">
      <c r="A1452">
        <v>5016</v>
      </c>
      <c r="B1452" s="1" t="s">
        <v>728</v>
      </c>
      <c r="C1452" s="1"/>
      <c r="D1452" s="1" t="s">
        <v>1214</v>
      </c>
    </row>
    <row r="1453" spans="1:4">
      <c r="A1453">
        <v>5017</v>
      </c>
      <c r="B1453" s="1" t="s">
        <v>729</v>
      </c>
      <c r="C1453" s="1"/>
      <c r="D1453" s="1" t="s">
        <v>1214</v>
      </c>
    </row>
    <row r="1454" spans="1:4">
      <c r="A1454">
        <v>5018</v>
      </c>
      <c r="B1454" s="1" t="s">
        <v>1122</v>
      </c>
      <c r="C1454" s="1"/>
      <c r="D1454" s="1" t="s">
        <v>1214</v>
      </c>
    </row>
    <row r="1455" spans="1:4">
      <c r="A1455">
        <v>5019</v>
      </c>
      <c r="B1455" s="1" t="s">
        <v>1123</v>
      </c>
      <c r="C1455" s="1"/>
      <c r="D1455" s="1" t="s">
        <v>1214</v>
      </c>
    </row>
    <row r="1456" spans="1:4">
      <c r="A1456">
        <v>5020</v>
      </c>
      <c r="B1456" s="1" t="s">
        <v>1124</v>
      </c>
      <c r="C1456" s="1"/>
      <c r="D1456" s="1" t="s">
        <v>1214</v>
      </c>
    </row>
    <row r="1457" spans="1:4">
      <c r="A1457">
        <v>5021</v>
      </c>
      <c r="B1457" s="1" t="s">
        <v>1125</v>
      </c>
      <c r="C1457" s="1"/>
      <c r="D1457" s="1" t="s">
        <v>1214</v>
      </c>
    </row>
    <row r="1458" spans="1:4">
      <c r="A1458">
        <v>5022</v>
      </c>
      <c r="B1458" s="1" t="s">
        <v>1126</v>
      </c>
      <c r="C1458" s="1"/>
      <c r="D1458" s="1" t="s">
        <v>1214</v>
      </c>
    </row>
    <row r="1459" spans="1:4">
      <c r="A1459">
        <v>5023</v>
      </c>
      <c r="B1459" s="1" t="s">
        <v>1127</v>
      </c>
      <c r="C1459" s="1"/>
      <c r="D1459" s="1" t="s">
        <v>1214</v>
      </c>
    </row>
    <row r="1460" spans="1:4">
      <c r="A1460">
        <v>5024</v>
      </c>
      <c r="B1460" s="1" t="s">
        <v>1128</v>
      </c>
      <c r="C1460" s="1"/>
      <c r="D1460" s="1" t="s">
        <v>1214</v>
      </c>
    </row>
    <row r="1461" spans="1:4">
      <c r="A1461">
        <v>5025</v>
      </c>
      <c r="B1461" s="1" t="s">
        <v>1129</v>
      </c>
      <c r="C1461" s="1"/>
      <c r="D1461" s="1" t="s">
        <v>1214</v>
      </c>
    </row>
    <row r="1462" spans="1:4">
      <c r="A1462">
        <v>5026</v>
      </c>
      <c r="B1462" s="1" t="s">
        <v>1130</v>
      </c>
      <c r="C1462" s="1"/>
      <c r="D1462" s="1" t="s">
        <v>1214</v>
      </c>
    </row>
    <row r="1463" spans="1:4">
      <c r="A1463">
        <v>5027</v>
      </c>
      <c r="B1463" s="1" t="s">
        <v>1131</v>
      </c>
      <c r="C1463" s="1"/>
      <c r="D1463" s="1" t="s">
        <v>1214</v>
      </c>
    </row>
    <row r="1464" spans="1:4">
      <c r="A1464">
        <v>5028</v>
      </c>
      <c r="B1464" s="1" t="s">
        <v>1132</v>
      </c>
      <c r="C1464" s="1"/>
      <c r="D1464" s="1" t="s">
        <v>1214</v>
      </c>
    </row>
    <row r="1465" spans="1:4">
      <c r="A1465">
        <v>5029</v>
      </c>
      <c r="B1465" s="1" t="s">
        <v>1133</v>
      </c>
      <c r="C1465" s="1"/>
      <c r="D1465" s="1" t="s">
        <v>1214</v>
      </c>
    </row>
    <row r="1466" spans="1:4">
      <c r="A1466">
        <v>5030</v>
      </c>
      <c r="B1466" s="1" t="s">
        <v>1134</v>
      </c>
      <c r="C1466" s="1"/>
      <c r="D1466" s="1" t="s">
        <v>1214</v>
      </c>
    </row>
    <row r="1467" spans="1:4">
      <c r="A1467">
        <v>5031</v>
      </c>
      <c r="B1467" s="1" t="s">
        <v>1135</v>
      </c>
      <c r="C1467" s="1"/>
      <c r="D1467" s="1" t="s">
        <v>1214</v>
      </c>
    </row>
    <row r="1468" spans="1:4">
      <c r="A1468">
        <v>5032</v>
      </c>
      <c r="B1468" s="1" t="s">
        <v>1136</v>
      </c>
      <c r="C1468" s="1"/>
      <c r="D1468" s="1" t="s">
        <v>1214</v>
      </c>
    </row>
    <row r="1469" spans="1:4">
      <c r="A1469">
        <v>5033</v>
      </c>
      <c r="B1469" s="1" t="s">
        <v>1137</v>
      </c>
      <c r="C1469" s="1"/>
      <c r="D1469" s="1" t="s">
        <v>1214</v>
      </c>
    </row>
    <row r="1470" spans="1:4">
      <c r="A1470">
        <v>5034</v>
      </c>
      <c r="B1470" s="1" t="s">
        <v>1138</v>
      </c>
      <c r="C1470" s="1"/>
      <c r="D1470" s="1" t="s">
        <v>1214</v>
      </c>
    </row>
    <row r="1471" spans="1:4">
      <c r="A1471">
        <v>5035</v>
      </c>
      <c r="B1471" s="1" t="s">
        <v>1139</v>
      </c>
      <c r="C1471" s="1"/>
      <c r="D1471" s="1" t="s">
        <v>1214</v>
      </c>
    </row>
    <row r="1472" spans="1:4">
      <c r="A1472">
        <v>5036</v>
      </c>
      <c r="B1472" s="1" t="s">
        <v>1140</v>
      </c>
      <c r="C1472" s="1"/>
      <c r="D1472" s="1" t="s">
        <v>1214</v>
      </c>
    </row>
    <row r="1473" spans="1:4">
      <c r="A1473">
        <v>5037</v>
      </c>
      <c r="B1473" s="1" t="s">
        <v>1141</v>
      </c>
      <c r="C1473" s="1"/>
      <c r="D1473" s="1" t="s">
        <v>1214</v>
      </c>
    </row>
    <row r="1474" spans="1:4">
      <c r="A1474">
        <v>5038</v>
      </c>
      <c r="B1474" s="1" t="s">
        <v>1142</v>
      </c>
      <c r="C1474" s="1"/>
      <c r="D1474" s="1" t="s">
        <v>1214</v>
      </c>
    </row>
    <row r="1475" spans="1:4">
      <c r="A1475">
        <v>5039</v>
      </c>
      <c r="B1475" s="1" t="s">
        <v>1143</v>
      </c>
      <c r="C1475" s="1"/>
      <c r="D1475" s="1" t="s">
        <v>1214</v>
      </c>
    </row>
    <row r="1476" spans="1:4">
      <c r="A1476">
        <v>5040</v>
      </c>
      <c r="B1476" s="1" t="s">
        <v>1144</v>
      </c>
      <c r="C1476" s="1"/>
      <c r="D1476" s="1" t="s">
        <v>1214</v>
      </c>
    </row>
    <row r="1477" spans="1:4">
      <c r="A1477">
        <v>5041</v>
      </c>
      <c r="B1477" s="1" t="s">
        <v>1145</v>
      </c>
      <c r="C1477" s="1"/>
      <c r="D1477" s="1" t="s">
        <v>1214</v>
      </c>
    </row>
    <row r="1478" spans="1:4">
      <c r="A1478">
        <v>5042</v>
      </c>
      <c r="B1478" s="1" t="s">
        <v>1146</v>
      </c>
      <c r="C1478" s="1"/>
      <c r="D1478" s="1" t="s">
        <v>1214</v>
      </c>
    </row>
    <row r="1479" spans="1:4">
      <c r="A1479">
        <v>5043</v>
      </c>
      <c r="B1479" s="1" t="s">
        <v>1147</v>
      </c>
      <c r="C1479" s="1"/>
      <c r="D1479" s="1" t="s">
        <v>1214</v>
      </c>
    </row>
    <row r="1480" spans="1:4">
      <c r="A1480">
        <v>5044</v>
      </c>
      <c r="B1480" s="1" t="s">
        <v>1148</v>
      </c>
      <c r="C1480" s="1"/>
      <c r="D1480" s="1" t="s">
        <v>1214</v>
      </c>
    </row>
    <row r="1481" spans="1:4">
      <c r="A1481">
        <v>5045</v>
      </c>
      <c r="B1481" s="1" t="s">
        <v>1149</v>
      </c>
      <c r="C1481" s="1"/>
      <c r="D1481" s="1" t="s">
        <v>1214</v>
      </c>
    </row>
    <row r="1482" spans="1:4">
      <c r="A1482">
        <v>5046</v>
      </c>
      <c r="B1482" s="1" t="s">
        <v>1150</v>
      </c>
      <c r="C1482" s="1"/>
      <c r="D1482" s="1" t="s">
        <v>1214</v>
      </c>
    </row>
    <row r="1483" spans="1:4">
      <c r="A1483">
        <v>5047</v>
      </c>
      <c r="B1483" s="1" t="s">
        <v>1151</v>
      </c>
      <c r="C1483" s="1"/>
      <c r="D1483" s="1" t="s">
        <v>1214</v>
      </c>
    </row>
    <row r="1484" spans="1:4">
      <c r="A1484">
        <v>5048</v>
      </c>
      <c r="B1484" s="1" t="s">
        <v>1152</v>
      </c>
      <c r="C1484" s="1"/>
      <c r="D1484" s="1" t="s">
        <v>1214</v>
      </c>
    </row>
    <row r="1485" spans="1:4">
      <c r="A1485">
        <v>5049</v>
      </c>
      <c r="B1485" s="1" t="s">
        <v>1153</v>
      </c>
      <c r="C1485" s="1"/>
      <c r="D1485" s="1" t="s">
        <v>1214</v>
      </c>
    </row>
    <row r="1486" spans="1:4">
      <c r="A1486">
        <v>5050</v>
      </c>
      <c r="B1486" s="1" t="s">
        <v>1154</v>
      </c>
      <c r="C1486" s="1"/>
      <c r="D1486" s="1" t="s">
        <v>1214</v>
      </c>
    </row>
    <row r="1487" spans="1:4">
      <c r="A1487">
        <v>5051</v>
      </c>
      <c r="B1487" s="1" t="s">
        <v>1155</v>
      </c>
      <c r="C1487" s="1"/>
      <c r="D1487" s="1" t="s">
        <v>1214</v>
      </c>
    </row>
    <row r="1488" spans="1:4">
      <c r="A1488">
        <v>5052</v>
      </c>
      <c r="B1488" s="1" t="s">
        <v>1156</v>
      </c>
      <c r="C1488" s="1"/>
      <c r="D1488" s="1" t="s">
        <v>1214</v>
      </c>
    </row>
    <row r="1489" spans="1:4">
      <c r="A1489">
        <v>5053</v>
      </c>
      <c r="B1489" s="1" t="s">
        <v>1157</v>
      </c>
      <c r="C1489" s="1"/>
      <c r="D1489" s="1" t="s">
        <v>1214</v>
      </c>
    </row>
    <row r="1490" spans="1:4">
      <c r="A1490">
        <v>5054</v>
      </c>
      <c r="B1490" s="1" t="s">
        <v>1158</v>
      </c>
      <c r="C1490" s="1"/>
      <c r="D1490" s="1" t="s">
        <v>1214</v>
      </c>
    </row>
    <row r="1491" spans="1:4">
      <c r="A1491">
        <v>5055</v>
      </c>
      <c r="B1491" s="1" t="s">
        <v>729</v>
      </c>
      <c r="C1491" s="1"/>
      <c r="D1491" s="1" t="s">
        <v>1214</v>
      </c>
    </row>
    <row r="1492" spans="1:4">
      <c r="A1492">
        <v>5056</v>
      </c>
      <c r="B1492" s="1" t="s">
        <v>727</v>
      </c>
      <c r="C1492" s="1"/>
      <c r="D1492" s="1" t="s">
        <v>1214</v>
      </c>
    </row>
    <row r="1493" spans="1:4">
      <c r="A1493">
        <v>5057</v>
      </c>
      <c r="B1493" s="1" t="s">
        <v>730</v>
      </c>
      <c r="C1493" s="1"/>
      <c r="D1493" s="1" t="s">
        <v>1214</v>
      </c>
    </row>
    <row r="1494" spans="1:4">
      <c r="A1494">
        <v>5058</v>
      </c>
      <c r="B1494" s="1" t="s">
        <v>728</v>
      </c>
      <c r="C1494" s="1"/>
      <c r="D1494" s="1" t="s">
        <v>1214</v>
      </c>
    </row>
    <row r="1495" spans="1:4">
      <c r="A1495">
        <v>5059</v>
      </c>
      <c r="B1495" s="1" t="s">
        <v>1159</v>
      </c>
      <c r="C1495" s="1"/>
      <c r="D1495" s="1" t="s">
        <v>1214</v>
      </c>
    </row>
    <row r="1496" spans="1:4">
      <c r="A1496">
        <v>5060</v>
      </c>
      <c r="B1496" s="1" t="s">
        <v>1160</v>
      </c>
      <c r="C1496" s="1"/>
      <c r="D1496" s="1" t="s">
        <v>1214</v>
      </c>
    </row>
    <row r="1497" spans="1:4">
      <c r="A1497">
        <v>5061</v>
      </c>
      <c r="B1497" s="1" t="s">
        <v>1161</v>
      </c>
      <c r="C1497" s="1"/>
      <c r="D1497" s="1" t="s">
        <v>1214</v>
      </c>
    </row>
    <row r="1498" spans="1:4">
      <c r="A1498">
        <v>5062</v>
      </c>
      <c r="B1498" s="1" t="s">
        <v>1162</v>
      </c>
      <c r="C1498" s="1"/>
      <c r="D1498" s="1" t="s">
        <v>1214</v>
      </c>
    </row>
    <row r="1499" spans="1:4">
      <c r="A1499">
        <v>5063</v>
      </c>
      <c r="B1499" s="1" t="s">
        <v>1163</v>
      </c>
      <c r="C1499" s="1"/>
      <c r="D1499" s="1" t="s">
        <v>1214</v>
      </c>
    </row>
    <row r="1500" spans="1:4">
      <c r="A1500">
        <v>5064</v>
      </c>
      <c r="B1500" s="1" t="s">
        <v>1164</v>
      </c>
      <c r="C1500" s="1"/>
      <c r="D1500" s="1" t="s">
        <v>1214</v>
      </c>
    </row>
    <row r="1501" spans="1:4">
      <c r="A1501">
        <v>5065</v>
      </c>
      <c r="B1501" s="1" t="s">
        <v>1165</v>
      </c>
      <c r="C1501" s="1"/>
      <c r="D1501" s="1" t="s">
        <v>1214</v>
      </c>
    </row>
    <row r="1502" spans="1:4">
      <c r="A1502">
        <v>5066</v>
      </c>
      <c r="B1502" s="1" t="s">
        <v>1166</v>
      </c>
      <c r="C1502" s="1"/>
      <c r="D1502" s="1" t="s">
        <v>1214</v>
      </c>
    </row>
    <row r="1503" spans="1:4">
      <c r="A1503">
        <v>5067</v>
      </c>
      <c r="B1503" s="1" t="s">
        <v>1167</v>
      </c>
      <c r="C1503" s="1"/>
      <c r="D1503" s="1" t="s">
        <v>1214</v>
      </c>
    </row>
    <row r="1504" spans="1:4">
      <c r="A1504">
        <v>5068</v>
      </c>
      <c r="B1504" s="1" t="s">
        <v>1168</v>
      </c>
      <c r="C1504" s="1"/>
      <c r="D1504" s="1" t="s">
        <v>1214</v>
      </c>
    </row>
    <row r="1505" spans="1:4">
      <c r="A1505">
        <v>5069</v>
      </c>
      <c r="B1505" s="1" t="s">
        <v>1169</v>
      </c>
      <c r="C1505" s="1"/>
      <c r="D1505" s="1" t="s">
        <v>1214</v>
      </c>
    </row>
    <row r="1506" spans="1:4">
      <c r="A1506">
        <v>5070</v>
      </c>
      <c r="B1506" s="1" t="s">
        <v>1170</v>
      </c>
      <c r="C1506" s="1"/>
      <c r="D1506" s="1" t="s">
        <v>1214</v>
      </c>
    </row>
    <row r="1507" spans="1:4">
      <c r="A1507">
        <v>5071</v>
      </c>
      <c r="B1507" s="1" t="s">
        <v>1171</v>
      </c>
      <c r="C1507" s="1"/>
      <c r="D1507" s="1" t="s">
        <v>1214</v>
      </c>
    </row>
    <row r="1508" spans="1:4">
      <c r="A1508">
        <v>5072</v>
      </c>
      <c r="B1508" s="1" t="s">
        <v>1172</v>
      </c>
      <c r="C1508" s="1"/>
      <c r="D1508" s="1" t="s">
        <v>1214</v>
      </c>
    </row>
    <row r="1509" spans="1:4">
      <c r="A1509">
        <v>5073</v>
      </c>
      <c r="B1509" s="1" t="s">
        <v>1173</v>
      </c>
      <c r="C1509" s="1"/>
      <c r="D1509" s="1" t="s">
        <v>1214</v>
      </c>
    </row>
    <row r="1510" spans="1:4">
      <c r="A1510">
        <v>5074</v>
      </c>
      <c r="B1510" s="1" t="s">
        <v>1174</v>
      </c>
      <c r="C1510" s="1"/>
      <c r="D1510" s="1" t="s">
        <v>1214</v>
      </c>
    </row>
    <row r="1511" spans="1:4">
      <c r="A1511">
        <v>5075</v>
      </c>
      <c r="B1511" s="1" t="s">
        <v>1175</v>
      </c>
      <c r="C1511" s="1"/>
      <c r="D1511" s="1" t="s">
        <v>1214</v>
      </c>
    </row>
    <row r="1512" spans="1:4">
      <c r="A1512">
        <v>5076</v>
      </c>
      <c r="B1512" s="1" t="s">
        <v>839</v>
      </c>
      <c r="C1512" s="1"/>
      <c r="D1512" s="1" t="s">
        <v>1214</v>
      </c>
    </row>
    <row r="1513" spans="1:4">
      <c r="A1513">
        <v>5077</v>
      </c>
      <c r="B1513" s="1" t="s">
        <v>1176</v>
      </c>
      <c r="C1513" s="1"/>
      <c r="D1513" s="1" t="s">
        <v>1214</v>
      </c>
    </row>
    <row r="1514" spans="1:4">
      <c r="A1514">
        <v>5078</v>
      </c>
      <c r="B1514" s="1" t="s">
        <v>1177</v>
      </c>
      <c r="C1514" s="1"/>
      <c r="D1514" s="1" t="s">
        <v>1214</v>
      </c>
    </row>
    <row r="1515" spans="1:4">
      <c r="A1515">
        <v>5079</v>
      </c>
      <c r="B1515" s="1" t="s">
        <v>1178</v>
      </c>
      <c r="C1515" s="1"/>
      <c r="D1515" s="1" t="s">
        <v>1214</v>
      </c>
    </row>
    <row r="1516" spans="1:4">
      <c r="A1516">
        <v>5080</v>
      </c>
      <c r="B1516" s="1" t="s">
        <v>1179</v>
      </c>
      <c r="C1516" s="1"/>
      <c r="D1516" s="1" t="s">
        <v>1214</v>
      </c>
    </row>
    <row r="1517" spans="1:4">
      <c r="A1517">
        <v>5081</v>
      </c>
      <c r="B1517" s="1" t="s">
        <v>1180</v>
      </c>
      <c r="C1517" s="1"/>
      <c r="D1517" s="1" t="s">
        <v>1214</v>
      </c>
    </row>
    <row r="1518" spans="1:4">
      <c r="A1518">
        <v>5082</v>
      </c>
      <c r="B1518" s="1" t="s">
        <v>1181</v>
      </c>
      <c r="C1518" s="1"/>
      <c r="D1518" s="1" t="s">
        <v>1214</v>
      </c>
    </row>
    <row r="1519" spans="1:4">
      <c r="A1519">
        <v>5083</v>
      </c>
      <c r="B1519" s="1" t="s">
        <v>1182</v>
      </c>
      <c r="C1519" s="1"/>
      <c r="D1519" s="1" t="s">
        <v>1214</v>
      </c>
    </row>
    <row r="1520" spans="1:4">
      <c r="A1520">
        <v>5084</v>
      </c>
      <c r="B1520" s="1" t="s">
        <v>1183</v>
      </c>
      <c r="C1520" s="1"/>
      <c r="D1520" s="1" t="s">
        <v>1214</v>
      </c>
    </row>
    <row r="1521" spans="1:4">
      <c r="A1521">
        <v>5085</v>
      </c>
      <c r="B1521" s="1" t="s">
        <v>1184</v>
      </c>
      <c r="C1521" s="1"/>
      <c r="D1521" s="1" t="s">
        <v>1214</v>
      </c>
    </row>
    <row r="1522" spans="1:4">
      <c r="A1522">
        <v>5086</v>
      </c>
      <c r="B1522" s="1" t="s">
        <v>1185</v>
      </c>
      <c r="C1522" s="1"/>
      <c r="D1522" s="1" t="s">
        <v>1214</v>
      </c>
    </row>
    <row r="1523" spans="1:4">
      <c r="A1523">
        <v>5087</v>
      </c>
      <c r="B1523" s="1" t="s">
        <v>1175</v>
      </c>
      <c r="C1523" s="1"/>
      <c r="D1523" s="1" t="s">
        <v>1214</v>
      </c>
    </row>
    <row r="1524" spans="1:4">
      <c r="A1524">
        <v>5088</v>
      </c>
      <c r="B1524" s="1" t="s">
        <v>63</v>
      </c>
      <c r="C1524" s="1"/>
      <c r="D1524" s="1" t="s">
        <v>1214</v>
      </c>
    </row>
    <row r="1525" spans="1:4">
      <c r="A1525">
        <v>5089</v>
      </c>
      <c r="B1525" s="1" t="s">
        <v>1186</v>
      </c>
      <c r="C1525" s="1"/>
      <c r="D1525" s="1" t="s">
        <v>1214</v>
      </c>
    </row>
    <row r="1526" spans="1:4">
      <c r="A1526">
        <v>5090</v>
      </c>
      <c r="B1526" s="1" t="s">
        <v>1187</v>
      </c>
      <c r="C1526" s="1"/>
      <c r="D1526" s="1" t="s">
        <v>1214</v>
      </c>
    </row>
    <row r="1527" spans="1:4">
      <c r="A1527">
        <v>5091</v>
      </c>
      <c r="B1527" s="1" t="s">
        <v>1188</v>
      </c>
      <c r="C1527" s="1"/>
      <c r="D1527" s="1" t="s">
        <v>1214</v>
      </c>
    </row>
    <row r="1528" spans="1:4">
      <c r="A1528">
        <v>5092</v>
      </c>
      <c r="B1528" s="1" t="s">
        <v>1189</v>
      </c>
      <c r="C1528" s="1"/>
      <c r="D1528" s="1" t="s">
        <v>1214</v>
      </c>
    </row>
    <row r="1529" spans="1:4">
      <c r="A1529">
        <v>5093</v>
      </c>
      <c r="B1529" s="1" t="s">
        <v>1190</v>
      </c>
      <c r="C1529" s="1"/>
      <c r="D1529" s="1" t="s">
        <v>1214</v>
      </c>
    </row>
    <row r="1530" spans="1:4">
      <c r="A1530">
        <v>5094</v>
      </c>
      <c r="B1530" s="1" t="s">
        <v>1191</v>
      </c>
      <c r="C1530" s="1"/>
      <c r="D1530" s="1" t="s">
        <v>1214</v>
      </c>
    </row>
    <row r="1531" spans="1:4">
      <c r="A1531">
        <v>5095</v>
      </c>
      <c r="B1531" s="1" t="s">
        <v>1192</v>
      </c>
      <c r="C1531" s="1"/>
      <c r="D1531" s="1" t="s">
        <v>1214</v>
      </c>
    </row>
    <row r="1532" spans="1:4">
      <c r="A1532">
        <v>5096</v>
      </c>
      <c r="B1532" s="1" t="s">
        <v>1193</v>
      </c>
      <c r="C1532" s="1"/>
      <c r="D1532" s="1" t="s">
        <v>1214</v>
      </c>
    </row>
    <row r="1533" spans="1:4">
      <c r="A1533">
        <v>5097</v>
      </c>
      <c r="B1533" s="1" t="s">
        <v>337</v>
      </c>
      <c r="C1533" s="1"/>
      <c r="D1533" s="1" t="s">
        <v>1214</v>
      </c>
    </row>
    <row r="1534" spans="1:4">
      <c r="A1534">
        <v>5098</v>
      </c>
      <c r="B1534" s="1" t="s">
        <v>1194</v>
      </c>
      <c r="C1534" s="1" t="s">
        <v>1194</v>
      </c>
      <c r="D1534" s="1" t="s">
        <v>1214</v>
      </c>
    </row>
    <row r="1535" spans="1:4">
      <c r="A1535">
        <v>5099</v>
      </c>
      <c r="B1535" s="1" t="s">
        <v>1195</v>
      </c>
      <c r="C1535" s="1" t="s">
        <v>1195</v>
      </c>
      <c r="D1535" s="1" t="s">
        <v>1214</v>
      </c>
    </row>
    <row r="1536" spans="1:4">
      <c r="A1536">
        <v>5100</v>
      </c>
      <c r="B1536" s="1" t="s">
        <v>728</v>
      </c>
      <c r="C1536" s="1" t="s">
        <v>728</v>
      </c>
      <c r="D1536" s="1" t="s">
        <v>1214</v>
      </c>
    </row>
    <row r="1537" spans="1:4">
      <c r="A1537">
        <v>5101</v>
      </c>
      <c r="B1537" s="1" t="s">
        <v>1196</v>
      </c>
      <c r="C1537" s="1" t="s">
        <v>1196</v>
      </c>
      <c r="D1537" s="1" t="s">
        <v>1214</v>
      </c>
    </row>
    <row r="1538" spans="1:4">
      <c r="A1538">
        <v>5102</v>
      </c>
      <c r="B1538" s="1" t="s">
        <v>729</v>
      </c>
      <c r="C1538" s="1" t="s">
        <v>729</v>
      </c>
      <c r="D1538" s="1" t="s">
        <v>1214</v>
      </c>
    </row>
    <row r="1539" spans="1:4">
      <c r="A1539">
        <v>5103</v>
      </c>
      <c r="B1539" s="1" t="s">
        <v>730</v>
      </c>
      <c r="C1539" s="1" t="s">
        <v>730</v>
      </c>
      <c r="D1539" s="1" t="s">
        <v>1214</v>
      </c>
    </row>
    <row r="1540" spans="1:4">
      <c r="A1540">
        <v>5104</v>
      </c>
      <c r="B1540" s="1" t="s">
        <v>1197</v>
      </c>
      <c r="C1540" s="1" t="s">
        <v>1197</v>
      </c>
      <c r="D1540" s="1" t="s">
        <v>1214</v>
      </c>
    </row>
    <row r="1541" spans="1:4">
      <c r="A1541">
        <v>5203</v>
      </c>
      <c r="B1541" s="1" t="s">
        <v>1111</v>
      </c>
      <c r="C1541" s="1"/>
      <c r="D1541" s="1" t="s">
        <v>1215</v>
      </c>
    </row>
    <row r="1542" spans="1:4">
      <c r="A1542">
        <v>5204</v>
      </c>
      <c r="B1542" s="1" t="s">
        <v>1112</v>
      </c>
      <c r="C1542" s="1"/>
      <c r="D1542" s="1" t="s">
        <v>1215</v>
      </c>
    </row>
    <row r="1543" spans="1:4">
      <c r="A1543">
        <v>5205</v>
      </c>
      <c r="B1543" s="1" t="s">
        <v>1113</v>
      </c>
      <c r="C1543" s="1"/>
      <c r="D1543" s="1" t="s">
        <v>1215</v>
      </c>
    </row>
    <row r="1544" spans="1:4">
      <c r="A1544">
        <v>5206</v>
      </c>
      <c r="B1544" s="1" t="s">
        <v>1114</v>
      </c>
      <c r="C1544" s="1"/>
      <c r="D1544" s="1" t="s">
        <v>1215</v>
      </c>
    </row>
    <row r="1545" spans="1:4">
      <c r="A1545">
        <v>5207</v>
      </c>
      <c r="B1545" s="1" t="s">
        <v>1115</v>
      </c>
      <c r="C1545" s="1"/>
      <c r="D1545" s="1" t="s">
        <v>1215</v>
      </c>
    </row>
    <row r="1546" spans="1:4">
      <c r="A1546">
        <v>5208</v>
      </c>
      <c r="B1546" s="1" t="s">
        <v>1116</v>
      </c>
      <c r="C1546" s="1"/>
      <c r="D1546" s="1" t="s">
        <v>1215</v>
      </c>
    </row>
    <row r="1547" spans="1:4">
      <c r="A1547">
        <v>5209</v>
      </c>
      <c r="B1547" s="1" t="s">
        <v>1117</v>
      </c>
      <c r="C1547" s="1"/>
      <c r="D1547" s="1" t="s">
        <v>1215</v>
      </c>
    </row>
    <row r="1548" spans="1:4">
      <c r="A1548">
        <v>5210</v>
      </c>
      <c r="B1548" s="1" t="s">
        <v>1118</v>
      </c>
      <c r="C1548" s="1"/>
      <c r="D1548" s="1" t="s">
        <v>1215</v>
      </c>
    </row>
    <row r="1549" spans="1:4">
      <c r="A1549">
        <v>5211</v>
      </c>
      <c r="B1549" s="1" t="s">
        <v>1119</v>
      </c>
      <c r="C1549" s="1"/>
      <c r="D1549" s="1" t="s">
        <v>1215</v>
      </c>
    </row>
    <row r="1550" spans="1:4">
      <c r="A1550">
        <v>5212</v>
      </c>
      <c r="B1550" s="1" t="s">
        <v>1120</v>
      </c>
      <c r="C1550" s="1"/>
      <c r="D1550" s="1" t="s">
        <v>1215</v>
      </c>
    </row>
    <row r="1551" spans="1:4">
      <c r="A1551">
        <v>5213</v>
      </c>
      <c r="B1551" s="1" t="s">
        <v>1121</v>
      </c>
      <c r="C1551" s="1"/>
      <c r="D1551" s="1" t="s">
        <v>1215</v>
      </c>
    </row>
    <row r="1552" spans="1:4">
      <c r="A1552">
        <v>5214</v>
      </c>
      <c r="B1552" s="1" t="s">
        <v>730</v>
      </c>
      <c r="C1552" s="1"/>
      <c r="D1552" s="1" t="s">
        <v>1215</v>
      </c>
    </row>
    <row r="1553" spans="1:4">
      <c r="A1553">
        <v>5215</v>
      </c>
      <c r="B1553" s="1" t="s">
        <v>727</v>
      </c>
      <c r="C1553" s="1"/>
      <c r="D1553" s="1" t="s">
        <v>1215</v>
      </c>
    </row>
    <row r="1554" spans="1:4">
      <c r="A1554">
        <v>5216</v>
      </c>
      <c r="B1554" s="1" t="s">
        <v>728</v>
      </c>
      <c r="C1554" s="1"/>
      <c r="D1554" s="1" t="s">
        <v>1215</v>
      </c>
    </row>
    <row r="1555" spans="1:4">
      <c r="A1555">
        <v>5217</v>
      </c>
      <c r="B1555" s="1" t="s">
        <v>729</v>
      </c>
      <c r="C1555" s="1"/>
      <c r="D1555" s="1" t="s">
        <v>1215</v>
      </c>
    </row>
    <row r="1556" spans="1:4">
      <c r="A1556">
        <v>5218</v>
      </c>
      <c r="B1556" s="1" t="s">
        <v>1122</v>
      </c>
      <c r="C1556" s="1"/>
      <c r="D1556" s="1" t="s">
        <v>1215</v>
      </c>
    </row>
    <row r="1557" spans="1:4">
      <c r="A1557">
        <v>5219</v>
      </c>
      <c r="B1557" s="1" t="s">
        <v>1123</v>
      </c>
      <c r="C1557" s="1"/>
      <c r="D1557" s="1" t="s">
        <v>1215</v>
      </c>
    </row>
    <row r="1558" spans="1:4">
      <c r="A1558">
        <v>5220</v>
      </c>
      <c r="B1558" s="1" t="s">
        <v>1124</v>
      </c>
      <c r="C1558" s="1"/>
      <c r="D1558" s="1" t="s">
        <v>1215</v>
      </c>
    </row>
    <row r="1559" spans="1:4">
      <c r="A1559">
        <v>5221</v>
      </c>
      <c r="B1559" s="1" t="s">
        <v>1125</v>
      </c>
      <c r="C1559" s="1"/>
      <c r="D1559" s="1" t="s">
        <v>1215</v>
      </c>
    </row>
    <row r="1560" spans="1:4">
      <c r="A1560">
        <v>5222</v>
      </c>
      <c r="B1560" s="1" t="s">
        <v>1126</v>
      </c>
      <c r="C1560" s="1"/>
      <c r="D1560" s="1" t="s">
        <v>1215</v>
      </c>
    </row>
    <row r="1561" spans="1:4">
      <c r="A1561">
        <v>5223</v>
      </c>
      <c r="B1561" s="1" t="s">
        <v>1127</v>
      </c>
      <c r="C1561" s="1"/>
      <c r="D1561" s="1" t="s">
        <v>1215</v>
      </c>
    </row>
    <row r="1562" spans="1:4">
      <c r="A1562">
        <v>5224</v>
      </c>
      <c r="B1562" s="1" t="s">
        <v>1128</v>
      </c>
      <c r="C1562" s="1"/>
      <c r="D1562" s="1" t="s">
        <v>1215</v>
      </c>
    </row>
    <row r="1563" spans="1:4">
      <c r="A1563">
        <v>5225</v>
      </c>
      <c r="B1563" s="1" t="s">
        <v>1129</v>
      </c>
      <c r="C1563" s="1"/>
      <c r="D1563" s="1" t="s">
        <v>1215</v>
      </c>
    </row>
    <row r="1564" spans="1:4">
      <c r="A1564">
        <v>5226</v>
      </c>
      <c r="B1564" s="1" t="s">
        <v>1130</v>
      </c>
      <c r="C1564" s="1"/>
      <c r="D1564" s="1" t="s">
        <v>1215</v>
      </c>
    </row>
    <row r="1565" spans="1:4">
      <c r="A1565">
        <v>5227</v>
      </c>
      <c r="B1565" s="1" t="s">
        <v>1131</v>
      </c>
      <c r="C1565" s="1"/>
      <c r="D1565" s="1" t="s">
        <v>1215</v>
      </c>
    </row>
    <row r="1566" spans="1:4">
      <c r="A1566">
        <v>5228</v>
      </c>
      <c r="B1566" s="1" t="s">
        <v>1132</v>
      </c>
      <c r="C1566" s="1"/>
      <c r="D1566" s="1" t="s">
        <v>1215</v>
      </c>
    </row>
    <row r="1567" spans="1:4">
      <c r="A1567">
        <v>5229</v>
      </c>
      <c r="B1567" s="1" t="s">
        <v>1133</v>
      </c>
      <c r="C1567" s="1"/>
      <c r="D1567" s="1" t="s">
        <v>1215</v>
      </c>
    </row>
    <row r="1568" spans="1:4">
      <c r="A1568">
        <v>5230</v>
      </c>
      <c r="B1568" s="1" t="s">
        <v>1134</v>
      </c>
      <c r="C1568" s="1"/>
      <c r="D1568" s="1" t="s">
        <v>1215</v>
      </c>
    </row>
    <row r="1569" spans="1:4">
      <c r="A1569">
        <v>5231</v>
      </c>
      <c r="B1569" s="1" t="s">
        <v>1135</v>
      </c>
      <c r="C1569" s="1"/>
      <c r="D1569" s="1" t="s">
        <v>1215</v>
      </c>
    </row>
    <row r="1570" spans="1:4">
      <c r="A1570">
        <v>5232</v>
      </c>
      <c r="B1570" s="1" t="s">
        <v>1136</v>
      </c>
      <c r="C1570" s="1"/>
      <c r="D1570" s="1" t="s">
        <v>1215</v>
      </c>
    </row>
    <row r="1571" spans="1:4">
      <c r="A1571">
        <v>5233</v>
      </c>
      <c r="B1571" s="1" t="s">
        <v>1137</v>
      </c>
      <c r="C1571" s="1"/>
      <c r="D1571" s="1" t="s">
        <v>1215</v>
      </c>
    </row>
    <row r="1572" spans="1:4">
      <c r="A1572">
        <v>5234</v>
      </c>
      <c r="B1572" s="1" t="s">
        <v>1138</v>
      </c>
      <c r="C1572" s="1"/>
      <c r="D1572" s="1" t="s">
        <v>1215</v>
      </c>
    </row>
    <row r="1573" spans="1:4">
      <c r="A1573">
        <v>5235</v>
      </c>
      <c r="B1573" s="1" t="s">
        <v>1139</v>
      </c>
      <c r="C1573" s="1"/>
      <c r="D1573" s="1" t="s">
        <v>1215</v>
      </c>
    </row>
    <row r="1574" spans="1:4">
      <c r="A1574">
        <v>5236</v>
      </c>
      <c r="B1574" s="1" t="s">
        <v>1140</v>
      </c>
      <c r="C1574" s="1"/>
      <c r="D1574" s="1" t="s">
        <v>1215</v>
      </c>
    </row>
    <row r="1575" spans="1:4">
      <c r="A1575">
        <v>5237</v>
      </c>
      <c r="B1575" s="1" t="s">
        <v>1141</v>
      </c>
      <c r="C1575" s="1"/>
      <c r="D1575" s="1" t="s">
        <v>1215</v>
      </c>
    </row>
    <row r="1576" spans="1:4">
      <c r="A1576">
        <v>5238</v>
      </c>
      <c r="B1576" s="1" t="s">
        <v>1142</v>
      </c>
      <c r="C1576" s="1"/>
      <c r="D1576" s="1" t="s">
        <v>1215</v>
      </c>
    </row>
    <row r="1577" spans="1:4">
      <c r="A1577">
        <v>5239</v>
      </c>
      <c r="B1577" s="1" t="s">
        <v>1143</v>
      </c>
      <c r="C1577" s="1"/>
      <c r="D1577" s="1" t="s">
        <v>1215</v>
      </c>
    </row>
    <row r="1578" spans="1:4">
      <c r="A1578">
        <v>5240</v>
      </c>
      <c r="B1578" s="1" t="s">
        <v>1144</v>
      </c>
      <c r="C1578" s="1"/>
      <c r="D1578" s="1" t="s">
        <v>1215</v>
      </c>
    </row>
    <row r="1579" spans="1:4">
      <c r="A1579">
        <v>5241</v>
      </c>
      <c r="B1579" s="1" t="s">
        <v>1145</v>
      </c>
      <c r="C1579" s="1"/>
      <c r="D1579" s="1" t="s">
        <v>1215</v>
      </c>
    </row>
    <row r="1580" spans="1:4">
      <c r="A1580">
        <v>5242</v>
      </c>
      <c r="B1580" s="1" t="s">
        <v>1146</v>
      </c>
      <c r="C1580" s="1"/>
      <c r="D1580" s="1" t="s">
        <v>1215</v>
      </c>
    </row>
    <row r="1581" spans="1:4">
      <c r="A1581">
        <v>5243</v>
      </c>
      <c r="B1581" s="1" t="s">
        <v>1147</v>
      </c>
      <c r="C1581" s="1"/>
      <c r="D1581" s="1" t="s">
        <v>1215</v>
      </c>
    </row>
    <row r="1582" spans="1:4">
      <c r="A1582">
        <v>5244</v>
      </c>
      <c r="B1582" s="1" t="s">
        <v>1148</v>
      </c>
      <c r="C1582" s="1"/>
      <c r="D1582" s="1" t="s">
        <v>1215</v>
      </c>
    </row>
    <row r="1583" spans="1:4">
      <c r="A1583">
        <v>5245</v>
      </c>
      <c r="B1583" s="1" t="s">
        <v>1149</v>
      </c>
      <c r="C1583" s="1"/>
      <c r="D1583" s="1" t="s">
        <v>1215</v>
      </c>
    </row>
    <row r="1584" spans="1:4">
      <c r="A1584">
        <v>5246</v>
      </c>
      <c r="B1584" s="1" t="s">
        <v>1150</v>
      </c>
      <c r="C1584" s="1"/>
      <c r="D1584" s="1" t="s">
        <v>1215</v>
      </c>
    </row>
    <row r="1585" spans="1:4">
      <c r="A1585">
        <v>5247</v>
      </c>
      <c r="B1585" s="1" t="s">
        <v>1151</v>
      </c>
      <c r="C1585" s="1"/>
      <c r="D1585" s="1" t="s">
        <v>1215</v>
      </c>
    </row>
    <row r="1586" spans="1:4">
      <c r="A1586">
        <v>5248</v>
      </c>
      <c r="B1586" s="1" t="s">
        <v>1152</v>
      </c>
      <c r="C1586" s="1"/>
      <c r="D1586" s="1" t="s">
        <v>1215</v>
      </c>
    </row>
    <row r="1587" spans="1:4">
      <c r="A1587">
        <v>5249</v>
      </c>
      <c r="B1587" s="1" t="s">
        <v>1153</v>
      </c>
      <c r="C1587" s="1"/>
      <c r="D1587" s="1" t="s">
        <v>1215</v>
      </c>
    </row>
    <row r="1588" spans="1:4">
      <c r="A1588">
        <v>5250</v>
      </c>
      <c r="B1588" s="1" t="s">
        <v>1154</v>
      </c>
      <c r="C1588" s="1"/>
      <c r="D1588" s="1" t="s">
        <v>1215</v>
      </c>
    </row>
    <row r="1589" spans="1:4">
      <c r="A1589">
        <v>5251</v>
      </c>
      <c r="B1589" s="1" t="s">
        <v>1155</v>
      </c>
      <c r="C1589" s="1"/>
      <c r="D1589" s="1" t="s">
        <v>1215</v>
      </c>
    </row>
    <row r="1590" spans="1:4">
      <c r="A1590">
        <v>5252</v>
      </c>
      <c r="B1590" s="1" t="s">
        <v>1156</v>
      </c>
      <c r="C1590" s="1"/>
      <c r="D1590" s="1" t="s">
        <v>1215</v>
      </c>
    </row>
    <row r="1591" spans="1:4">
      <c r="A1591">
        <v>5253</v>
      </c>
      <c r="B1591" s="1" t="s">
        <v>1157</v>
      </c>
      <c r="C1591" s="1"/>
      <c r="D1591" s="1" t="s">
        <v>1215</v>
      </c>
    </row>
    <row r="1592" spans="1:4">
      <c r="A1592">
        <v>5254</v>
      </c>
      <c r="B1592" s="1" t="s">
        <v>1158</v>
      </c>
      <c r="C1592" s="1"/>
      <c r="D1592" s="1" t="s">
        <v>1215</v>
      </c>
    </row>
    <row r="1593" spans="1:4">
      <c r="A1593">
        <v>5255</v>
      </c>
      <c r="B1593" s="1" t="s">
        <v>729</v>
      </c>
      <c r="C1593" s="1"/>
      <c r="D1593" s="1" t="s">
        <v>1215</v>
      </c>
    </row>
    <row r="1594" spans="1:4">
      <c r="A1594">
        <v>5256</v>
      </c>
      <c r="B1594" s="1" t="s">
        <v>727</v>
      </c>
      <c r="C1594" s="1"/>
      <c r="D1594" s="1" t="s">
        <v>1215</v>
      </c>
    </row>
    <row r="1595" spans="1:4">
      <c r="A1595">
        <v>5257</v>
      </c>
      <c r="B1595" s="1" t="s">
        <v>730</v>
      </c>
      <c r="C1595" s="1"/>
      <c r="D1595" s="1" t="s">
        <v>1215</v>
      </c>
    </row>
    <row r="1596" spans="1:4">
      <c r="A1596">
        <v>5258</v>
      </c>
      <c r="B1596" s="1" t="s">
        <v>728</v>
      </c>
      <c r="C1596" s="1"/>
      <c r="D1596" s="1" t="s">
        <v>1215</v>
      </c>
    </row>
    <row r="1597" spans="1:4">
      <c r="A1597">
        <v>5259</v>
      </c>
      <c r="B1597" s="1" t="s">
        <v>1159</v>
      </c>
      <c r="C1597" s="1"/>
      <c r="D1597" s="1" t="s">
        <v>1215</v>
      </c>
    </row>
    <row r="1598" spans="1:4">
      <c r="A1598">
        <v>5260</v>
      </c>
      <c r="B1598" s="1" t="s">
        <v>1160</v>
      </c>
      <c r="C1598" s="1"/>
      <c r="D1598" s="1" t="s">
        <v>1215</v>
      </c>
    </row>
    <row r="1599" spans="1:4">
      <c r="A1599">
        <v>5261</v>
      </c>
      <c r="B1599" s="1" t="s">
        <v>1161</v>
      </c>
      <c r="C1599" s="1"/>
      <c r="D1599" s="1" t="s">
        <v>1215</v>
      </c>
    </row>
    <row r="1600" spans="1:4">
      <c r="A1600">
        <v>5262</v>
      </c>
      <c r="B1600" s="1" t="s">
        <v>1162</v>
      </c>
      <c r="C1600" s="1"/>
      <c r="D1600" s="1" t="s">
        <v>1215</v>
      </c>
    </row>
    <row r="1601" spans="1:4">
      <c r="A1601">
        <v>5263</v>
      </c>
      <c r="B1601" s="1" t="s">
        <v>1163</v>
      </c>
      <c r="C1601" s="1"/>
      <c r="D1601" s="1" t="s">
        <v>1215</v>
      </c>
    </row>
    <row r="1602" spans="1:4">
      <c r="A1602">
        <v>5264</v>
      </c>
      <c r="B1602" s="1" t="s">
        <v>1164</v>
      </c>
      <c r="C1602" s="1"/>
      <c r="D1602" s="1" t="s">
        <v>1215</v>
      </c>
    </row>
    <row r="1603" spans="1:4">
      <c r="A1603">
        <v>5265</v>
      </c>
      <c r="B1603" s="1" t="s">
        <v>1165</v>
      </c>
      <c r="C1603" s="1"/>
      <c r="D1603" s="1" t="s">
        <v>1215</v>
      </c>
    </row>
    <row r="1604" spans="1:4">
      <c r="A1604">
        <v>5266</v>
      </c>
      <c r="B1604" s="1" t="s">
        <v>1166</v>
      </c>
      <c r="C1604" s="1"/>
      <c r="D1604" s="1" t="s">
        <v>1215</v>
      </c>
    </row>
    <row r="1605" spans="1:4">
      <c r="A1605">
        <v>5267</v>
      </c>
      <c r="B1605" s="1" t="s">
        <v>1167</v>
      </c>
      <c r="C1605" s="1"/>
      <c r="D1605" s="1" t="s">
        <v>1215</v>
      </c>
    </row>
    <row r="1606" spans="1:4">
      <c r="A1606">
        <v>5268</v>
      </c>
      <c r="B1606" s="1" t="s">
        <v>1168</v>
      </c>
      <c r="C1606" s="1"/>
      <c r="D1606" s="1" t="s">
        <v>1215</v>
      </c>
    </row>
    <row r="1607" spans="1:4">
      <c r="A1607">
        <v>5269</v>
      </c>
      <c r="B1607" s="1" t="s">
        <v>1169</v>
      </c>
      <c r="C1607" s="1"/>
      <c r="D1607" s="1" t="s">
        <v>1215</v>
      </c>
    </row>
    <row r="1608" spans="1:4">
      <c r="A1608">
        <v>5270</v>
      </c>
      <c r="B1608" s="1" t="s">
        <v>1170</v>
      </c>
      <c r="C1608" s="1"/>
      <c r="D1608" s="1" t="s">
        <v>1215</v>
      </c>
    </row>
    <row r="1609" spans="1:4">
      <c r="A1609">
        <v>5271</v>
      </c>
      <c r="B1609" s="1" t="s">
        <v>1171</v>
      </c>
      <c r="C1609" s="1"/>
      <c r="D1609" s="1" t="s">
        <v>1215</v>
      </c>
    </row>
    <row r="1610" spans="1:4">
      <c r="A1610">
        <v>5272</v>
      </c>
      <c r="B1610" s="1" t="s">
        <v>1172</v>
      </c>
      <c r="C1610" s="1"/>
      <c r="D1610" s="1" t="s">
        <v>1215</v>
      </c>
    </row>
    <row r="1611" spans="1:4">
      <c r="A1611">
        <v>5273</v>
      </c>
      <c r="B1611" s="1" t="s">
        <v>1173</v>
      </c>
      <c r="C1611" s="1"/>
      <c r="D1611" s="1" t="s">
        <v>1215</v>
      </c>
    </row>
    <row r="1612" spans="1:4">
      <c r="A1612">
        <v>5274</v>
      </c>
      <c r="B1612" s="1" t="s">
        <v>1174</v>
      </c>
      <c r="C1612" s="1"/>
      <c r="D1612" s="1" t="s">
        <v>1215</v>
      </c>
    </row>
    <row r="1613" spans="1:4">
      <c r="A1613">
        <v>5275</v>
      </c>
      <c r="B1613" s="1" t="s">
        <v>1175</v>
      </c>
      <c r="C1613" s="1"/>
      <c r="D1613" s="1" t="s">
        <v>1215</v>
      </c>
    </row>
    <row r="1614" spans="1:4">
      <c r="A1614">
        <v>5276</v>
      </c>
      <c r="B1614" s="1" t="s">
        <v>839</v>
      </c>
      <c r="C1614" s="1"/>
      <c r="D1614" s="1" t="s">
        <v>1215</v>
      </c>
    </row>
    <row r="1615" spans="1:4">
      <c r="A1615">
        <v>5277</v>
      </c>
      <c r="B1615" s="1" t="s">
        <v>1176</v>
      </c>
      <c r="C1615" s="1"/>
      <c r="D1615" s="1" t="s">
        <v>1215</v>
      </c>
    </row>
    <row r="1616" spans="1:4">
      <c r="A1616">
        <v>5278</v>
      </c>
      <c r="B1616" s="1" t="s">
        <v>1177</v>
      </c>
      <c r="C1616" s="1"/>
      <c r="D1616" s="1" t="s">
        <v>1215</v>
      </c>
    </row>
    <row r="1617" spans="1:4">
      <c r="A1617">
        <v>5279</v>
      </c>
      <c r="B1617" s="1" t="s">
        <v>1178</v>
      </c>
      <c r="C1617" s="1"/>
      <c r="D1617" s="1" t="s">
        <v>1215</v>
      </c>
    </row>
    <row r="1618" spans="1:4">
      <c r="A1618">
        <v>5280</v>
      </c>
      <c r="B1618" s="1" t="s">
        <v>1179</v>
      </c>
      <c r="C1618" s="1"/>
      <c r="D1618" s="1" t="s">
        <v>1215</v>
      </c>
    </row>
    <row r="1619" spans="1:4">
      <c r="A1619">
        <v>5281</v>
      </c>
      <c r="B1619" s="1" t="s">
        <v>1180</v>
      </c>
      <c r="C1619" s="1"/>
      <c r="D1619" s="1" t="s">
        <v>1215</v>
      </c>
    </row>
    <row r="1620" spans="1:4">
      <c r="A1620">
        <v>5282</v>
      </c>
      <c r="B1620" s="1" t="s">
        <v>1181</v>
      </c>
      <c r="C1620" s="1"/>
      <c r="D1620" s="1" t="s">
        <v>1215</v>
      </c>
    </row>
    <row r="1621" spans="1:4">
      <c r="A1621">
        <v>5283</v>
      </c>
      <c r="B1621" s="1" t="s">
        <v>1182</v>
      </c>
      <c r="C1621" s="1"/>
      <c r="D1621" s="1" t="s">
        <v>1215</v>
      </c>
    </row>
    <row r="1622" spans="1:4">
      <c r="A1622">
        <v>5284</v>
      </c>
      <c r="B1622" s="1" t="s">
        <v>1183</v>
      </c>
      <c r="C1622" s="1"/>
      <c r="D1622" s="1" t="s">
        <v>1215</v>
      </c>
    </row>
    <row r="1623" spans="1:4">
      <c r="A1623">
        <v>5285</v>
      </c>
      <c r="B1623" s="1" t="s">
        <v>1184</v>
      </c>
      <c r="C1623" s="1"/>
      <c r="D1623" s="1" t="s">
        <v>1215</v>
      </c>
    </row>
    <row r="1624" spans="1:4">
      <c r="A1624">
        <v>5286</v>
      </c>
      <c r="B1624" s="1" t="s">
        <v>1185</v>
      </c>
      <c r="C1624" s="1"/>
      <c r="D1624" s="1" t="s">
        <v>1215</v>
      </c>
    </row>
    <row r="1625" spans="1:4">
      <c r="A1625">
        <v>5287</v>
      </c>
      <c r="B1625" s="1" t="s">
        <v>1175</v>
      </c>
      <c r="C1625" s="1"/>
      <c r="D1625" s="1" t="s">
        <v>1215</v>
      </c>
    </row>
    <row r="1626" spans="1:4">
      <c r="A1626">
        <v>5288</v>
      </c>
      <c r="B1626" s="1" t="s">
        <v>63</v>
      </c>
      <c r="C1626" s="1"/>
      <c r="D1626" s="1" t="s">
        <v>1215</v>
      </c>
    </row>
    <row r="1627" spans="1:4">
      <c r="A1627">
        <v>5289</v>
      </c>
      <c r="B1627" s="1" t="s">
        <v>1186</v>
      </c>
      <c r="C1627" s="1"/>
      <c r="D1627" s="1" t="s">
        <v>1215</v>
      </c>
    </row>
    <row r="1628" spans="1:4">
      <c r="A1628">
        <v>5290</v>
      </c>
      <c r="B1628" s="1" t="s">
        <v>1187</v>
      </c>
      <c r="C1628" s="1"/>
      <c r="D1628" s="1" t="s">
        <v>1215</v>
      </c>
    </row>
    <row r="1629" spans="1:4">
      <c r="A1629">
        <v>5291</v>
      </c>
      <c r="B1629" s="1" t="s">
        <v>1188</v>
      </c>
      <c r="C1629" s="1"/>
      <c r="D1629" s="1" t="s">
        <v>1215</v>
      </c>
    </row>
    <row r="1630" spans="1:4">
      <c r="A1630">
        <v>5292</v>
      </c>
      <c r="B1630" s="1" t="s">
        <v>1189</v>
      </c>
      <c r="C1630" s="1"/>
      <c r="D1630" s="1" t="s">
        <v>1215</v>
      </c>
    </row>
    <row r="1631" spans="1:4">
      <c r="A1631">
        <v>5293</v>
      </c>
      <c r="B1631" s="1" t="s">
        <v>1190</v>
      </c>
      <c r="C1631" s="1"/>
      <c r="D1631" s="1" t="s">
        <v>1215</v>
      </c>
    </row>
    <row r="1632" spans="1:4">
      <c r="A1632">
        <v>5294</v>
      </c>
      <c r="B1632" s="1" t="s">
        <v>1191</v>
      </c>
      <c r="C1632" s="1"/>
      <c r="D1632" s="1" t="s">
        <v>1215</v>
      </c>
    </row>
    <row r="1633" spans="1:4">
      <c r="A1633">
        <v>5295</v>
      </c>
      <c r="B1633" s="1" t="s">
        <v>1192</v>
      </c>
      <c r="C1633" s="1"/>
      <c r="D1633" s="1" t="s">
        <v>1215</v>
      </c>
    </row>
    <row r="1634" spans="1:4">
      <c r="A1634">
        <v>5296</v>
      </c>
      <c r="B1634" s="1" t="s">
        <v>1193</v>
      </c>
      <c r="C1634" s="1"/>
      <c r="D1634" s="1" t="s">
        <v>1215</v>
      </c>
    </row>
    <row r="1635" spans="1:4">
      <c r="A1635">
        <v>5297</v>
      </c>
      <c r="B1635" s="1" t="s">
        <v>337</v>
      </c>
      <c r="C1635" s="1"/>
      <c r="D1635" s="1" t="s">
        <v>1215</v>
      </c>
    </row>
    <row r="1636" spans="1:4">
      <c r="A1636">
        <v>5298</v>
      </c>
      <c r="B1636" s="1" t="s">
        <v>1194</v>
      </c>
      <c r="C1636" s="1" t="s">
        <v>4638</v>
      </c>
      <c r="D1636" s="1" t="s">
        <v>1215</v>
      </c>
    </row>
    <row r="1637" spans="1:4">
      <c r="A1637" t="s">
        <v>1772</v>
      </c>
      <c r="B1637" s="1" t="s">
        <v>1773</v>
      </c>
      <c r="C1637" s="1"/>
      <c r="D1637" s="1"/>
    </row>
    <row r="1638" spans="1:4">
      <c r="A1638" t="s">
        <v>1774</v>
      </c>
      <c r="B1638" s="1"/>
      <c r="C1638" s="1" t="s">
        <v>1775</v>
      </c>
      <c r="D1638" s="1"/>
    </row>
    <row r="1639" spans="1:4">
      <c r="A1639" t="s">
        <v>1776</v>
      </c>
      <c r="B1639" s="1" t="s">
        <v>1777</v>
      </c>
      <c r="C1639" s="1" t="s">
        <v>1778</v>
      </c>
      <c r="D1639" s="1" t="s">
        <v>1775</v>
      </c>
    </row>
    <row r="1640" spans="1:4">
      <c r="A1640" t="s">
        <v>1779</v>
      </c>
      <c r="B1640" s="1" t="s">
        <v>1780</v>
      </c>
      <c r="C1640" s="1" t="s">
        <v>1781</v>
      </c>
      <c r="D1640" s="1" t="s">
        <v>1775</v>
      </c>
    </row>
    <row r="1641" spans="1:4">
      <c r="A1641" t="s">
        <v>1782</v>
      </c>
      <c r="B1641" s="1" t="s">
        <v>1783</v>
      </c>
      <c r="C1641" s="1"/>
      <c r="D1641" s="1" t="s">
        <v>1775</v>
      </c>
    </row>
    <row r="1642" spans="1:4">
      <c r="A1642" t="s">
        <v>1784</v>
      </c>
      <c r="B1642" s="1" t="s">
        <v>662</v>
      </c>
      <c r="C1642" s="1"/>
      <c r="D1642" s="1" t="s">
        <v>1775</v>
      </c>
    </row>
    <row r="1643" spans="1:4">
      <c r="A1643" t="s">
        <v>1785</v>
      </c>
      <c r="B1643" s="1" t="s">
        <v>1786</v>
      </c>
      <c r="C1643" s="1" t="s">
        <v>1787</v>
      </c>
      <c r="D1643" s="1" t="s">
        <v>1775</v>
      </c>
    </row>
    <row r="1644" spans="1:4">
      <c r="A1644" t="s">
        <v>1788</v>
      </c>
      <c r="B1644" s="1" t="s">
        <v>1789</v>
      </c>
      <c r="C1644" s="1"/>
      <c r="D1644" s="1" t="s">
        <v>1775</v>
      </c>
    </row>
    <row r="1645" spans="1:4">
      <c r="A1645" t="s">
        <v>1790</v>
      </c>
      <c r="B1645" s="1" t="s">
        <v>1791</v>
      </c>
      <c r="C1645" s="1" t="s">
        <v>1792</v>
      </c>
      <c r="D1645" s="1" t="s">
        <v>1775</v>
      </c>
    </row>
    <row r="1646" spans="1:4">
      <c r="A1646" t="s">
        <v>1793</v>
      </c>
      <c r="B1646" s="1" t="s">
        <v>662</v>
      </c>
      <c r="C1646" s="1"/>
      <c r="D1646" s="1" t="s">
        <v>1775</v>
      </c>
    </row>
    <row r="1647" spans="1:4">
      <c r="A1647" t="s">
        <v>1794</v>
      </c>
      <c r="B1647" s="1" t="s">
        <v>1795</v>
      </c>
      <c r="C1647" s="1" t="s">
        <v>1796</v>
      </c>
      <c r="D1647" s="1" t="s">
        <v>1775</v>
      </c>
    </row>
    <row r="1648" spans="1:4">
      <c r="A1648" t="s">
        <v>1797</v>
      </c>
      <c r="B1648" s="1" t="s">
        <v>1798</v>
      </c>
      <c r="C1648" s="1"/>
      <c r="D1648" s="1"/>
    </row>
    <row r="1649" spans="1:4">
      <c r="A1649" t="s">
        <v>1799</v>
      </c>
      <c r="B1649" s="1" t="s">
        <v>1427</v>
      </c>
      <c r="C1649" s="1"/>
      <c r="D1649" s="1"/>
    </row>
    <row r="1650" spans="1:4">
      <c r="A1650" t="s">
        <v>1800</v>
      </c>
      <c r="B1650" s="1" t="s">
        <v>1775</v>
      </c>
      <c r="C1650" s="1"/>
      <c r="D1650" s="1"/>
    </row>
    <row r="1651" spans="1:4">
      <c r="A1651" t="s">
        <v>1801</v>
      </c>
      <c r="B1651" s="1" t="s">
        <v>1802</v>
      </c>
      <c r="C1651" s="1"/>
      <c r="D1651" s="1"/>
    </row>
    <row r="1652" spans="1:4">
      <c r="A1652" t="s">
        <v>1803</v>
      </c>
      <c r="B1652" s="1" t="s">
        <v>1804</v>
      </c>
      <c r="C1652" s="1" t="s">
        <v>1775</v>
      </c>
      <c r="D1652" s="1"/>
    </row>
    <row r="1653" spans="1:4">
      <c r="A1653" t="s">
        <v>2185</v>
      </c>
      <c r="B1653" s="1" t="s">
        <v>2179</v>
      </c>
      <c r="C1653" s="1" t="s">
        <v>4651</v>
      </c>
      <c r="D1653" s="1" t="s">
        <v>2178</v>
      </c>
    </row>
    <row r="1654" spans="1:4">
      <c r="A1654" t="s">
        <v>2186</v>
      </c>
      <c r="B1654" s="1" t="s">
        <v>2181</v>
      </c>
      <c r="C1654" s="1" t="s">
        <v>4652</v>
      </c>
      <c r="D1654" s="1" t="s">
        <v>2178</v>
      </c>
    </row>
    <row r="1655" spans="1:4">
      <c r="A1655" t="s">
        <v>2187</v>
      </c>
      <c r="B1655" s="1" t="s">
        <v>2183</v>
      </c>
      <c r="C1655" s="1" t="s">
        <v>4653</v>
      </c>
      <c r="D1655" s="1" t="s">
        <v>2178</v>
      </c>
    </row>
    <row r="1656" spans="1:4">
      <c r="A1656" t="s">
        <v>2188</v>
      </c>
      <c r="B1656" s="1" t="s">
        <v>2268</v>
      </c>
      <c r="C1656" s="1" t="s">
        <v>4654</v>
      </c>
      <c r="D1656" s="1" t="s">
        <v>2178</v>
      </c>
    </row>
    <row r="1657" spans="1:4">
      <c r="A1657" t="s">
        <v>2189</v>
      </c>
      <c r="B1657" s="1" t="s">
        <v>2270</v>
      </c>
      <c r="C1657" s="1" t="s">
        <v>4655</v>
      </c>
      <c r="D1657" s="1" t="s">
        <v>2178</v>
      </c>
    </row>
    <row r="1658" spans="1:4">
      <c r="A1658" t="s">
        <v>2190</v>
      </c>
      <c r="B1658" s="1" t="s">
        <v>2272</v>
      </c>
      <c r="C1658" s="1" t="s">
        <v>4656</v>
      </c>
      <c r="D1658" s="1" t="s">
        <v>2178</v>
      </c>
    </row>
    <row r="1659" spans="1:4">
      <c r="A1659" t="s">
        <v>2191</v>
      </c>
      <c r="B1659" s="1" t="s">
        <v>2274</v>
      </c>
      <c r="C1659" s="1" t="s">
        <v>4657</v>
      </c>
      <c r="D1659" s="1" t="s">
        <v>2178</v>
      </c>
    </row>
    <row r="1660" spans="1:4">
      <c r="A1660" t="s">
        <v>2192</v>
      </c>
      <c r="B1660" s="1" t="s">
        <v>2276</v>
      </c>
      <c r="C1660" s="1" t="s">
        <v>4658</v>
      </c>
      <c r="D1660" s="1" t="s">
        <v>2178</v>
      </c>
    </row>
    <row r="1661" spans="1:4">
      <c r="A1661" t="s">
        <v>2193</v>
      </c>
      <c r="B1661" s="1" t="s">
        <v>2278</v>
      </c>
      <c r="C1661" s="1" t="s">
        <v>4659</v>
      </c>
      <c r="D1661" s="1" t="s">
        <v>2178</v>
      </c>
    </row>
    <row r="1662" spans="1:4">
      <c r="A1662" t="s">
        <v>2194</v>
      </c>
      <c r="B1662" s="1" t="s">
        <v>2280</v>
      </c>
      <c r="C1662" s="1" t="s">
        <v>4660</v>
      </c>
      <c r="D1662" s="1" t="s">
        <v>2178</v>
      </c>
    </row>
    <row r="1663" spans="1:4">
      <c r="A1663" t="s">
        <v>2195</v>
      </c>
      <c r="B1663" s="1" t="s">
        <v>2282</v>
      </c>
      <c r="C1663" s="1" t="s">
        <v>4661</v>
      </c>
      <c r="D1663" s="1" t="s">
        <v>2178</v>
      </c>
    </row>
    <row r="1664" spans="1:4">
      <c r="A1664" t="s">
        <v>2196</v>
      </c>
      <c r="B1664" s="1" t="s">
        <v>2284</v>
      </c>
      <c r="C1664" s="1" t="s">
        <v>4662</v>
      </c>
      <c r="D1664" s="1" t="s">
        <v>2178</v>
      </c>
    </row>
    <row r="1665" spans="1:4">
      <c r="A1665" t="s">
        <v>2197</v>
      </c>
      <c r="B1665" s="1" t="s">
        <v>2286</v>
      </c>
      <c r="C1665" s="1" t="s">
        <v>4663</v>
      </c>
      <c r="D1665" s="1" t="s">
        <v>2178</v>
      </c>
    </row>
    <row r="1666" spans="1:4">
      <c r="A1666" t="s">
        <v>2198</v>
      </c>
      <c r="B1666" s="1" t="s">
        <v>2288</v>
      </c>
      <c r="C1666" s="1" t="s">
        <v>4664</v>
      </c>
      <c r="D1666" s="1" t="s">
        <v>2178</v>
      </c>
    </row>
    <row r="1667" spans="1:4">
      <c r="A1667" t="s">
        <v>2199</v>
      </c>
      <c r="B1667" s="1" t="s">
        <v>2290</v>
      </c>
      <c r="C1667" s="1" t="s">
        <v>4708</v>
      </c>
      <c r="D1667" s="1" t="s">
        <v>2178</v>
      </c>
    </row>
    <row r="1668" spans="1:4">
      <c r="A1668" t="s">
        <v>2200</v>
      </c>
      <c r="B1668" s="1" t="s">
        <v>2292</v>
      </c>
      <c r="C1668" s="1" t="s">
        <v>4665</v>
      </c>
      <c r="D1668" s="1" t="s">
        <v>2178</v>
      </c>
    </row>
    <row r="1669" spans="1:4">
      <c r="A1669" t="s">
        <v>2201</v>
      </c>
      <c r="B1669" s="1" t="s">
        <v>2294</v>
      </c>
      <c r="C1669" s="1" t="s">
        <v>4666</v>
      </c>
      <c r="D1669" s="1" t="s">
        <v>2178</v>
      </c>
    </row>
    <row r="1670" spans="1:4">
      <c r="A1670" t="s">
        <v>2202</v>
      </c>
      <c r="B1670" s="1" t="s">
        <v>2298</v>
      </c>
      <c r="C1670" s="1" t="s">
        <v>4667</v>
      </c>
      <c r="D1670" s="1" t="s">
        <v>2178</v>
      </c>
    </row>
    <row r="1671" spans="1:4">
      <c r="A1671" t="s">
        <v>2203</v>
      </c>
      <c r="B1671" s="1" t="s">
        <v>2296</v>
      </c>
      <c r="C1671" s="1" t="s">
        <v>4668</v>
      </c>
      <c r="D1671" s="1" t="s">
        <v>2178</v>
      </c>
    </row>
    <row r="1672" spans="1:4">
      <c r="A1672" t="s">
        <v>2204</v>
      </c>
      <c r="B1672" s="1" t="s">
        <v>2300</v>
      </c>
      <c r="C1672" s="1" t="s">
        <v>4669</v>
      </c>
      <c r="D1672" s="1" t="s">
        <v>2178</v>
      </c>
    </row>
    <row r="1673" spans="1:4">
      <c r="A1673" t="s">
        <v>2205</v>
      </c>
      <c r="B1673" s="1" t="s">
        <v>2302</v>
      </c>
      <c r="C1673" s="1" t="s">
        <v>4670</v>
      </c>
      <c r="D1673" s="1" t="s">
        <v>2178</v>
      </c>
    </row>
    <row r="1674" spans="1:4">
      <c r="A1674" t="s">
        <v>2206</v>
      </c>
      <c r="B1674" s="1" t="s">
        <v>2304</v>
      </c>
      <c r="C1674" s="1" t="s">
        <v>2428</v>
      </c>
      <c r="D1674" s="1" t="s">
        <v>2178</v>
      </c>
    </row>
    <row r="1675" spans="1:4">
      <c r="A1675" t="s">
        <v>2207</v>
      </c>
      <c r="B1675" s="1" t="s">
        <v>2306</v>
      </c>
      <c r="C1675" s="1" t="s">
        <v>2429</v>
      </c>
      <c r="D1675" s="1" t="s">
        <v>2178</v>
      </c>
    </row>
    <row r="1676" spans="1:4">
      <c r="A1676" t="s">
        <v>2208</v>
      </c>
      <c r="B1676" s="1" t="s">
        <v>2308</v>
      </c>
      <c r="C1676" s="1" t="s">
        <v>2430</v>
      </c>
      <c r="D1676" s="1" t="s">
        <v>2178</v>
      </c>
    </row>
    <row r="1677" spans="1:4">
      <c r="A1677" t="s">
        <v>2209</v>
      </c>
      <c r="B1677" s="1" t="s">
        <v>2310</v>
      </c>
      <c r="C1677" s="1" t="s">
        <v>2431</v>
      </c>
      <c r="D1677" s="1" t="s">
        <v>2178</v>
      </c>
    </row>
    <row r="1678" spans="1:4">
      <c r="A1678" t="s">
        <v>2210</v>
      </c>
      <c r="B1678" s="1" t="s">
        <v>2312</v>
      </c>
      <c r="C1678" s="1" t="s">
        <v>2432</v>
      </c>
      <c r="D1678" s="1" t="s">
        <v>2178</v>
      </c>
    </row>
    <row r="1679" spans="1:4">
      <c r="A1679" t="s">
        <v>2211</v>
      </c>
      <c r="B1679" s="1" t="s">
        <v>2314</v>
      </c>
      <c r="C1679" s="1" t="s">
        <v>2433</v>
      </c>
      <c r="D1679" s="1" t="s">
        <v>2178</v>
      </c>
    </row>
    <row r="1680" spans="1:4">
      <c r="A1680" t="s">
        <v>2212</v>
      </c>
      <c r="B1680" s="1" t="s">
        <v>2316</v>
      </c>
      <c r="C1680" s="1" t="s">
        <v>2434</v>
      </c>
      <c r="D1680" s="1" t="s">
        <v>2178</v>
      </c>
    </row>
    <row r="1681" spans="1:4">
      <c r="A1681" t="s">
        <v>2213</v>
      </c>
      <c r="B1681" s="1" t="s">
        <v>2318</v>
      </c>
      <c r="C1681" s="1" t="s">
        <v>2435</v>
      </c>
      <c r="D1681" s="1" t="s">
        <v>2178</v>
      </c>
    </row>
    <row r="1682" spans="1:4">
      <c r="A1682" t="s">
        <v>2214</v>
      </c>
      <c r="B1682" s="1" t="s">
        <v>2320</v>
      </c>
      <c r="C1682" s="1" t="s">
        <v>2436</v>
      </c>
      <c r="D1682" s="1" t="s">
        <v>2178</v>
      </c>
    </row>
    <row r="1683" spans="1:4">
      <c r="A1683" t="s">
        <v>2215</v>
      </c>
      <c r="B1683" s="1" t="s">
        <v>2322</v>
      </c>
      <c r="C1683" s="1" t="s">
        <v>2437</v>
      </c>
      <c r="D1683" s="1" t="s">
        <v>2178</v>
      </c>
    </row>
    <row r="1684" spans="1:4">
      <c r="A1684" t="s">
        <v>2216</v>
      </c>
      <c r="B1684" s="1" t="s">
        <v>2324</v>
      </c>
      <c r="C1684" s="1" t="s">
        <v>2438</v>
      </c>
      <c r="D1684" s="1" t="s">
        <v>2178</v>
      </c>
    </row>
    <row r="1685" spans="1:4">
      <c r="A1685" t="s">
        <v>2217</v>
      </c>
      <c r="B1685" s="1" t="s">
        <v>2326</v>
      </c>
      <c r="C1685" s="1" t="s">
        <v>2439</v>
      </c>
      <c r="D1685" s="1" t="s">
        <v>2178</v>
      </c>
    </row>
    <row r="1686" spans="1:4">
      <c r="A1686" t="s">
        <v>2218</v>
      </c>
      <c r="B1686" s="1" t="s">
        <v>2328</v>
      </c>
      <c r="C1686" s="1" t="s">
        <v>2440</v>
      </c>
      <c r="D1686" s="1" t="s">
        <v>2178</v>
      </c>
    </row>
    <row r="1687" spans="1:4">
      <c r="A1687" t="s">
        <v>2219</v>
      </c>
      <c r="B1687" s="1" t="s">
        <v>2330</v>
      </c>
      <c r="C1687" s="1" t="s">
        <v>2441</v>
      </c>
      <c r="D1687" s="1" t="s">
        <v>2178</v>
      </c>
    </row>
    <row r="1688" spans="1:4">
      <c r="A1688" t="s">
        <v>2220</v>
      </c>
      <c r="B1688" s="1" t="s">
        <v>2332</v>
      </c>
      <c r="C1688" s="1" t="s">
        <v>2442</v>
      </c>
      <c r="D1688" s="1" t="s">
        <v>2178</v>
      </c>
    </row>
    <row r="1689" spans="1:4">
      <c r="A1689" t="s">
        <v>2221</v>
      </c>
      <c r="B1689" s="1" t="s">
        <v>2334</v>
      </c>
      <c r="C1689" s="1" t="s">
        <v>2443</v>
      </c>
      <c r="D1689" s="1" t="s">
        <v>2178</v>
      </c>
    </row>
    <row r="1690" spans="1:4">
      <c r="A1690" t="s">
        <v>2222</v>
      </c>
      <c r="B1690" s="1" t="s">
        <v>2336</v>
      </c>
      <c r="C1690" s="1" t="s">
        <v>4671</v>
      </c>
      <c r="D1690" s="1" t="s">
        <v>2178</v>
      </c>
    </row>
    <row r="1691" spans="1:4">
      <c r="A1691" t="s">
        <v>2223</v>
      </c>
      <c r="B1691" s="1" t="s">
        <v>2338</v>
      </c>
      <c r="C1691" s="1" t="s">
        <v>2444</v>
      </c>
      <c r="D1691" s="1" t="s">
        <v>2178</v>
      </c>
    </row>
    <row r="1692" spans="1:4">
      <c r="A1692" t="s">
        <v>2224</v>
      </c>
      <c r="B1692" s="1" t="s">
        <v>2340</v>
      </c>
      <c r="C1692" s="1" t="s">
        <v>2445</v>
      </c>
      <c r="D1692" s="1" t="s">
        <v>2178</v>
      </c>
    </row>
    <row r="1693" spans="1:4">
      <c r="A1693" t="s">
        <v>2225</v>
      </c>
      <c r="B1693" s="1" t="s">
        <v>2342</v>
      </c>
      <c r="C1693" s="1" t="s">
        <v>2446</v>
      </c>
      <c r="D1693" s="1" t="s">
        <v>2178</v>
      </c>
    </row>
    <row r="1694" spans="1:4">
      <c r="A1694" t="s">
        <v>2226</v>
      </c>
      <c r="B1694" s="1" t="s">
        <v>2344</v>
      </c>
      <c r="C1694" s="1" t="s">
        <v>2447</v>
      </c>
      <c r="D1694" s="1" t="s">
        <v>2178</v>
      </c>
    </row>
    <row r="1695" spans="1:4">
      <c r="A1695" t="s">
        <v>2227</v>
      </c>
      <c r="B1695" s="1" t="s">
        <v>2346</v>
      </c>
      <c r="C1695" s="1" t="s">
        <v>2448</v>
      </c>
      <c r="D1695" s="1" t="s">
        <v>2178</v>
      </c>
    </row>
    <row r="1696" spans="1:4">
      <c r="A1696" t="s">
        <v>2228</v>
      </c>
      <c r="B1696" s="1" t="s">
        <v>2348</v>
      </c>
      <c r="C1696" s="1" t="s">
        <v>2449</v>
      </c>
      <c r="D1696" s="1" t="s">
        <v>2178</v>
      </c>
    </row>
    <row r="1697" spans="1:4">
      <c r="A1697" t="s">
        <v>2229</v>
      </c>
      <c r="B1697" s="1" t="s">
        <v>2350</v>
      </c>
      <c r="C1697" s="1" t="s">
        <v>2450</v>
      </c>
      <c r="D1697" s="1" t="s">
        <v>2178</v>
      </c>
    </row>
    <row r="1698" spans="1:4">
      <c r="A1698" t="s">
        <v>2230</v>
      </c>
      <c r="B1698" s="1" t="s">
        <v>2352</v>
      </c>
      <c r="C1698" s="1" t="s">
        <v>2451</v>
      </c>
      <c r="D1698" s="1" t="s">
        <v>2178</v>
      </c>
    </row>
    <row r="1699" spans="1:4">
      <c r="A1699" t="s">
        <v>2231</v>
      </c>
      <c r="B1699" s="1" t="s">
        <v>2354</v>
      </c>
      <c r="C1699" s="1" t="s">
        <v>4672</v>
      </c>
      <c r="D1699" s="1" t="s">
        <v>2178</v>
      </c>
    </row>
    <row r="1700" spans="1:4">
      <c r="A1700" t="s">
        <v>2232</v>
      </c>
      <c r="B1700" s="1" t="s">
        <v>2356</v>
      </c>
      <c r="C1700" s="1" t="s">
        <v>4673</v>
      </c>
      <c r="D1700" s="1" t="s">
        <v>2178</v>
      </c>
    </row>
    <row r="1701" spans="1:4">
      <c r="A1701" t="s">
        <v>2233</v>
      </c>
      <c r="B1701" s="1" t="s">
        <v>2358</v>
      </c>
      <c r="C1701" s="1" t="s">
        <v>4674</v>
      </c>
      <c r="D1701" s="1" t="s">
        <v>2178</v>
      </c>
    </row>
    <row r="1702" spans="1:4">
      <c r="A1702" t="s">
        <v>2234</v>
      </c>
      <c r="B1702" s="1" t="s">
        <v>2360</v>
      </c>
      <c r="C1702" s="1" t="s">
        <v>4675</v>
      </c>
      <c r="D1702" s="1" t="s">
        <v>2178</v>
      </c>
    </row>
    <row r="1703" spans="1:4">
      <c r="A1703" t="s">
        <v>2235</v>
      </c>
      <c r="B1703" s="1" t="s">
        <v>2362</v>
      </c>
      <c r="C1703" s="1" t="s">
        <v>4676</v>
      </c>
      <c r="D1703" s="1" t="s">
        <v>2178</v>
      </c>
    </row>
    <row r="1704" spans="1:4">
      <c r="A1704" t="s">
        <v>2236</v>
      </c>
      <c r="B1704" s="1" t="s">
        <v>2364</v>
      </c>
      <c r="C1704" s="1" t="s">
        <v>4677</v>
      </c>
      <c r="D1704" s="1" t="s">
        <v>2178</v>
      </c>
    </row>
    <row r="1705" spans="1:4">
      <c r="A1705" t="s">
        <v>2237</v>
      </c>
      <c r="B1705" s="1" t="s">
        <v>2366</v>
      </c>
      <c r="C1705" s="1" t="s">
        <v>4678</v>
      </c>
      <c r="D1705" s="1" t="s">
        <v>2178</v>
      </c>
    </row>
    <row r="1706" spans="1:4">
      <c r="A1706" t="s">
        <v>2238</v>
      </c>
      <c r="B1706" s="1" t="s">
        <v>2368</v>
      </c>
      <c r="C1706" s="1" t="s">
        <v>4679</v>
      </c>
      <c r="D1706" s="1" t="s">
        <v>2178</v>
      </c>
    </row>
    <row r="1707" spans="1:4">
      <c r="A1707" t="s">
        <v>2239</v>
      </c>
      <c r="B1707" s="1" t="s">
        <v>2370</v>
      </c>
      <c r="C1707" s="1" t="s">
        <v>4680</v>
      </c>
      <c r="D1707" s="1" t="s">
        <v>2178</v>
      </c>
    </row>
    <row r="1708" spans="1:4">
      <c r="A1708" t="s">
        <v>2240</v>
      </c>
      <c r="B1708" s="1" t="s">
        <v>2372</v>
      </c>
      <c r="C1708" s="1" t="s">
        <v>4681</v>
      </c>
      <c r="D1708" s="1" t="s">
        <v>2178</v>
      </c>
    </row>
    <row r="1709" spans="1:4">
      <c r="A1709" t="s">
        <v>2241</v>
      </c>
      <c r="B1709" s="1" t="s">
        <v>2374</v>
      </c>
      <c r="C1709" s="1" t="s">
        <v>4682</v>
      </c>
      <c r="D1709" s="1" t="s">
        <v>2178</v>
      </c>
    </row>
    <row r="1710" spans="1:4">
      <c r="A1710" t="s">
        <v>2242</v>
      </c>
      <c r="B1710" s="1" t="s">
        <v>2376</v>
      </c>
      <c r="C1710" s="1" t="s">
        <v>4683</v>
      </c>
      <c r="D1710" s="1" t="s">
        <v>2178</v>
      </c>
    </row>
    <row r="1711" spans="1:4">
      <c r="A1711" t="s">
        <v>2243</v>
      </c>
      <c r="B1711" s="1" t="s">
        <v>2378</v>
      </c>
      <c r="C1711" s="1" t="s">
        <v>4684</v>
      </c>
      <c r="D1711" s="1" t="s">
        <v>2178</v>
      </c>
    </row>
    <row r="1712" spans="1:4">
      <c r="A1712" t="s">
        <v>2244</v>
      </c>
      <c r="B1712" s="1" t="s">
        <v>2380</v>
      </c>
      <c r="C1712" s="1" t="s">
        <v>4685</v>
      </c>
      <c r="D1712" s="1" t="s">
        <v>2178</v>
      </c>
    </row>
    <row r="1713" spans="1:4">
      <c r="A1713" t="s">
        <v>2245</v>
      </c>
      <c r="B1713" s="1" t="s">
        <v>2382</v>
      </c>
      <c r="C1713" s="1" t="s">
        <v>4686</v>
      </c>
      <c r="D1713" s="1" t="s">
        <v>2178</v>
      </c>
    </row>
    <row r="1714" spans="1:4">
      <c r="A1714" t="s">
        <v>2246</v>
      </c>
      <c r="B1714" s="1" t="s">
        <v>2384</v>
      </c>
      <c r="C1714" s="1" t="s">
        <v>4687</v>
      </c>
      <c r="D1714" s="1" t="s">
        <v>2178</v>
      </c>
    </row>
    <row r="1715" spans="1:4">
      <c r="A1715" t="s">
        <v>2247</v>
      </c>
      <c r="B1715" s="1" t="s">
        <v>2386</v>
      </c>
      <c r="C1715" s="1" t="s">
        <v>4688</v>
      </c>
      <c r="D1715" s="1" t="s">
        <v>2178</v>
      </c>
    </row>
    <row r="1716" spans="1:4">
      <c r="A1716" t="s">
        <v>2248</v>
      </c>
      <c r="B1716" s="1" t="s">
        <v>2388</v>
      </c>
      <c r="C1716" s="1" t="s">
        <v>4689</v>
      </c>
      <c r="D1716" s="1" t="s">
        <v>2178</v>
      </c>
    </row>
    <row r="1717" spans="1:4">
      <c r="A1717" t="s">
        <v>2249</v>
      </c>
      <c r="B1717" s="1" t="s">
        <v>2390</v>
      </c>
      <c r="C1717" s="1" t="s">
        <v>4690</v>
      </c>
      <c r="D1717" s="1" t="s">
        <v>2178</v>
      </c>
    </row>
    <row r="1718" spans="1:4">
      <c r="A1718" t="s">
        <v>2250</v>
      </c>
      <c r="B1718" s="1" t="s">
        <v>2392</v>
      </c>
      <c r="C1718" s="1" t="s">
        <v>4691</v>
      </c>
      <c r="D1718" s="1" t="s">
        <v>2178</v>
      </c>
    </row>
    <row r="1719" spans="1:4">
      <c r="A1719" t="s">
        <v>2251</v>
      </c>
      <c r="B1719" s="1" t="s">
        <v>2394</v>
      </c>
      <c r="C1719" s="1" t="s">
        <v>4692</v>
      </c>
      <c r="D1719" s="1" t="s">
        <v>2178</v>
      </c>
    </row>
    <row r="1720" spans="1:4">
      <c r="A1720" t="s">
        <v>2252</v>
      </c>
      <c r="B1720" s="1" t="s">
        <v>2396</v>
      </c>
      <c r="C1720" s="1" t="s">
        <v>4693</v>
      </c>
      <c r="D1720" s="1" t="s">
        <v>2178</v>
      </c>
    </row>
    <row r="1721" spans="1:4">
      <c r="A1721" t="s">
        <v>2253</v>
      </c>
      <c r="B1721" s="1" t="s">
        <v>2398</v>
      </c>
      <c r="C1721" s="1" t="s">
        <v>4694</v>
      </c>
      <c r="D1721" s="1" t="s">
        <v>2178</v>
      </c>
    </row>
    <row r="1722" spans="1:4">
      <c r="A1722" t="s">
        <v>2254</v>
      </c>
      <c r="B1722" s="1" t="s">
        <v>2400</v>
      </c>
      <c r="C1722" s="1" t="s">
        <v>4695</v>
      </c>
      <c r="D1722" s="1" t="s">
        <v>2178</v>
      </c>
    </row>
    <row r="1723" spans="1:4">
      <c r="A1723" t="s">
        <v>2255</v>
      </c>
      <c r="B1723" s="1" t="s">
        <v>2402</v>
      </c>
      <c r="C1723" s="1" t="s">
        <v>4696</v>
      </c>
      <c r="D1723" s="1" t="s">
        <v>2178</v>
      </c>
    </row>
    <row r="1724" spans="1:4">
      <c r="A1724" t="s">
        <v>2256</v>
      </c>
      <c r="B1724" s="1" t="s">
        <v>2404</v>
      </c>
      <c r="C1724" s="1" t="s">
        <v>4697</v>
      </c>
      <c r="D1724" s="1" t="s">
        <v>2178</v>
      </c>
    </row>
    <row r="1725" spans="1:4">
      <c r="A1725" t="s">
        <v>2257</v>
      </c>
      <c r="B1725" s="1" t="s">
        <v>2406</v>
      </c>
      <c r="C1725" s="1" t="s">
        <v>4698</v>
      </c>
      <c r="D1725" s="1" t="s">
        <v>2178</v>
      </c>
    </row>
    <row r="1726" spans="1:4">
      <c r="A1726" t="s">
        <v>2258</v>
      </c>
      <c r="B1726" s="1" t="s">
        <v>2408</v>
      </c>
      <c r="C1726" s="1" t="s">
        <v>4699</v>
      </c>
      <c r="D1726" s="1" t="s">
        <v>2178</v>
      </c>
    </row>
    <row r="1727" spans="1:4">
      <c r="A1727" t="s">
        <v>2259</v>
      </c>
      <c r="B1727" s="1" t="s">
        <v>2410</v>
      </c>
      <c r="C1727" s="1" t="s">
        <v>4700</v>
      </c>
      <c r="D1727" s="1" t="s">
        <v>2178</v>
      </c>
    </row>
    <row r="1728" spans="1:4">
      <c r="A1728" t="s">
        <v>2260</v>
      </c>
      <c r="B1728" s="1" t="s">
        <v>2412</v>
      </c>
      <c r="C1728" s="1" t="s">
        <v>4701</v>
      </c>
      <c r="D1728" s="1" t="s">
        <v>2178</v>
      </c>
    </row>
    <row r="1729" spans="1:4">
      <c r="A1729" t="s">
        <v>2261</v>
      </c>
      <c r="B1729" s="1" t="s">
        <v>2414</v>
      </c>
      <c r="C1729" s="1" t="s">
        <v>4702</v>
      </c>
      <c r="D1729" s="1" t="s">
        <v>2178</v>
      </c>
    </row>
    <row r="1730" spans="1:4">
      <c r="A1730" t="s">
        <v>2262</v>
      </c>
      <c r="B1730" s="1" t="s">
        <v>2416</v>
      </c>
      <c r="C1730" s="1" t="s">
        <v>4709</v>
      </c>
      <c r="D1730" s="1" t="s">
        <v>2178</v>
      </c>
    </row>
    <row r="1731" spans="1:4">
      <c r="A1731" t="s">
        <v>2263</v>
      </c>
      <c r="B1731" s="1" t="s">
        <v>2418</v>
      </c>
      <c r="C1731" s="1" t="s">
        <v>4703</v>
      </c>
      <c r="D1731" s="1" t="s">
        <v>2178</v>
      </c>
    </row>
    <row r="1732" spans="1:4">
      <c r="A1732" t="s">
        <v>2264</v>
      </c>
      <c r="B1732" s="1" t="s">
        <v>2420</v>
      </c>
      <c r="C1732" s="1" t="s">
        <v>4704</v>
      </c>
      <c r="D1732" s="1" t="s">
        <v>2178</v>
      </c>
    </row>
    <row r="1733" spans="1:4">
      <c r="A1733" t="s">
        <v>2265</v>
      </c>
      <c r="B1733" s="1" t="s">
        <v>2422</v>
      </c>
      <c r="C1733" s="1" t="s">
        <v>4705</v>
      </c>
      <c r="D1733" s="1" t="s">
        <v>2178</v>
      </c>
    </row>
    <row r="1734" spans="1:4">
      <c r="A1734" t="s">
        <v>2266</v>
      </c>
      <c r="B1734" s="1" t="s">
        <v>2424</v>
      </c>
      <c r="C1734" s="1" t="s">
        <v>4706</v>
      </c>
      <c r="D1734" s="1" t="s">
        <v>2178</v>
      </c>
    </row>
    <row r="1735" spans="1:4">
      <c r="A1735" t="s">
        <v>2267</v>
      </c>
      <c r="B1735" s="1" t="s">
        <v>2426</v>
      </c>
      <c r="C1735" s="1" t="s">
        <v>4707</v>
      </c>
      <c r="D1735" s="1" t="s">
        <v>2178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612E2C-C448-4C71-B7A3-715DE9EADC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常量</vt:lpstr>
      <vt:lpstr>数据引用</vt:lpstr>
      <vt:lpstr>数据引用!文本翻译对照表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2016-05-02T15:27:58Z</dcterms:modified>
</cp:coreProperties>
</file>