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1" i="1"/>
  <c r="C12" i="1"/>
  <c r="C13" i="1"/>
  <c r="C14" i="1"/>
  <c r="C15" i="1"/>
  <c r="C16" i="1"/>
  <c r="C17" i="1"/>
  <c r="C18" i="1"/>
  <c r="C20" i="1"/>
  <c r="C21" i="1"/>
  <c r="C22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B5" i="1"/>
  <c r="B6" i="1"/>
  <c r="B7" i="1"/>
  <c r="B8" i="1"/>
  <c r="B9" i="1"/>
  <c r="B11" i="1"/>
  <c r="B12" i="1"/>
  <c r="B13" i="1"/>
  <c r="B14" i="1"/>
  <c r="B15" i="1"/>
  <c r="B16" i="1"/>
  <c r="B17" i="1"/>
  <c r="B18" i="1"/>
  <c r="B20" i="1"/>
  <c r="B21" i="1"/>
  <c r="B22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M3" i="2" l="1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M307" i="2"/>
  <c r="N307" i="2"/>
  <c r="O307" i="2"/>
  <c r="M308" i="2"/>
  <c r="N308" i="2"/>
  <c r="O308" i="2"/>
  <c r="M309" i="2"/>
  <c r="N309" i="2"/>
  <c r="O309" i="2"/>
  <c r="M310" i="2"/>
  <c r="N310" i="2"/>
  <c r="O310" i="2"/>
  <c r="M311" i="2"/>
  <c r="N311" i="2"/>
  <c r="O311" i="2"/>
  <c r="M312" i="2"/>
  <c r="N312" i="2"/>
  <c r="O312" i="2"/>
  <c r="M313" i="2"/>
  <c r="N313" i="2"/>
  <c r="O313" i="2"/>
  <c r="M314" i="2"/>
  <c r="N314" i="2"/>
  <c r="O314" i="2"/>
  <c r="M315" i="2"/>
  <c r="N315" i="2"/>
  <c r="O315" i="2"/>
  <c r="M316" i="2"/>
  <c r="N316" i="2"/>
  <c r="O316" i="2"/>
  <c r="M317" i="2"/>
  <c r="N317" i="2"/>
  <c r="O317" i="2"/>
  <c r="M318" i="2"/>
  <c r="N318" i="2"/>
  <c r="O318" i="2"/>
  <c r="C1148" i="1" l="1"/>
  <c r="B1148" i="1"/>
  <c r="C1084" i="1"/>
  <c r="B1084" i="1"/>
  <c r="B276" i="1"/>
  <c r="C276" i="1"/>
  <c r="B220" i="1"/>
  <c r="C220" i="1"/>
  <c r="B124" i="1"/>
  <c r="C124" i="1"/>
  <c r="B68" i="1"/>
  <c r="C68" i="1"/>
  <c r="C1163" i="1"/>
  <c r="B1163" i="1"/>
  <c r="C1155" i="1"/>
  <c r="B1155" i="1"/>
  <c r="C1147" i="1"/>
  <c r="B1147" i="1"/>
  <c r="C1139" i="1"/>
  <c r="B1139" i="1"/>
  <c r="C1131" i="1"/>
  <c r="B1131" i="1"/>
  <c r="C1123" i="1"/>
  <c r="B1123" i="1"/>
  <c r="C1115" i="1"/>
  <c r="B1115" i="1"/>
  <c r="C1107" i="1"/>
  <c r="B1107" i="1"/>
  <c r="C1099" i="1"/>
  <c r="B1099" i="1"/>
  <c r="C1091" i="1"/>
  <c r="B1091" i="1"/>
  <c r="C1083" i="1"/>
  <c r="B1083" i="1"/>
  <c r="C1075" i="1"/>
  <c r="B1075" i="1"/>
  <c r="C1067" i="1"/>
  <c r="B1067" i="1"/>
  <c r="C1059" i="1"/>
  <c r="B1059" i="1"/>
  <c r="C1051" i="1"/>
  <c r="B1051" i="1"/>
  <c r="C1043" i="1"/>
  <c r="B1043" i="1"/>
  <c r="C299" i="1"/>
  <c r="B299" i="1"/>
  <c r="C291" i="1"/>
  <c r="B291" i="1"/>
  <c r="C283" i="1"/>
  <c r="B283" i="1"/>
  <c r="C275" i="1"/>
  <c r="B275" i="1"/>
  <c r="C267" i="1"/>
  <c r="B267" i="1"/>
  <c r="C259" i="1"/>
  <c r="B259" i="1"/>
  <c r="C251" i="1"/>
  <c r="B251" i="1"/>
  <c r="C243" i="1"/>
  <c r="B243" i="1"/>
  <c r="C235" i="1"/>
  <c r="B235" i="1"/>
  <c r="C227" i="1"/>
  <c r="B227" i="1"/>
  <c r="C219" i="1"/>
  <c r="B219" i="1"/>
  <c r="C211" i="1"/>
  <c r="B211" i="1"/>
  <c r="C203" i="1"/>
  <c r="B203" i="1"/>
  <c r="C195" i="1"/>
  <c r="B195" i="1"/>
  <c r="C187" i="1"/>
  <c r="B187" i="1"/>
  <c r="C179" i="1"/>
  <c r="B179" i="1"/>
  <c r="C163" i="1"/>
  <c r="B163" i="1"/>
  <c r="C155" i="1"/>
  <c r="B155" i="1"/>
  <c r="C147" i="1"/>
  <c r="B147" i="1"/>
  <c r="C139" i="1"/>
  <c r="B139" i="1"/>
  <c r="C131" i="1"/>
  <c r="B131" i="1"/>
  <c r="C123" i="1"/>
  <c r="B123" i="1"/>
  <c r="C115" i="1"/>
  <c r="B115" i="1"/>
  <c r="C99" i="1"/>
  <c r="B99" i="1"/>
  <c r="C91" i="1"/>
  <c r="B91" i="1"/>
  <c r="C83" i="1"/>
  <c r="B83" i="1"/>
  <c r="C75" i="1"/>
  <c r="B75" i="1"/>
  <c r="C67" i="1"/>
  <c r="B67" i="1"/>
  <c r="C59" i="1"/>
  <c r="B59" i="1"/>
  <c r="C51" i="1"/>
  <c r="B51" i="1"/>
  <c r="C19" i="1"/>
  <c r="B19" i="1"/>
  <c r="C1156" i="1"/>
  <c r="B1156" i="1"/>
  <c r="C1100" i="1"/>
  <c r="B1100" i="1"/>
  <c r="B1052" i="1"/>
  <c r="C1052" i="1"/>
  <c r="B284" i="1"/>
  <c r="C284" i="1"/>
  <c r="B228" i="1"/>
  <c r="C228" i="1"/>
  <c r="B180" i="1"/>
  <c r="C180" i="1"/>
  <c r="B132" i="1"/>
  <c r="C132" i="1"/>
  <c r="B76" i="1"/>
  <c r="C76" i="1"/>
  <c r="C1162" i="1"/>
  <c r="B1162" i="1"/>
  <c r="C1154" i="1"/>
  <c r="B1154" i="1"/>
  <c r="C1146" i="1"/>
  <c r="B1146" i="1"/>
  <c r="C1138" i="1"/>
  <c r="B1138" i="1"/>
  <c r="C1130" i="1"/>
  <c r="B1130" i="1"/>
  <c r="C1122" i="1"/>
  <c r="B1122" i="1"/>
  <c r="C1114" i="1"/>
  <c r="B1114" i="1"/>
  <c r="C1106" i="1"/>
  <c r="B1106" i="1"/>
  <c r="C1098" i="1"/>
  <c r="B1098" i="1"/>
  <c r="C1090" i="1"/>
  <c r="B1090" i="1"/>
  <c r="C1082" i="1"/>
  <c r="B1082" i="1"/>
  <c r="C1074" i="1"/>
  <c r="B1074" i="1"/>
  <c r="C1066" i="1"/>
  <c r="B1066" i="1"/>
  <c r="C1058" i="1"/>
  <c r="B1058" i="1"/>
  <c r="C1050" i="1"/>
  <c r="B1050" i="1"/>
  <c r="C1042" i="1"/>
  <c r="B1042" i="1"/>
  <c r="C298" i="1"/>
  <c r="B298" i="1"/>
  <c r="C290" i="1"/>
  <c r="B290" i="1"/>
  <c r="C282" i="1"/>
  <c r="B282" i="1"/>
  <c r="C274" i="1"/>
  <c r="B274" i="1"/>
  <c r="C266" i="1"/>
  <c r="B266" i="1"/>
  <c r="C258" i="1"/>
  <c r="B258" i="1"/>
  <c r="C250" i="1"/>
  <c r="B250" i="1"/>
  <c r="C242" i="1"/>
  <c r="B242" i="1"/>
  <c r="C234" i="1"/>
  <c r="B234" i="1"/>
  <c r="C226" i="1"/>
  <c r="B226" i="1"/>
  <c r="C218" i="1"/>
  <c r="B218" i="1"/>
  <c r="C210" i="1"/>
  <c r="B210" i="1"/>
  <c r="C202" i="1"/>
  <c r="B202" i="1"/>
  <c r="C194" i="1"/>
  <c r="B194" i="1"/>
  <c r="C186" i="1"/>
  <c r="B186" i="1"/>
  <c r="C162" i="1"/>
  <c r="B162" i="1"/>
  <c r="C154" i="1"/>
  <c r="B154" i="1"/>
  <c r="C146" i="1"/>
  <c r="B146" i="1"/>
  <c r="C138" i="1"/>
  <c r="B138" i="1"/>
  <c r="C130" i="1"/>
  <c r="B130" i="1"/>
  <c r="C122" i="1"/>
  <c r="B122" i="1"/>
  <c r="C114" i="1"/>
  <c r="B114" i="1"/>
  <c r="C106" i="1"/>
  <c r="B106" i="1"/>
  <c r="C98" i="1"/>
  <c r="B98" i="1"/>
  <c r="C90" i="1"/>
  <c r="B90" i="1"/>
  <c r="C82" i="1"/>
  <c r="B82" i="1"/>
  <c r="C74" i="1"/>
  <c r="B74" i="1"/>
  <c r="C66" i="1"/>
  <c r="B66" i="1"/>
  <c r="C58" i="1"/>
  <c r="B58" i="1"/>
  <c r="C50" i="1"/>
  <c r="B50" i="1"/>
  <c r="C26" i="1"/>
  <c r="B26" i="1"/>
  <c r="C10" i="1"/>
  <c r="B10" i="1"/>
  <c r="C1116" i="1"/>
  <c r="B1116" i="1"/>
  <c r="B1068" i="1"/>
  <c r="C1068" i="1"/>
  <c r="B292" i="1"/>
  <c r="C292" i="1"/>
  <c r="B244" i="1"/>
  <c r="C244" i="1"/>
  <c r="B196" i="1"/>
  <c r="C196" i="1"/>
  <c r="B140" i="1"/>
  <c r="C140" i="1"/>
  <c r="B92" i="1"/>
  <c r="C92" i="1"/>
  <c r="B52" i="1"/>
  <c r="C52" i="1"/>
  <c r="B1161" i="1"/>
  <c r="C1161" i="1"/>
  <c r="C1153" i="1"/>
  <c r="B1153" i="1"/>
  <c r="B1145" i="1"/>
  <c r="C1145" i="1"/>
  <c r="C1137" i="1"/>
  <c r="B1137" i="1"/>
  <c r="C1129" i="1"/>
  <c r="B1129" i="1"/>
  <c r="C1121" i="1"/>
  <c r="B1121" i="1"/>
  <c r="B1113" i="1"/>
  <c r="C1113" i="1"/>
  <c r="C1105" i="1"/>
  <c r="B1105" i="1"/>
  <c r="B1097" i="1"/>
  <c r="C1097" i="1"/>
  <c r="C1089" i="1"/>
  <c r="B1089" i="1"/>
  <c r="C1081" i="1"/>
  <c r="B1081" i="1"/>
  <c r="C1073" i="1"/>
  <c r="B1073" i="1"/>
  <c r="B1065" i="1"/>
  <c r="C1065" i="1"/>
  <c r="B1057" i="1"/>
  <c r="C1057" i="1"/>
  <c r="C1049" i="1"/>
  <c r="B1049" i="1"/>
  <c r="C1041" i="1"/>
  <c r="B1041" i="1"/>
  <c r="C305" i="1"/>
  <c r="B305" i="1"/>
  <c r="C297" i="1"/>
  <c r="B297" i="1"/>
  <c r="B289" i="1"/>
  <c r="C289" i="1"/>
  <c r="B281" i="1"/>
  <c r="C281" i="1"/>
  <c r="B273" i="1"/>
  <c r="C273" i="1"/>
  <c r="C265" i="1"/>
  <c r="B265" i="1"/>
  <c r="B257" i="1"/>
  <c r="C257" i="1"/>
  <c r="B249" i="1"/>
  <c r="C249" i="1"/>
  <c r="C241" i="1"/>
  <c r="B241" i="1"/>
  <c r="C233" i="1"/>
  <c r="B233" i="1"/>
  <c r="B225" i="1"/>
  <c r="C225" i="1"/>
  <c r="B217" i="1"/>
  <c r="C217" i="1"/>
  <c r="C209" i="1"/>
  <c r="B209" i="1"/>
  <c r="C201" i="1"/>
  <c r="B201" i="1"/>
  <c r="B193" i="1"/>
  <c r="C193" i="1"/>
  <c r="B185" i="1"/>
  <c r="C185" i="1"/>
  <c r="C161" i="1"/>
  <c r="B161" i="1"/>
  <c r="C153" i="1"/>
  <c r="B153" i="1"/>
  <c r="B145" i="1"/>
  <c r="C145" i="1"/>
  <c r="B137" i="1"/>
  <c r="C137" i="1"/>
  <c r="C129" i="1"/>
  <c r="B129" i="1"/>
  <c r="C121" i="1"/>
  <c r="B121" i="1"/>
  <c r="B113" i="1"/>
  <c r="C113" i="1"/>
  <c r="B105" i="1"/>
  <c r="C105" i="1"/>
  <c r="C97" i="1"/>
  <c r="B97" i="1"/>
  <c r="C89" i="1"/>
  <c r="B89" i="1"/>
  <c r="B81" i="1"/>
  <c r="C81" i="1"/>
  <c r="B73" i="1"/>
  <c r="C73" i="1"/>
  <c r="B65" i="1"/>
  <c r="C65" i="1"/>
  <c r="C57" i="1"/>
  <c r="B57" i="1"/>
  <c r="B49" i="1"/>
  <c r="C49" i="1"/>
  <c r="C25" i="1"/>
  <c r="B25" i="1"/>
  <c r="C1108" i="1"/>
  <c r="B1108" i="1"/>
  <c r="B1044" i="1"/>
  <c r="C1044" i="1"/>
  <c r="B300" i="1"/>
  <c r="C300" i="1"/>
  <c r="B236" i="1"/>
  <c r="C236" i="1"/>
  <c r="B108" i="1"/>
  <c r="C108" i="1"/>
  <c r="C1160" i="1"/>
  <c r="B1160" i="1"/>
  <c r="C1152" i="1"/>
  <c r="B1152" i="1"/>
  <c r="C1144" i="1"/>
  <c r="B1144" i="1"/>
  <c r="C1136" i="1"/>
  <c r="B1136" i="1"/>
  <c r="C1128" i="1"/>
  <c r="B1128" i="1"/>
  <c r="C1120" i="1"/>
  <c r="B1120" i="1"/>
  <c r="C1112" i="1"/>
  <c r="B1112" i="1"/>
  <c r="C1104" i="1"/>
  <c r="B1104" i="1"/>
  <c r="C1096" i="1"/>
  <c r="B1096" i="1"/>
  <c r="C1088" i="1"/>
  <c r="B1088" i="1"/>
  <c r="C1080" i="1"/>
  <c r="B1080" i="1"/>
  <c r="C1072" i="1"/>
  <c r="B1072" i="1"/>
  <c r="C1064" i="1"/>
  <c r="B1064" i="1"/>
  <c r="C1056" i="1"/>
  <c r="B1056" i="1"/>
  <c r="C1048" i="1"/>
  <c r="B1048" i="1"/>
  <c r="C1040" i="1"/>
  <c r="B1040" i="1"/>
  <c r="B304" i="1"/>
  <c r="C304" i="1"/>
  <c r="B296" i="1"/>
  <c r="C296" i="1"/>
  <c r="B288" i="1"/>
  <c r="C288" i="1"/>
  <c r="B280" i="1"/>
  <c r="C280" i="1"/>
  <c r="B272" i="1"/>
  <c r="C272" i="1"/>
  <c r="B264" i="1"/>
  <c r="C264" i="1"/>
  <c r="B256" i="1"/>
  <c r="C256" i="1"/>
  <c r="B248" i="1"/>
  <c r="C248" i="1"/>
  <c r="B240" i="1"/>
  <c r="C240" i="1"/>
  <c r="B232" i="1"/>
  <c r="C232" i="1"/>
  <c r="B224" i="1"/>
  <c r="C224" i="1"/>
  <c r="B216" i="1"/>
  <c r="C216" i="1"/>
  <c r="B208" i="1"/>
  <c r="C208" i="1"/>
  <c r="B200" i="1"/>
  <c r="C200" i="1"/>
  <c r="B192" i="1"/>
  <c r="C192" i="1"/>
  <c r="B184" i="1"/>
  <c r="C184" i="1"/>
  <c r="B160" i="1"/>
  <c r="C160" i="1"/>
  <c r="B152" i="1"/>
  <c r="C152" i="1"/>
  <c r="B144" i="1"/>
  <c r="C144" i="1"/>
  <c r="B136" i="1"/>
  <c r="C136" i="1"/>
  <c r="B128" i="1"/>
  <c r="C128" i="1"/>
  <c r="B120" i="1"/>
  <c r="C120" i="1"/>
  <c r="B112" i="1"/>
  <c r="C112" i="1"/>
  <c r="B104" i="1"/>
  <c r="C104" i="1"/>
  <c r="B96" i="1"/>
  <c r="C96" i="1"/>
  <c r="B88" i="1"/>
  <c r="C88" i="1"/>
  <c r="B80" i="1"/>
  <c r="C80" i="1"/>
  <c r="B72" i="1"/>
  <c r="C72" i="1"/>
  <c r="B64" i="1"/>
  <c r="C64" i="1"/>
  <c r="B56" i="1"/>
  <c r="C56" i="1"/>
  <c r="B48" i="1"/>
  <c r="C48" i="1"/>
  <c r="B24" i="1"/>
  <c r="C24" i="1"/>
  <c r="C1124" i="1"/>
  <c r="B1124" i="1"/>
  <c r="C1076" i="1"/>
  <c r="B1076" i="1"/>
  <c r="B268" i="1"/>
  <c r="C268" i="1"/>
  <c r="B212" i="1"/>
  <c r="C212" i="1"/>
  <c r="B156" i="1"/>
  <c r="C156" i="1"/>
  <c r="B84" i="1"/>
  <c r="C84" i="1"/>
  <c r="C1159" i="1"/>
  <c r="B1159" i="1"/>
  <c r="C1151" i="1"/>
  <c r="B1151" i="1"/>
  <c r="C1143" i="1"/>
  <c r="B1143" i="1"/>
  <c r="B1135" i="1"/>
  <c r="C1135" i="1"/>
  <c r="C1127" i="1"/>
  <c r="B1127" i="1"/>
  <c r="C1119" i="1"/>
  <c r="B1119" i="1"/>
  <c r="C1111" i="1"/>
  <c r="B1111" i="1"/>
  <c r="C1103" i="1"/>
  <c r="B1103" i="1"/>
  <c r="C1095" i="1"/>
  <c r="B1095" i="1"/>
  <c r="C1087" i="1"/>
  <c r="B1087" i="1"/>
  <c r="C1079" i="1"/>
  <c r="B1079" i="1"/>
  <c r="C1071" i="1"/>
  <c r="B1071" i="1"/>
  <c r="B1063" i="1"/>
  <c r="C1063" i="1"/>
  <c r="C1055" i="1"/>
  <c r="B1055" i="1"/>
  <c r="B1047" i="1"/>
  <c r="C1047" i="1"/>
  <c r="B303" i="1"/>
  <c r="C303" i="1"/>
  <c r="B295" i="1"/>
  <c r="C295" i="1"/>
  <c r="B287" i="1"/>
  <c r="C287" i="1"/>
  <c r="B279" i="1"/>
  <c r="C279" i="1"/>
  <c r="B271" i="1"/>
  <c r="C271" i="1"/>
  <c r="B263" i="1"/>
  <c r="C263" i="1"/>
  <c r="B255" i="1"/>
  <c r="C255" i="1"/>
  <c r="B247" i="1"/>
  <c r="C247" i="1"/>
  <c r="B239" i="1"/>
  <c r="C239" i="1"/>
  <c r="B231" i="1"/>
  <c r="C231" i="1"/>
  <c r="B223" i="1"/>
  <c r="C223" i="1"/>
  <c r="B215" i="1"/>
  <c r="C215" i="1"/>
  <c r="B207" i="1"/>
  <c r="C207" i="1"/>
  <c r="B199" i="1"/>
  <c r="C199" i="1"/>
  <c r="B191" i="1"/>
  <c r="C191" i="1"/>
  <c r="B183" i="1"/>
  <c r="C183" i="1"/>
  <c r="B159" i="1"/>
  <c r="C159" i="1"/>
  <c r="B151" i="1"/>
  <c r="C151" i="1"/>
  <c r="B143" i="1"/>
  <c r="C143" i="1"/>
  <c r="B135" i="1"/>
  <c r="C135" i="1"/>
  <c r="B127" i="1"/>
  <c r="C127" i="1"/>
  <c r="B119" i="1"/>
  <c r="C119" i="1"/>
  <c r="B111" i="1"/>
  <c r="C111" i="1"/>
  <c r="B103" i="1"/>
  <c r="C103" i="1"/>
  <c r="B95" i="1"/>
  <c r="C95" i="1"/>
  <c r="B87" i="1"/>
  <c r="C87" i="1"/>
  <c r="B79" i="1"/>
  <c r="C79" i="1"/>
  <c r="B71" i="1"/>
  <c r="C71" i="1"/>
  <c r="B63" i="1"/>
  <c r="C63" i="1"/>
  <c r="B55" i="1"/>
  <c r="C55" i="1"/>
  <c r="B23" i="1"/>
  <c r="C23" i="1"/>
  <c r="C1140" i="1"/>
  <c r="B1140" i="1"/>
  <c r="C1092" i="1"/>
  <c r="B1092" i="1"/>
  <c r="B252" i="1"/>
  <c r="C252" i="1"/>
  <c r="B188" i="1"/>
  <c r="C188" i="1"/>
  <c r="B116" i="1"/>
  <c r="C116" i="1"/>
  <c r="C1158" i="1"/>
  <c r="B1158" i="1"/>
  <c r="C1150" i="1"/>
  <c r="B1150" i="1"/>
  <c r="C1142" i="1"/>
  <c r="B1142" i="1"/>
  <c r="C1134" i="1"/>
  <c r="B1134" i="1"/>
  <c r="C1126" i="1"/>
  <c r="B1126" i="1"/>
  <c r="C1118" i="1"/>
  <c r="B1118" i="1"/>
  <c r="C1110" i="1"/>
  <c r="B1110" i="1"/>
  <c r="C1102" i="1"/>
  <c r="B1102" i="1"/>
  <c r="C1094" i="1"/>
  <c r="B1094" i="1"/>
  <c r="C1086" i="1"/>
  <c r="B1086" i="1"/>
  <c r="C1078" i="1"/>
  <c r="B1078" i="1"/>
  <c r="B1070" i="1"/>
  <c r="C1070" i="1"/>
  <c r="B1062" i="1"/>
  <c r="C1062" i="1"/>
  <c r="B1054" i="1"/>
  <c r="C1054" i="1"/>
  <c r="B1046" i="1"/>
  <c r="C1046" i="1"/>
  <c r="B302" i="1"/>
  <c r="C302" i="1"/>
  <c r="B294" i="1"/>
  <c r="C294" i="1"/>
  <c r="B286" i="1"/>
  <c r="C286" i="1"/>
  <c r="B278" i="1"/>
  <c r="C278" i="1"/>
  <c r="B270" i="1"/>
  <c r="C270" i="1"/>
  <c r="B262" i="1"/>
  <c r="C262" i="1"/>
  <c r="B254" i="1"/>
  <c r="C254" i="1"/>
  <c r="B246" i="1"/>
  <c r="C246" i="1"/>
  <c r="B238" i="1"/>
  <c r="C238" i="1"/>
  <c r="B230" i="1"/>
  <c r="C230" i="1"/>
  <c r="B222" i="1"/>
  <c r="C222" i="1"/>
  <c r="B214" i="1"/>
  <c r="C214" i="1"/>
  <c r="B206" i="1"/>
  <c r="C206" i="1"/>
  <c r="B198" i="1"/>
  <c r="C198" i="1"/>
  <c r="B190" i="1"/>
  <c r="C190" i="1"/>
  <c r="B182" i="1"/>
  <c r="C182" i="1"/>
  <c r="B158" i="1"/>
  <c r="C158" i="1"/>
  <c r="B150" i="1"/>
  <c r="C150" i="1"/>
  <c r="B142" i="1"/>
  <c r="C142" i="1"/>
  <c r="B134" i="1"/>
  <c r="C134" i="1"/>
  <c r="B126" i="1"/>
  <c r="C126" i="1"/>
  <c r="B118" i="1"/>
  <c r="C118" i="1"/>
  <c r="B110" i="1"/>
  <c r="C110" i="1"/>
  <c r="B102" i="1"/>
  <c r="C102" i="1"/>
  <c r="B94" i="1"/>
  <c r="C94" i="1"/>
  <c r="B86" i="1"/>
  <c r="C86" i="1"/>
  <c r="B78" i="1"/>
  <c r="C78" i="1"/>
  <c r="B70" i="1"/>
  <c r="C70" i="1"/>
  <c r="B62" i="1"/>
  <c r="C62" i="1"/>
  <c r="B54" i="1"/>
  <c r="C54" i="1"/>
  <c r="C1132" i="1"/>
  <c r="B1132" i="1"/>
  <c r="B1060" i="1"/>
  <c r="C1060" i="1"/>
  <c r="B260" i="1"/>
  <c r="C260" i="1"/>
  <c r="B204" i="1"/>
  <c r="C204" i="1"/>
  <c r="B148" i="1"/>
  <c r="C148" i="1"/>
  <c r="B100" i="1"/>
  <c r="C100" i="1"/>
  <c r="B60" i="1"/>
  <c r="C60" i="1"/>
  <c r="B4" i="1"/>
  <c r="C1157" i="1"/>
  <c r="B1157" i="1"/>
  <c r="C1149" i="1"/>
  <c r="B1149" i="1"/>
  <c r="C1141" i="1"/>
  <c r="B1141" i="1"/>
  <c r="C1133" i="1"/>
  <c r="B1133" i="1"/>
  <c r="C1125" i="1"/>
  <c r="B1125" i="1"/>
  <c r="C1117" i="1"/>
  <c r="B1117" i="1"/>
  <c r="C1109" i="1"/>
  <c r="B1109" i="1"/>
  <c r="C1101" i="1"/>
  <c r="B1101" i="1"/>
  <c r="C1093" i="1"/>
  <c r="B1093" i="1"/>
  <c r="C1085" i="1"/>
  <c r="B1085" i="1"/>
  <c r="C1077" i="1"/>
  <c r="B1077" i="1"/>
  <c r="B1069" i="1"/>
  <c r="C1069" i="1"/>
  <c r="B1061" i="1"/>
  <c r="C1061" i="1"/>
  <c r="B1053" i="1"/>
  <c r="C1053" i="1"/>
  <c r="B1045" i="1"/>
  <c r="C1045" i="1"/>
  <c r="B301" i="1"/>
  <c r="C301" i="1"/>
  <c r="B293" i="1"/>
  <c r="C293" i="1"/>
  <c r="B285" i="1"/>
  <c r="C285" i="1"/>
  <c r="B277" i="1"/>
  <c r="C277" i="1"/>
  <c r="B269" i="1"/>
  <c r="C269" i="1"/>
  <c r="B261" i="1"/>
  <c r="C261" i="1"/>
  <c r="B253" i="1"/>
  <c r="C253" i="1"/>
  <c r="B245" i="1"/>
  <c r="C245" i="1"/>
  <c r="B237" i="1"/>
  <c r="C237" i="1"/>
  <c r="B229" i="1"/>
  <c r="C229" i="1"/>
  <c r="B221" i="1"/>
  <c r="C221" i="1"/>
  <c r="B213" i="1"/>
  <c r="C213" i="1"/>
  <c r="B205" i="1"/>
  <c r="C205" i="1"/>
  <c r="B197" i="1"/>
  <c r="C197" i="1"/>
  <c r="B189" i="1"/>
  <c r="C189" i="1"/>
  <c r="B181" i="1"/>
  <c r="C181" i="1"/>
  <c r="B157" i="1"/>
  <c r="C157" i="1"/>
  <c r="B149" i="1"/>
  <c r="C149" i="1"/>
  <c r="B141" i="1"/>
  <c r="C141" i="1"/>
  <c r="B133" i="1"/>
  <c r="C133" i="1"/>
  <c r="B125" i="1"/>
  <c r="C125" i="1"/>
  <c r="B117" i="1"/>
  <c r="C117" i="1"/>
  <c r="B109" i="1"/>
  <c r="C109" i="1"/>
  <c r="B101" i="1"/>
  <c r="C101" i="1"/>
  <c r="B93" i="1"/>
  <c r="C93" i="1"/>
  <c r="B85" i="1"/>
  <c r="C85" i="1"/>
  <c r="B77" i="1"/>
  <c r="C77" i="1"/>
  <c r="B69" i="1"/>
  <c r="C69" i="1"/>
  <c r="B61" i="1"/>
  <c r="C61" i="1"/>
  <c r="B53" i="1"/>
  <c r="C53" i="1"/>
  <c r="J1637" i="1"/>
  <c r="M1637" i="1" s="1"/>
  <c r="J1638" i="1"/>
  <c r="M1638" i="1" s="1"/>
  <c r="J1639" i="1"/>
  <c r="M1639" i="1" s="1"/>
  <c r="J1640" i="1"/>
  <c r="J1641" i="1"/>
  <c r="M1641" i="1" s="1"/>
  <c r="J1642" i="1"/>
  <c r="M1642" i="1" s="1"/>
  <c r="J1643" i="1"/>
  <c r="M1643" i="1" s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M1650" i="1" s="1"/>
  <c r="J1651" i="1"/>
  <c r="M1651" i="1" s="1"/>
  <c r="J1652" i="1"/>
  <c r="M1652" i="1" s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M1659" i="1" s="1"/>
  <c r="J1660" i="1"/>
  <c r="M1660" i="1" s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M1667" i="1" s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M1675" i="1" s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M1683" i="1" s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M1700" i="1" s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M1715" i="1" s="1"/>
  <c r="J1716" i="1"/>
  <c r="M1716" i="1" s="1"/>
  <c r="J1717" i="1"/>
  <c r="M1717" i="1" s="1"/>
  <c r="J1718" i="1"/>
  <c r="M1718" i="1" s="1"/>
  <c r="J1719" i="1"/>
  <c r="M1719" i="1" s="1"/>
  <c r="M1640" i="1"/>
  <c r="J840" i="1" l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C3" i="1" s="1"/>
  <c r="M2" i="2"/>
  <c r="B3" i="1" s="1"/>
  <c r="B2" i="1" l="1"/>
  <c r="B107" i="1"/>
  <c r="C2" i="1"/>
  <c r="C107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<sst xmlns="http://schemas.openxmlformats.org/spreadsheetml/2006/main" count="13061" uniqueCount="4658">
  <si>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</si>
  <si>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</si>
  <si>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</si>
  <si>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</si>
  <si>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</si>
  <si>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</si>
  <si>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</si>
  <si>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</si>
  <si>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</si>
  <si>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</si>
  <si>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</si>
  <si>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</si>
  <si>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</si>
  <si>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</si>
  <si>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</si>
  <si>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</si>
  <si>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</si>
  <si>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</si>
  <si>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</si>
  <si>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</si>
  <si>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</si>
  <si>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</si>
  <si>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</si>
  <si>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</si>
  <si>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</si>
  <si>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</si>
  <si>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</si>
  <si>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</si>
  <si>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</si>
  <si>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</si>
  <si>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</si>
  <si>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</si>
  <si>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</si>
  <si>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</si>
  <si>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</si>
  <si>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</si>
  <si>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</si>
  <si>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</si>
  <si>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</si>
  <si>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</si>
  <si>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</si>
  <si>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</si>
  <si>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</si>
  <si>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</si>
  <si>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</si>
  <si>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</si>
  <si>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</si>
  <si>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</si>
  <si>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</si>
  <si>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</si>
  <si>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</si>
  <si>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</si>
  <si>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</si>
  <si>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</si>
  <si>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</si>
  <si>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</si>
  <si>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</si>
  <si>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</si>
  <si>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</si>
  <si>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</si>
  <si>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</si>
  <si>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</si>
  <si>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</si>
  <si>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</si>
  <si>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</si>
  <si>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</si>
  <si>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</si>
  <si>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</si>
  <si>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</si>
  <si>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</si>
  <si>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</si>
  <si>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</si>
  <si>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</si>
  <si>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</si>
  <si>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</si>
  <si>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</si>
  <si>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</si>
  <si>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</si>
  <si>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</si>
  <si>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</si>
  <si>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</si>
  <si>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</si>
  <si>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</si>
  <si>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</si>
  <si>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</si>
  <si>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</si>
  <si>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</si>
  <si>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</si>
  <si>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</si>
  <si>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</si>
  <si>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</si>
  <si>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</si>
  <si>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</si>
  <si>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</si>
  <si>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</si>
  <si>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</si>
  <si>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</si>
  <si>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</si>
  <si>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</si>
  <si>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</si>
  <si>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</si>
  <si>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</si>
  <si>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</si>
  <si>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</si>
  <si>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</si>
  <si>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</si>
  <si>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</si>
  <si>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</si>
  <si>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</si>
  <si>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</si>
  <si>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</si>
  <si>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</si>
  <si>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</si>
  <si>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</si>
  <si>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</si>
  <si>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</si>
  <si>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</si>
  <si>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</si>
  <si>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</si>
  <si>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</si>
  <si>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</si>
  <si>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</si>
  <si>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</si>
  <si>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</si>
  <si>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</si>
  <si>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</si>
  <si>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</si>
  <si>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</si>
  <si>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</si>
  <si>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</si>
  <si>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</si>
  <si>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</si>
  <si>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</si>
  <si>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</si>
  <si>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</si>
  <si>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</si>
  <si>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</si>
  <si>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</si>
  <si>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</si>
  <si>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</si>
  <si>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</si>
  <si>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</si>
  <si>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</si>
  <si>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</si>
  <si>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</si>
  <si>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</si>
  <si>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</si>
  <si>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</si>
  <si>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</si>
  <si>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</si>
  <si>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</si>
  <si>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</si>
  <si>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</si>
  <si>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</si>
  <si>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</si>
  <si>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</si>
  <si>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</si>
  <si>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</si>
  <si>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</si>
  <si>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</si>
  <si>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</si>
  <si>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</si>
  <si>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</si>
  <si>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</si>
  <si>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</si>
  <si>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</si>
  <si>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</si>
  <si>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</si>
  <si>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</si>
  <si>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</si>
  <si>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</si>
  <si>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</si>
  <si>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</si>
  <si>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</si>
  <si>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</si>
  <si>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</si>
  <si>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</si>
  <si>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</si>
  <si>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</si>
  <si>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</si>
  <si>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</si>
  <si>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</si>
  <si>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</si>
  <si>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</si>
  <si>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</si>
  <si>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</si>
  <si>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</si>
  <si>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</si>
  <si>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</si>
  <si>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</si>
  <si>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</si>
  <si>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</si>
  <si>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</si>
  <si>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</si>
  <si>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</si>
  <si>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</si>
  <si>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</si>
  <si>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</si>
  <si>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</si>
  <si>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</si>
  <si>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</si>
  <si>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</si>
  <si>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</si>
  <si>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</si>
  <si>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</si>
  <si>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</si>
  <si>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</si>
  <si>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</si>
  <si>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</si>
  <si>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</si>
  <si>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</si>
  <si>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</si>
  <si>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</si>
  <si>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</si>
  <si>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</si>
  <si>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</si>
  <si>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</si>
  <si>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</si>
  <si>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</si>
  <si>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</si>
  <si>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</si>
  <si>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</si>
  <si>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</si>
  <si>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</si>
  <si>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</si>
  <si>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</si>
  <si>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</si>
  <si>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</si>
  <si>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</si>
  <si>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</si>
  <si>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</si>
  <si>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</si>
  <si>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</si>
  <si>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</si>
  <si>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</si>
  <si>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</si>
  <si>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</si>
  <si>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</si>
  <si>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</si>
  <si>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</si>
  <si>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</si>
  <si>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</si>
  <si>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</si>
  <si>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</si>
  <si>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</si>
  <si>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</si>
  <si>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</si>
  <si>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</si>
  <si>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</si>
  <si>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</si>
  <si>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</si>
  <si>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</si>
  <si>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</si>
  <si>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</si>
  <si>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</si>
  <si>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</si>
  <si>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</si>
  <si>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</si>
  <si>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</si>
  <si>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</si>
  <si>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</si>
  <si>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</si>
  <si>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</si>
  <si>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</si>
  <si>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</si>
  <si>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</si>
  <si>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</si>
  <si>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</si>
  <si>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</si>
  <si>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</si>
  <si>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</si>
  <si>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</si>
  <si>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</si>
  <si>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</si>
  <si>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</si>
  <si>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</si>
  <si>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</si>
  <si>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</si>
  <si>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</si>
  <si>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</si>
  <si>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</si>
  <si>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</si>
  <si>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</si>
  <si>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</si>
  <si>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</si>
  <si>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</si>
  <si>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</si>
  <si>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</si>
  <si>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</si>
  <si>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</si>
  <si>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</si>
  <si>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</si>
  <si>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</si>
  <si>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</si>
  <si>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</si>
  <si>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</si>
  <si>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</si>
  <si>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</si>
  <si>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</si>
  <si>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</si>
  <si>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</si>
  <si>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</si>
  <si>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</si>
  <si>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</si>
  <si>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</si>
  <si>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</si>
  <si>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</si>
  <si>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</si>
  <si>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</si>
  <si>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</si>
  <si>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</si>
  <si>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</si>
  <si>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</si>
  <si>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</si>
  <si>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</si>
  <si>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</si>
  <si>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</si>
  <si>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</si>
  <si>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</si>
  <si>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</si>
  <si>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</si>
  <si>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</si>
  <si>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</si>
  <si>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</si>
  <si>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</si>
  <si>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</si>
  <si>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</si>
  <si>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</si>
  <si>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</si>
  <si>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</si>
  <si>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</si>
  <si>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</si>
  <si>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</si>
  <si>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</si>
  <si>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</si>
  <si>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</si>
  <si>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</si>
  <si>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</si>
  <si>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</si>
  <si>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</si>
  <si>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</si>
  <si>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</si>
  <si>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</si>
  <si>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</si>
  <si>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</si>
  <si>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</si>
  <si>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</si>
  <si>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</si>
  <si>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</si>
  <si>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</si>
  <si>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</si>
  <si>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</si>
  <si>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</si>
  <si>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</si>
  <si>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</si>
  <si>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</si>
  <si>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</si>
  <si>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</si>
  <si>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</si>
  <si>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</si>
  <si>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</si>
  <si>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</si>
  <si>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</si>
  <si>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</si>
  <si>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</si>
  <si>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</si>
  <si>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</si>
  <si>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</si>
  <si>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</si>
  <si>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</si>
  <si>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</si>
  <si>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</si>
  <si>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</si>
  <si>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</si>
  <si>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</si>
  <si>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</si>
  <si>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</si>
  <si>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</si>
  <si>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</si>
  <si>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</si>
  <si>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</si>
  <si>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</si>
  <si>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</si>
  <si>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</si>
  <si>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</si>
  <si>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</si>
  <si>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</si>
  <si>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</si>
  <si>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</si>
  <si>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</si>
  <si>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</si>
  <si>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</si>
  <si>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</si>
  <si>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</si>
  <si>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</si>
  <si>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</si>
  <si>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</si>
  <si>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</si>
  <si>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</si>
  <si>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</si>
  <si>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</si>
  <si>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</si>
  <si>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</si>
  <si>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</si>
  <si>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</si>
  <si>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</si>
  <si>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</si>
  <si>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</si>
  <si>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</si>
  <si>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</si>
  <si>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</si>
  <si>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</si>
  <si>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</si>
  <si>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</si>
  <si>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</si>
  <si>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</si>
  <si>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</si>
  <si>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</si>
  <si>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</si>
  <si>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</si>
  <si>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</si>
  <si>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</si>
  <si>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</si>
  <si>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</si>
  <si>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</si>
  <si>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</si>
  <si>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</si>
  <si>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</si>
  <si>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</si>
  <si>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</si>
  <si>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</si>
  <si>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</si>
  <si>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</si>
  <si>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</si>
  <si>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</si>
  <si>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</si>
  <si>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</si>
  <si>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</si>
  <si>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</si>
  <si>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</si>
  <si>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</si>
  <si>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</si>
  <si>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</si>
  <si>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</si>
  <si>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</si>
  <si>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</si>
  <si>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</si>
  <si>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</si>
  <si>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</si>
  <si>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</si>
  <si>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</si>
  <si>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</si>
  <si>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</si>
  <si>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</si>
  <si>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</si>
  <si>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</si>
  <si>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</si>
  <si>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</si>
  <si>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</si>
  <si>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</si>
  <si>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</si>
  <si>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</si>
  <si>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</si>
  <si>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</si>
  <si>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</si>
  <si>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</si>
  <si>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</si>
  <si>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</si>
  <si>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</si>
  <si>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</si>
  <si>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</si>
  <si>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</si>
  <si>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</si>
  <si>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</si>
  <si>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</si>
  <si>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</si>
  <si>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</si>
  <si>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</si>
  <si>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</si>
  <si>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</si>
  <si>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</si>
  <si>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</si>
  <si>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</si>
  <si>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</si>
  <si>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</si>
  <si>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</si>
  <si>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</si>
  <si>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</si>
  <si>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</si>
  <si>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</si>
  <si>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</si>
  <si>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</si>
  <si>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</si>
  <si>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</si>
  <si>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</si>
  <si>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</si>
  <si>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</si>
  <si>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</si>
  <si>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</si>
  <si>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</si>
  <si>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</si>
  <si>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</si>
  <si>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</si>
  <si>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</si>
  <si>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</si>
  <si>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</si>
  <si>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</si>
  <si>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</si>
  <si>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</si>
  <si>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</si>
  <si>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</si>
  <si>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</si>
  <si>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</si>
  <si>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</si>
  <si>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</si>
  <si>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</si>
  <si>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</si>
  <si>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</si>
  <si>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</si>
  <si>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</si>
  <si>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</si>
  <si>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</si>
  <si>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</si>
  <si>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</si>
  <si>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</si>
  <si>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</si>
  <si>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</si>
  <si>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</si>
  <si>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</si>
  <si>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</si>
  <si>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</si>
  <si>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</si>
  <si>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</si>
  <si>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</si>
  <si>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</si>
  <si>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</si>
  <si>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</si>
  <si>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</si>
  <si>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</si>
  <si>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</si>
  <si>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</si>
  <si>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</si>
  <si>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</si>
  <si>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</si>
  <si>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</si>
  <si>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</si>
  <si>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</si>
  <si>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</si>
  <si>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</si>
  <si>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</si>
  <si>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</si>
  <si>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</si>
  <si>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</si>
  <si>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</si>
  <si>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</si>
  <si>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</si>
  <si>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</si>
  <si>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</si>
  <si>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</si>
  <si>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</si>
  <si>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</si>
  <si>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</si>
  <si>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</si>
  <si>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</si>
  <si>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</si>
  <si>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</si>
  <si>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</si>
  <si>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</si>
  <si>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</si>
  <si>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</si>
  <si>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</si>
  <si>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</si>
  <si>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</si>
  <si>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</si>
  <si>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</si>
  <si>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</si>
  <si>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</si>
  <si>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</si>
  <si>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</si>
  <si>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</si>
  <si>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</si>
  <si>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</si>
  <si>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</si>
  <si>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</si>
  <si>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</si>
  <si>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</si>
  <si>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</si>
  <si>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</si>
  <si>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</si>
  <si>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</si>
  <si>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</si>
  <si>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</si>
  <si>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</si>
  <si>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</si>
  <si>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</si>
  <si>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</si>
  <si>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</si>
  <si>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</si>
  <si>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</si>
  <si>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</si>
  <si>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</si>
  <si>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</si>
  <si>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</si>
  <si>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</si>
  <si>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</si>
  <si>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</si>
  <si>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</si>
  <si>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</si>
  <si>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</si>
  <si>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</si>
  <si>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</si>
  <si>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</si>
  <si>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</si>
  <si>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</si>
  <si>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</si>
  <si>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</si>
  <si>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</si>
  <si>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</si>
  <si>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</si>
  <si>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</si>
  <si>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</si>
  <si>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</si>
  <si>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</si>
  <si>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</si>
  <si>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</si>
  <si>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</si>
  <si>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</si>
  <si>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</si>
  <si>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</si>
  <si>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</si>
  <si>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</si>
  <si>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</si>
  <si>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</si>
  <si>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</si>
  <si>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</si>
  <si>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</si>
  <si>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</si>
  <si>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</si>
  <si>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</si>
  <si>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</si>
  <si>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</si>
  <si>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</si>
  <si>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</si>
  <si>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</si>
  <si>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</si>
  <si>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</si>
  <si>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</si>
  <si>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</si>
  <si>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</si>
  <si>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</si>
  <si>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</si>
  <si>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</si>
  <si>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</si>
  <si>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</si>
  <si>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</si>
  <si>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</si>
  <si>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</si>
  <si>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</si>
  <si>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</si>
  <si>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</si>
  <si>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</si>
  <si>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</si>
  <si>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</si>
  <si>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</si>
  <si>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</si>
  <si>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</si>
  <si>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</si>
  <si>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</si>
  <si>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</si>
  <si>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</si>
  <si>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</si>
  <si>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</si>
  <si>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</si>
  <si>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</si>
  <si>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</si>
  <si>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</si>
  <si>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</si>
  <si>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</si>
  <si>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</si>
  <si>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</si>
  <si>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</si>
  <si>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</si>
  <si>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</si>
  <si>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</si>
  <si>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</si>
  <si>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</si>
  <si>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</si>
  <si>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</si>
  <si>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</si>
  <si>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</si>
  <si>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</si>
  <si>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</si>
  <si>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</si>
  <si>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</si>
  <si>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</si>
  <si>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</si>
  <si>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</si>
  <si>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</si>
  <si>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</si>
  <si>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</si>
  <si>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</si>
  <si>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</si>
  <si>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</si>
  <si>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</si>
  <si>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</si>
  <si>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</si>
  <si>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</si>
  <si>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</si>
  <si>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</si>
  <si>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</si>
  <si>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</si>
  <si>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</si>
  <si>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</si>
  <si>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</si>
  <si>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</si>
  <si>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</si>
  <si>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</si>
  <si>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</si>
  <si>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</si>
  <si>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</si>
  <si>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</si>
  <si>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</si>
  <si>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</si>
  <si>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</si>
  <si>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</si>
  <si>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</si>
  <si>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</si>
  <si>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</si>
  <si>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</si>
  <si>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</si>
  <si>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</si>
  <si>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</si>
  <si>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</si>
  <si>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</si>
  <si>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</si>
  <si>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</si>
  <si>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</si>
  <si>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</si>
  <si>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</si>
  <si>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</si>
  <si>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</si>
  <si>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</si>
  <si>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</si>
  <si>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</si>
  <si>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</si>
  <si>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</si>
  <si>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</si>
  <si>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</si>
  <si>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</si>
  <si>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</si>
  <si>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</si>
  <si>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</si>
  <si>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</si>
  <si>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</si>
  <si>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</si>
  <si>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</si>
  <si>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</si>
  <si>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</si>
  <si>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</si>
  <si>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</si>
  <si>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</si>
  <si>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</si>
  <si>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</si>
  <si>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</si>
  <si>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</si>
  <si>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</si>
  <si>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</si>
  <si>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</si>
  <si>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</si>
  <si>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</si>
  <si>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</si>
  <si>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</si>
  <si>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</si>
  <si>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</si>
  <si>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</si>
  <si>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</si>
  <si>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</si>
  <si>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</si>
  <si>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</si>
  <si>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</si>
  <si>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</si>
  <si>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</si>
  <si>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</si>
  <si>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</si>
  <si>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</si>
  <si>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</si>
  <si>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</si>
  <si>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</si>
  <si>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</si>
  <si>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</si>
  <si>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</si>
  <si>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</si>
  <si>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</si>
  <si>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</si>
  <si>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</si>
  <si>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</si>
  <si>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</si>
  <si>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</si>
  <si>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</si>
  <si>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</si>
  <si>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</si>
  <si>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</si>
  <si>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</si>
  <si>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</si>
  <si>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</si>
  <si>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</si>
  <si>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</si>
  <si>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</si>
  <si>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</si>
  <si>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</si>
  <si>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</si>
  <si>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</si>
  <si>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</si>
  <si>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</si>
  <si>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</si>
  <si>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</si>
  <si>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</si>
  <si>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</si>
  <si>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</si>
  <si>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</si>
  <si>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</si>
  <si>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</si>
  <si>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</si>
  <si>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</si>
  <si>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</si>
  <si>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</si>
  <si>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</si>
  <si>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</si>
  <si>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</si>
  <si>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</si>
  <si>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</si>
  <si>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</si>
  <si>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</si>
  <si>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</si>
  <si>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</si>
  <si>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</si>
  <si>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</si>
  <si>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</si>
  <si>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</si>
  <si>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</si>
  <si>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</si>
  <si>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</si>
  <si>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</si>
  <si>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</si>
  <si>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</si>
  <si>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</si>
  <si>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</si>
  <si>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</si>
  <si>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</si>
  <si>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</si>
  <si>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</si>
  <si>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</si>
  <si>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</si>
  <si>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</si>
  <si>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</si>
  <si>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</si>
  <si>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</si>
  <si>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</si>
  <si>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</si>
  <si>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</si>
  <si>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</si>
  <si>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</si>
  <si>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</si>
  <si>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</si>
  <si>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</si>
  <si>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</si>
  <si>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</si>
  <si>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</si>
  <si>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</si>
  <si>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</si>
  <si>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</si>
  <si>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</si>
  <si>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</si>
  <si>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</si>
  <si>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</si>
  <si>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</si>
  <si>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</si>
  <si>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</si>
  <si>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</si>
  <si>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</si>
  <si>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</si>
  <si>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</si>
  <si>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</si>
  <si>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</si>
  <si>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</si>
  <si>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</si>
  <si>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</si>
  <si>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</si>
  <si>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</si>
  <si>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</si>
  <si>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</si>
  <si>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</si>
  <si>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</si>
  <si>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</si>
  <si>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</si>
  <si>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</si>
  <si>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</si>
  <si>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</si>
  <si>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</si>
  <si>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</si>
  <si>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</si>
  <si>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</si>
  <si>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</si>
  <si>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</si>
  <si>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</si>
  <si>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</si>
  <si>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</si>
  <si>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</si>
  <si>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</si>
  <si>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</si>
  <si>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</si>
  <si>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</si>
  <si>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</si>
  <si>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</si>
  <si>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</si>
  <si>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</si>
  <si>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</si>
  <si>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</si>
  <si>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</si>
  <si>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</si>
  <si>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</si>
  <si>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</si>
  <si>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</si>
  <si>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</si>
  <si>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</si>
  <si>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</si>
  <si>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</si>
  <si>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</si>
  <si>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</si>
  <si>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</si>
  <si>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</si>
  <si>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</si>
  <si>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</si>
  <si>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</si>
  <si>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</si>
  <si>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</si>
  <si>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</si>
  <si>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</si>
  <si>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</si>
  <si>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</si>
  <si>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</si>
  <si>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</si>
  <si>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</si>
  <si>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</si>
  <si>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</si>
  <si>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</si>
  <si>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</si>
  <si>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</si>
  <si>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</si>
  <si>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</si>
  <si>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</si>
  <si>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</si>
  <si>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</si>
  <si>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</si>
  <si>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</si>
  <si>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</si>
  <si>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</si>
  <si>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</si>
  <si>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</si>
  <si>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</si>
  <si>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</si>
  <si>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</si>
  <si>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</si>
  <si>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</si>
  <si>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</si>
  <si>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</si>
  <si>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</si>
  <si>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</si>
  <si>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</si>
  <si>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</si>
  <si>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</si>
  <si>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</si>
  <si>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</si>
  <si>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</si>
  <si>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</si>
  <si>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</si>
  <si>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</si>
  <si>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</si>
  <si>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</si>
  <si>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</si>
  <si>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</si>
  <si>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</si>
  <si>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</si>
  <si>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</si>
  <si>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</si>
  <si>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</si>
  <si>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</si>
  <si>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</si>
  <si>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</si>
  <si>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</si>
  <si>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</si>
  <si>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</si>
  <si>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</si>
  <si>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</si>
  <si>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</si>
  <si>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</si>
  <si>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</si>
  <si>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</si>
  <si>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</si>
  <si>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</si>
  <si>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</si>
  <si>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</si>
  <si>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</si>
  <si>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</si>
  <si>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</si>
  <si>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</si>
  <si>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</si>
  <si>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</si>
  <si>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</si>
  <si>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</si>
  <si>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</si>
  <si>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</si>
  <si>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</si>
  <si>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</si>
  <si>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</si>
  <si>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</si>
  <si>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</si>
  <si>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</si>
  <si>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</si>
  <si>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</si>
  <si>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</si>
  <si>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</si>
  <si>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</si>
  <si>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</si>
  <si>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</si>
  <si>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</si>
  <si>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</si>
  <si>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</si>
  <si>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</si>
  <si>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</si>
  <si>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</si>
  <si>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</si>
  <si>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</si>
  <si>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</si>
  <si>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</si>
  <si>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</si>
  <si>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</si>
  <si>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</si>
  <si>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</si>
  <si>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</si>
  <si>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</si>
  <si>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</si>
  <si>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</si>
  <si>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</si>
  <si>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</si>
  <si>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</si>
  <si>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</si>
  <si>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</si>
  <si>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</si>
  <si>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</si>
  <si>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</si>
  <si>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</si>
  <si>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</si>
  <si>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</si>
  <si>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</si>
  <si>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</si>
  <si>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</si>
  <si>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</si>
  <si>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</si>
  <si>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</si>
  <si>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</si>
  <si>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</si>
  <si>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</si>
  <si>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</si>
  <si>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</si>
  <si>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</si>
  <si>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</si>
  <si>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</si>
  <si>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</si>
  <si>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</si>
  <si>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</si>
  <si>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</si>
  <si>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</si>
  <si>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</si>
  <si>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</si>
  <si>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</si>
  <si>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</si>
  <si>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</si>
  <si>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</si>
  <si>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</si>
  <si>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</si>
  <si>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</si>
  <si>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</si>
  <si>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</si>
  <si>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</si>
  <si>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</si>
  <si>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</si>
  <si>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</si>
  <si>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</si>
  <si>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</si>
  <si>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</si>
  <si>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</si>
  <si>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</si>
  <si>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</si>
  <si>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</si>
  <si>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</si>
  <si>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</si>
  <si>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</si>
  <si>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</si>
  <si>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</si>
  <si>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</si>
  <si>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</si>
  <si>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</si>
  <si>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</si>
  <si>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</si>
  <si>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</si>
  <si>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</si>
  <si>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</si>
  <si>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</si>
  <si>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</si>
  <si>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</si>
  <si>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</si>
  <si>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</si>
  <si>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</si>
  <si>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</si>
  <si>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</si>
  <si>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</si>
  <si>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</si>
  <si>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</si>
  <si>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</si>
  <si>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</si>
  <si>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</si>
  <si>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</si>
  <si>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</si>
  <si>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</si>
  <si>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</si>
  <si>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</si>
  <si>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</si>
  <si>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</si>
  <si>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</si>
  <si>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</si>
  <si>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</si>
  <si>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</si>
  <si>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</si>
  <si>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</si>
  <si>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</si>
  <si>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</si>
  <si>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</si>
  <si>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</si>
  <si>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</si>
  <si>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</si>
  <si>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</si>
  <si>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</si>
  <si>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</si>
  <si>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</si>
  <si>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</si>
  <si>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</si>
  <si>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</si>
  <si>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</si>
  <si>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</si>
  <si>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</si>
  <si>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</si>
  <si>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</si>
  <si>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</si>
  <si>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</si>
  <si>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</si>
  <si>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</si>
  <si>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</si>
  <si>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</si>
  <si>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</si>
  <si>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</si>
  <si>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</si>
  <si>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</si>
  <si>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</si>
  <si>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</si>
  <si>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</si>
  <si>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</si>
  <si>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</si>
  <si>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</si>
  <si>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</si>
  <si>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</si>
  <si>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</si>
  <si>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</si>
  <si>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</si>
  <si>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</si>
  <si>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</si>
  <si>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</si>
  <si>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</si>
  <si>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</si>
  <si>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</si>
  <si>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</si>
  <si>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</si>
  <si>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</si>
  <si>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</si>
  <si>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</si>
  <si>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</si>
  <si>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</si>
  <si>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</si>
  <si>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</si>
  <si>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</si>
  <si>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</si>
  <si>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</si>
  <si>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</si>
  <si>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</si>
  <si>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</si>
  <si>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</si>
  <si>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</si>
  <si>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</si>
  <si>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</si>
  <si>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</si>
  <si>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</si>
  <si>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</si>
  <si>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</si>
  <si>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</si>
  <si>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</si>
  <si>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</si>
  <si>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</si>
  <si>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</si>
  <si>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</si>
  <si>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</si>
  <si>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</si>
  <si>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</si>
  <si>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</si>
  <si>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</si>
  <si>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</si>
  <si>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</si>
  <si>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</si>
  <si>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</si>
  <si>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</si>
  <si>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</si>
  <si>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</si>
  <si>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</si>
  <si>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</si>
  <si>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</si>
  <si>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</si>
  <si>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</si>
  <si>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</si>
  <si>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</si>
  <si>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</si>
  <si>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</si>
  <si>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</si>
  <si>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</si>
  <si>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</si>
  <si>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</si>
  <si>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</si>
  <si>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</si>
  <si>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</si>
  <si>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</si>
  <si>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</si>
  <si>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</si>
  <si>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</si>
  <si>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</si>
  <si>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</si>
  <si>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</si>
  <si>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</si>
  <si>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</si>
  <si>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</si>
  <si>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</si>
  <si>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</si>
  <si>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</si>
  <si>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</si>
  <si>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</si>
  <si>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</si>
  <si>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</si>
  <si>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</si>
  <si>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</si>
  <si>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</si>
  <si>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</si>
  <si>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</si>
  <si>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</si>
  <si>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</si>
  <si>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</si>
  <si>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</si>
  <si>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</si>
  <si>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</si>
  <si>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</si>
  <si>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</si>
  <si>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</si>
  <si>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</si>
  <si>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</si>
  <si>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</si>
  <si>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</si>
  <si>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</si>
  <si>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</si>
  <si>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</si>
  <si>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</si>
  <si>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</si>
  <si>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</si>
  <si>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</si>
  <si>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</si>
  <si>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</si>
  <si>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</si>
  <si>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</si>
  <si>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</si>
  <si>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</si>
  <si>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</si>
  <si>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</si>
  <si>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</si>
  <si>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</si>
  <si>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</si>
  <si>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</si>
  <si>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</si>
  <si>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</si>
  <si>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</si>
  <si>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</si>
  <si>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</si>
  <si>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</si>
  <si>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</si>
  <si>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</si>
  <si>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</si>
  <si>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</si>
  <si>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</si>
  <si>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</si>
  <si>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</si>
  <si>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</si>
  <si>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</si>
  <si>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</si>
  <si>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</si>
  <si>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</si>
  <si>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</si>
  <si>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</si>
  <si>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</si>
  <si>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</si>
  <si>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</si>
  <si>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</si>
  <si>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</si>
  <si>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</si>
  <si>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</si>
  <si>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</si>
  <si>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</si>
  <si>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</si>
  <si>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</si>
  <si>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</si>
  <si>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</si>
  <si>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</si>
  <si>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</si>
  <si>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</si>
  <si>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</si>
  <si>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</si>
  <si>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</si>
  <si>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</si>
  <si>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</si>
  <si>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</si>
  <si>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</si>
  <si>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</si>
  <si>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</si>
  <si>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</si>
  <si>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</si>
  <si>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</si>
  <si>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</si>
  <si>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</si>
  <si>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</si>
  <si>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</si>
  <si>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</si>
  <si>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</si>
  <si>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</si>
  <si>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</si>
  <si>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</si>
  <si>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</si>
  <si>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</si>
  <si>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</si>
  <si>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</si>
  <si>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</si>
  <si>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</si>
  <si>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</si>
  <si>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</si>
  <si>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</si>
  <si>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</si>
  <si>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</si>
  <si>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</si>
  <si>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</si>
  <si>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</si>
  <si>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</si>
  <si>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</si>
  <si>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</si>
  <si>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</si>
  <si>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</si>
  <si>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</si>
  <si>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</si>
  <si>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</si>
  <si>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</si>
  <si>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</si>
  <si>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</si>
  <si>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</si>
  <si>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</si>
  <si>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</si>
  <si>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</si>
  <si>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</si>
  <si>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</si>
  <si>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</si>
  <si>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</si>
  <si>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</si>
  <si>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</si>
  <si>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</si>
  <si>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</si>
  <si>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</si>
  <si>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</si>
  <si>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</si>
  <si>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</si>
  <si>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</si>
  <si>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</si>
  <si>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</si>
  <si>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</si>
  <si>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</si>
  <si>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</si>
  <si>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</si>
  <si>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</si>
  <si>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</si>
  <si>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</si>
  <si>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</si>
  <si>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</si>
  <si>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</si>
  <si>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</si>
  <si>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</si>
  <si>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</si>
  <si>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</si>
  <si>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</si>
  <si>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</si>
  <si>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</si>
  <si>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</si>
  <si>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</si>
  <si>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</si>
  <si>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</si>
  <si>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</si>
  <si>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</si>
  <si>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</si>
  <si>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</si>
  <si>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</si>
  <si>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</si>
  <si>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</si>
  <si>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</si>
  <si>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</si>
  <si>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</si>
  <si>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</si>
  <si>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</si>
  <si>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</si>
  <si>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</si>
  <si>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</si>
  <si>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</si>
  <si>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</si>
  <si>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</si>
  <si>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</si>
  <si>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</si>
  <si>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</si>
  <si>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</si>
  <si>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</si>
  <si>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</si>
  <si>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</si>
  <si>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</si>
  <si>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</si>
  <si>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</si>
  <si>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</si>
  <si>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</si>
  <si>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</si>
  <si>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</si>
  <si>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</si>
  <si>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</si>
  <si>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</si>
  <si>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</si>
  <si>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</si>
  <si>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</si>
  <si>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</si>
  <si>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</si>
  <si>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</si>
  <si>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</si>
  <si>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</si>
  <si>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</si>
  <si>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</si>
  <si>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</si>
  <si>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</si>
  <si>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</si>
  <si>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</si>
  <si>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</si>
  <si>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</si>
  <si>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</si>
  <si>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</si>
  <si>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</si>
  <si>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</si>
  <si>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</si>
  <si>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</si>
  <si>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</si>
  <si>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</si>
  <si>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</si>
  <si>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</si>
  <si>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</si>
  <si>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</si>
  <si>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</si>
  <si>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</si>
  <si>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</si>
  <si>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</si>
  <si>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</si>
  <si>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</si>
  <si>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</si>
  <si>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</si>
  <si>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</si>
  <si>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</si>
  <si>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</si>
  <si>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</si>
  <si>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</si>
  <si>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</si>
  <si>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</si>
  <si>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</si>
  <si>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</si>
  <si>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</si>
  <si>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</si>
  <si>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</si>
  <si>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</si>
  <si>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</si>
  <si>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</si>
  <si>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</si>
  <si>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</si>
  <si>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</si>
  <si>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</si>
  <si>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</si>
  <si>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</si>
  <si>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</si>
  <si>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</si>
  <si>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</si>
  <si>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</si>
  <si>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</si>
  <si>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</si>
  <si>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</si>
  <si>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</si>
  <si>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</si>
  <si>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</si>
  <si>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</si>
  <si>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</si>
  <si>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</si>
  <si>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</si>
  <si>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</si>
  <si>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</si>
  <si>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</si>
  <si>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</si>
  <si>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</si>
  <si>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</si>
  <si>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</si>
  <si>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</si>
  <si>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</si>
  <si>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</si>
  <si>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</si>
  <si>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</si>
  <si>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</si>
  <si>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</si>
  <si>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</si>
  <si>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</si>
  <si>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</si>
  <si>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</si>
  <si>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</si>
  <si>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</si>
  <si>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</si>
  <si>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</si>
  <si>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</si>
  <si>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</si>
  <si>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</si>
  <si>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</si>
  <si>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</si>
  <si>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</si>
  <si>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</si>
  <si>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</si>
  <si>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</si>
  <si>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</si>
  <si>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</si>
  <si>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</si>
  <si>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</si>
  <si>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</si>
  <si>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</si>
  <si>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</si>
  <si>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</si>
  <si>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</si>
  <si>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</si>
  <si>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</si>
  <si>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</si>
  <si>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</si>
  <si>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</si>
  <si>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</si>
  <si>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</si>
  <si>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</si>
  <si>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</si>
  <si>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</si>
  <si>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</si>
  <si>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</si>
  <si>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</si>
  <si>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</si>
  <si>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</si>
  <si>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</si>
  <si>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</si>
  <si>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</si>
  <si>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</si>
  <si>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</si>
  <si>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</si>
  <si>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</si>
  <si>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</si>
  <si>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</si>
  <si>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</si>
  <si>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</si>
  <si>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</si>
  <si>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</si>
  <si>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</si>
  <si>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</si>
  <si>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</si>
  <si>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</si>
  <si>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</si>
  <si>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</si>
  <si>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</si>
  <si>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</si>
  <si>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</si>
  <si>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</si>
  <si>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</si>
  <si>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</si>
  <si>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</si>
  <si>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</si>
  <si>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</si>
  <si>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</si>
  <si>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</si>
  <si>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</si>
  <si>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</si>
  <si>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</si>
  <si>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</si>
  <si>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</si>
  <si>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</si>
  <si>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</si>
  <si>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</si>
  <si>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</si>
  <si>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</si>
  <si>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</si>
  <si>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</si>
  <si>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</si>
  <si>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</si>
  <si>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</si>
  <si>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</si>
  <si>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</si>
  <si>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</si>
  <si>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</si>
  <si>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</si>
  <si>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</si>
  <si>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</si>
  <si>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</si>
  <si>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</si>
  <si>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</si>
  <si>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</si>
  <si>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</si>
  <si>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</si>
  <si>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</si>
  <si>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</si>
  <si>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</si>
  <si>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</si>
  <si>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</si>
  <si>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</si>
  <si>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</si>
  <si>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</si>
  <si>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</si>
  <si>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</si>
  <si>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</si>
  <si>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</si>
  <si>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</si>
  <si>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</si>
  <si>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</si>
  <si>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</si>
  <si>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</si>
  <si>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</si>
  <si>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</si>
  <si>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</si>
  <si>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</si>
  <si>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</si>
  <si>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</si>
  <si>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</si>
  <si>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</si>
  <si>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</si>
  <si>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</si>
  <si>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</si>
  <si>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</si>
  <si>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</si>
  <si>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</si>
  <si>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</si>
  <si>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</si>
  <si>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</si>
  <si>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</si>
  <si>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</si>
  <si>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</si>
  <si>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</si>
  <si>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</si>
  <si>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</si>
  <si>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</si>
  <si>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</si>
  <si>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</si>
  <si>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</si>
  <si>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</si>
  <si>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</si>
  <si>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</si>
  <si>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</si>
  <si>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</si>
  <si>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</si>
  <si>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</si>
  <si>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</si>
  <si>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</si>
  <si>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</si>
  <si>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</si>
  <si>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</si>
  <si>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</si>
  <si>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</si>
  <si>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</si>
  <si>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</si>
  <si>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</si>
  <si>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</si>
  <si>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</si>
  <si>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</si>
  <si>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</si>
  <si>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</si>
  <si>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</si>
  <si>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</si>
  <si>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</si>
  <si>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</si>
  <si>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</si>
  <si>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</si>
  <si>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</si>
  <si>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</si>
  <si>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</si>
  <si>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</si>
  <si>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</si>
  <si>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</si>
  <si>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</si>
  <si>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</si>
  <si>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</si>
  <si>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</si>
  <si>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</si>
  <si>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</si>
  <si>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</si>
  <si>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</si>
  <si>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</si>
  <si>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</si>
  <si>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</si>
  <si>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</si>
  <si>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</si>
  <si>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</si>
  <si>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</si>
  <si>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</si>
  <si>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</si>
  <si>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</si>
  <si>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</si>
  <si>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</si>
  <si>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</si>
  <si>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</si>
  <si>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</si>
  <si>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</si>
  <si>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</si>
  <si>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</si>
  <si>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</si>
  <si>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</si>
  <si>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</si>
  <si>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</si>
  <si>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</si>
  <si>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</si>
  <si>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</si>
  <si>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</si>
  <si>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</si>
  <si>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</si>
  <si>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</si>
  <si>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</si>
  <si>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</si>
  <si>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</si>
  <si>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</si>
  <si>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</si>
  <si>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</si>
  <si>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</si>
  <si>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</si>
  <si>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</si>
  <si>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</si>
  <si>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</si>
  <si>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</si>
  <si>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</si>
  <si>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</si>
  <si>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</si>
  <si>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</si>
  <si>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</si>
  <si>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</si>
  <si>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</si>
  <si>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</si>
  <si>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</si>
  <si>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</si>
  <si>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</si>
  <si>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</si>
  <si>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</si>
  <si>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</si>
  <si>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</si>
  <si>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</si>
  <si>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</si>
  <si>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</si>
  <si>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</si>
  <si>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</si>
  <si>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</si>
  <si>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</si>
  <si>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</si>
  <si>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</si>
  <si>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</si>
  <si>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</si>
  <si>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</si>
  <si>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</si>
  <si>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</si>
  <si>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</si>
  <si>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</si>
  <si>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</si>
  <si>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</si>
  <si>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</si>
  <si>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</si>
  <si>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</si>
  <si>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</si>
  <si>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</si>
  <si>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</si>
  <si>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</si>
  <si>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</si>
  <si>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</si>
  <si>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</si>
  <si>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</si>
  <si>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</si>
  <si>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</si>
  <si>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</si>
  <si>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</si>
  <si>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</si>
  <si>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</si>
  <si>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</si>
  <si>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畏缩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</si>
  <si>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</si>
  <si>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</si>
  <si>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</si>
  <si>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</si>
  <si>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</si>
  <si>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</si>
  <si>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</si>
  <si>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</si>
  <si>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</si>
  <si>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</si>
  <si>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</si>
  <si>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</si>
  <si>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</si>
  <si>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</si>
  <si>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</si>
  <si>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</si>
  <si>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</si>
  <si>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</si>
  <si>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</si>
  <si>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</si>
  <si>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起搏器</t>
  </si>
  <si>
    <t>吸血攻击</t>
  </si>
  <si>
    <t>潜行</t>
  </si>
  <si>
    <t>四次元背包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</si>
  <si>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</si>
  <si>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</si>
  <si>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</si>
  <si>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</si>
  <si>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</si>
  <si>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</si>
  <si>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</si>
  <si>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</si>
  <si>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</si>
  <si>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</si>
  <si>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</si>
  <si>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</si>
  <si>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</si>
  <si>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</si>
  <si>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</si>
  <si>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</si>
  <si>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</si>
  <si>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</si>
  <si>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</si>
  <si>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</si>
  <si>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</si>
  <si>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</si>
  <si>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</si>
  <si>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</si>
  <si>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</si>
  <si>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</si>
  <si>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</si>
  <si>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</si>
  <si>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疯狂购物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</si>
  <si>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</si>
  <si>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</si>
  <si>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</si>
  <si>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</si>
  <si>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</si>
  <si>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</si>
  <si>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</si>
  <si>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</si>
  <si>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</si>
  <si>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</si>
  <si>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</si>
  <si>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</si>
  <si>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</si>
  <si>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</si>
  <si>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</si>
  <si>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</si>
  <si>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</si>
  <si>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</si>
  <si>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</si>
  <si>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</si>
  <si>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</si>
  <si>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</si>
  <si>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</si>
  <si>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</si>
  <si>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</si>
  <si>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</si>
  <si>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</si>
  <si>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</si>
  <si>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</si>
  <si>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</si>
  <si>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</si>
  <si>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去挖金钥匙！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</si>
  <si>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</si>
  <si>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</si>
  <si>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</si>
  <si>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</si>
  <si>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</si>
  <si>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</si>
  <si>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</si>
  <si>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</si>
  <si>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</si>
  <si>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</si>
  <si>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</si>
  <si>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</si>
  <si>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</si>
  <si>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</si>
  <si>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</si>
  <si>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</si>
  <si>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</si>
  <si>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</si>
  <si>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</si>
  <si>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</si>
  <si>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</si>
  <si>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</si>
  <si>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</si>
  <si>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</si>
  <si>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</si>
  <si>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</si>
  <si>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利用周围的敌人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</si>
  <si>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</si>
  <si>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</si>
  <si>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</si>
  <si>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</si>
  <si>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</si>
  <si>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</si>
  <si>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</si>
  <si>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</si>
  <si>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</si>
  <si>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</si>
  <si>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</si>
  <si>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</si>
  <si>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</si>
  <si>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</si>
  <si>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</si>
  <si>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</si>
  <si>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</si>
  <si>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</si>
  <si>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</si>
  <si>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</si>
  <si>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</si>
  <si>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</si>
  <si>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</si>
  <si>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</si>
  <si>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</si>
  <si>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</si>
  <si>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</si>
  <si>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</si>
  <si>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</si>
  <si>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可以挖掘任何东西，同时受到伤害</t>
  </si>
  <si>
    <t>金币倍率将强化挖掘能力</t>
  </si>
  <si>
    <t>+2挖掘等级，被打断移除</t>
  </si>
  <si>
    <t>蓄力挖掘</t>
  </si>
  <si>
    <t>回复0.5生命值</t>
  </si>
  <si>
    <t>魔法视野，被打断移除</t>
  </si>
  <si>
    <t>墙壁上的火把</t>
  </si>
  <si>
    <t>金币倍率将强化光照</t>
  </si>
  <si>
    <t>金币倍率将强化伤害</t>
  </si>
  <si>
    <t>拾取金币后伤害提升</t>
  </si>
  <si>
    <t>吸血攻击，失血增加伤害</t>
  </si>
  <si>
    <t>+4伤害，被打断移除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</si>
  <si>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</si>
  <si>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</si>
  <si>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</si>
  <si>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</si>
  <si>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</si>
  <si>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</si>
  <si>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</si>
  <si>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</si>
  <si>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</si>
  <si>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</si>
  <si>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</si>
  <si>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</si>
  <si>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</si>
  <si>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</si>
  <si>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</si>
  <si>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</si>
  <si>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</si>
  <si>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</si>
  <si>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</si>
  <si>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</si>
  <si>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</si>
  <si>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</si>
  <si>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</si>
  <si>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</si>
  <si>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</si>
  <si>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</si>
  <si>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</si>
  <si>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</si>
  <si>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</si>
  <si>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</si>
  <si>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</si>
  <si>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</si>
  <si>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</si>
  <si>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</si>
  <si>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</si>
  <si>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</si>
  <si>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</si>
  <si>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</si>
  <si>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</si>
  <si>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</si>
  <si>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</si>
  <si>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</si>
  <si>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</si>
  <si>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</si>
  <si>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</si>
  <si>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</si>
  <si>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</si>
  <si>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</si>
  <si>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</si>
  <si>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</si>
  <si>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</si>
  <si>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</si>
  <si>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</si>
  <si>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伤害，视野变异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</si>
  <si>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</si>
  <si>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</si>
  <si>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</si>
  <si>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</si>
  <si>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</si>
  <si>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</si>
  <si>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</si>
  <si>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</si>
  <si>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</si>
  <si>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</si>
  <si>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</si>
  <si>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</si>
  <si>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</si>
  <si>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</si>
  <si>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</si>
  <si>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</si>
  <si>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</si>
  <si>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</si>
  <si>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</si>
  <si>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</si>
  <si>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</si>
  <si>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</si>
  <si>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</si>
  <si>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</si>
  <si>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</si>
  <si>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</si>
  <si>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</si>
  <si>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</si>
  <si>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</si>
  <si>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</si>
  <si>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</si>
  <si>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</si>
  <si>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</si>
  <si>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</si>
  <si>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</si>
  <si>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</si>
  <si>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</si>
  <si>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</si>
  <si>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</si>
  <si>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</si>
  <si>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</si>
  <si>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</si>
  <si>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</si>
  <si>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</si>
  <si>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</si>
  <si>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</si>
  <si>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</si>
  <si>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</si>
  <si>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</si>
  <si>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</si>
  <si>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</si>
  <si>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</si>
  <si>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</si>
  <si>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</si>
  <si>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</si>
  <si>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</si>
  <si>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</si>
  <si>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</si>
  <si>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</si>
  <si>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</si>
  <si>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</si>
  <si>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</si>
  <si>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</si>
  <si>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</si>
  <si>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</si>
  <si>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</si>
  <si>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</si>
  <si>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</si>
  <si>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</si>
  <si>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</si>
  <si>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</si>
  <si>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</si>
  <si>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</si>
  <si>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</si>
  <si>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</si>
  <si>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</si>
  <si>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</si>
  <si>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</si>
  <si>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</si>
  <si>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</si>
  <si>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</si>
  <si>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</si>
  <si>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</si>
  <si>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</si>
  <si>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</si>
  <si>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</si>
  <si>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</si>
  <si>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</si>
  <si>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</si>
  <si>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移动时造成伤害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</si>
  <si>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</si>
  <si>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</si>
  <si>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</si>
  <si>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</si>
  <si>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</si>
  <si>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</si>
  <si>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</si>
  <si>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</si>
  <si>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</si>
  <si>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</si>
  <si>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</si>
  <si>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</si>
  <si>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</si>
  <si>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</si>
  <si>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</si>
  <si>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</si>
  <si>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</si>
  <si>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</si>
  <si>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</si>
  <si>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</si>
  <si>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</si>
  <si>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</si>
  <si>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</si>
  <si>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</si>
  <si>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</si>
  <si>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</si>
  <si>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</si>
  <si>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</si>
  <si>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</si>
  <si>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</si>
  <si>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</si>
  <si>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</si>
  <si>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</si>
  <si>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</si>
  <si>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</si>
  <si>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</si>
  <si>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</si>
  <si>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</si>
  <si>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</si>
  <si>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</si>
  <si>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</si>
  <si>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</si>
  <si>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</si>
  <si>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</si>
  <si>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</si>
  <si>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</si>
  <si>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</si>
  <si>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</si>
  <si>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</si>
  <si>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</si>
  <si>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</si>
  <si>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</si>
  <si>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</si>
  <si>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</si>
  <si>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</si>
  <si>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</si>
  <si>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</si>
  <si>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</si>
  <si>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</si>
  <si>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</si>
  <si>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</si>
  <si>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</si>
  <si>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</si>
  <si>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</si>
  <si>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</si>
  <si>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</si>
  <si>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</si>
  <si>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</si>
  <si>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</si>
  <si>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</si>
  <si>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</si>
  <si>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</si>
  <si>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</si>
  <si>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</si>
  <si>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</si>
  <si>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</si>
  <si>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</si>
  <si>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</si>
  <si>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</si>
  <si>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</si>
  <si>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</si>
  <si>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</si>
  <si>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</si>
  <si>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</si>
  <si>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</si>
  <si>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</si>
  <si>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</si>
  <si>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</si>
  <si>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</si>
  <si>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</si>
  <si>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</si>
  <si>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</si>
  <si>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</si>
  <si>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</si>
  <si>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</si>
  <si>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</si>
  <si>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</si>
  <si>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</si>
  <si>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</si>
  <si>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</si>
  <si>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</si>
  <si>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</si>
  <si>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</si>
  <si>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</si>
  <si>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</si>
  <si>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</si>
  <si>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</si>
  <si>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</si>
  <si>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</si>
  <si>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</si>
  <si>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</si>
  <si>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</si>
  <si>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</si>
  <si>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</si>
  <si>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</si>
  <si>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</si>
  <si>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</si>
  <si>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</si>
  <si>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</si>
  <si>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</si>
  <si>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</si>
  <si>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</si>
  <si>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</si>
  <si>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</si>
  <si>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</si>
  <si>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</si>
  <si>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</si>
  <si>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</si>
  <si>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</si>
  <si>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</si>
  <si>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</si>
  <si>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</si>
  <si>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</si>
  <si>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</si>
  <si>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</si>
  <si>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</si>
  <si>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</si>
  <si>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</si>
  <si>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</si>
  <si>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</si>
  <si>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</si>
  <si>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</si>
  <si>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</si>
  <si>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</si>
  <si>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</si>
  <si>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</si>
  <si>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</si>
  <si>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</si>
  <si>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</si>
  <si>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</si>
  <si>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</si>
  <si>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</si>
  <si>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</si>
  <si>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</si>
  <si>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</si>
  <si>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</si>
  <si>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</si>
  <si>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</si>
  <si>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</si>
  <si>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</si>
  <si>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</si>
  <si>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</si>
  <si>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</si>
  <si>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</si>
  <si>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</si>
  <si>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</si>
  <si>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</si>
  <si>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</si>
  <si>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</si>
  <si>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</si>
  <si>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</si>
  <si>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</si>
  <si>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</si>
  <si>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</si>
  <si>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</si>
  <si>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</si>
  <si>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</si>
  <si>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</si>
  <si>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</si>
  <si>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</si>
  <si>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</si>
  <si>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</si>
  <si>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</si>
  <si>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</si>
  <si>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</si>
  <si>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</si>
  <si>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</si>
  <si>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</si>
  <si>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</si>
  <si>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</si>
  <si>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</si>
  <si>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</si>
  <si>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</si>
  <si>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</si>
  <si>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</si>
  <si>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</si>
  <si>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</si>
  <si>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</si>
  <si>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</si>
  <si>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</si>
  <si>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</si>
  <si>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</si>
  <si>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</si>
  <si>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</si>
  <si>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</si>
  <si>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</si>
  <si>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</si>
  <si>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</si>
  <si>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</si>
  <si>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</si>
  <si>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</si>
  <si>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</si>
  <si>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</si>
  <si>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</si>
  <si>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</si>
  <si>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</si>
  <si>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</si>
  <si>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</si>
  <si>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</si>
  <si>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</si>
  <si>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</si>
  <si>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</si>
  <si>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</si>
  <si>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</si>
  <si>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</si>
  <si>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</si>
  <si>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</si>
  <si>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</si>
  <si>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</si>
  <si>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</si>
  <si>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</si>
  <si>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</si>
  <si>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</si>
  <si>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</si>
  <si>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</si>
  <si>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</si>
  <si>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</si>
  <si>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</si>
  <si>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</si>
  <si>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</si>
  <si>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</si>
  <si>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</si>
  <si>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</si>
  <si>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</si>
  <si>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</si>
  <si>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</si>
  <si>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</si>
  <si>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</si>
  <si>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</si>
  <si>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</si>
  <si>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</si>
  <si>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</si>
  <si>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</si>
  <si>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</si>
  <si>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</si>
  <si>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</si>
  <si>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</si>
  <si>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</si>
  <si>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</si>
  <si>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</si>
  <si>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</si>
  <si>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</si>
  <si>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</si>
  <si>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</si>
  <si>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</si>
  <si>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</si>
  <si>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</si>
  <si>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</si>
  <si>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</si>
  <si>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</si>
  <si>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</si>
  <si>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</si>
  <si>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</si>
  <si>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</si>
  <si>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</si>
  <si>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</si>
  <si>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</si>
  <si>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</si>
  <si>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</si>
  <si>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</si>
  <si>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</si>
  <si>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</si>
  <si>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</si>
  <si>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</si>
  <si>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</si>
  <si>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</si>
  <si>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</si>
  <si>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</si>
  <si>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</si>
  <si>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</si>
  <si>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</si>
  <si>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</si>
  <si>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</si>
  <si>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</si>
  <si>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</si>
  <si>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</si>
  <si>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</si>
  <si>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</si>
  <si>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</si>
  <si>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</si>
  <si>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</si>
  <si>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</si>
  <si>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</si>
  <si>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</si>
  <si>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</si>
  <si>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</si>
  <si>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</si>
  <si>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</si>
  <si>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</si>
  <si>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</si>
  <si>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</si>
  <si>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</si>
  <si>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</si>
  <si>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</si>
  <si>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</si>
  <si>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</si>
  <si>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</si>
  <si>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</si>
  <si>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</si>
  <si>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</si>
  <si>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</si>
  <si>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</si>
  <si>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</si>
  <si>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</si>
  <si>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</si>
  <si>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</si>
  <si>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</si>
  <si>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</si>
  <si>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</si>
  <si>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</si>
  <si>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</si>
  <si>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</si>
  <si>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</si>
  <si>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</si>
  <si>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</si>
  <si>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</si>
  <si>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</si>
  <si>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</si>
  <si>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</si>
  <si>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</si>
  <si>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</si>
  <si>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</si>
  <si>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</si>
  <si>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</si>
  <si>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</si>
  <si>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</si>
  <si>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</si>
  <si>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</si>
  <si>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</si>
  <si>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</si>
  <si>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为什么“金路特勤”看上去这么重要？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</si>
  <si>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</si>
  <si>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</si>
  <si>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</si>
  <si>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</si>
  <si>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</si>
  <si>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</si>
  <si>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</si>
  <si>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</si>
  <si>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</si>
  <si>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</si>
  <si>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</si>
  <si>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</si>
  <si>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</si>
  <si>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</si>
  <si>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</si>
  <si>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</si>
  <si>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</si>
  <si>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</si>
  <si>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</si>
  <si>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</si>
  <si>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</si>
  <si>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</si>
  <si>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</si>
  <si>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</si>
  <si>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</si>
  <si>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</si>
  <si>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</si>
  <si>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</si>
  <si>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</si>
  <si>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</si>
  <si>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</si>
  <si>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</si>
  <si>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</si>
  <si>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</si>
  <si>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</si>
  <si>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</si>
  <si>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</si>
  <si>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</si>
  <si>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</si>
  <si>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</si>
  <si>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</si>
  <si>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</si>
  <si>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</si>
  <si>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</si>
  <si>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</si>
  <si>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</si>
  <si>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</si>
  <si>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</si>
  <si>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</si>
  <si>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</si>
  <si>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</si>
  <si>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</si>
  <si>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</si>
  <si>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</si>
  <si>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</si>
  <si>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</si>
  <si>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</si>
  <si>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</si>
  <si>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</si>
  <si>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</si>
  <si>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</si>
  <si>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</si>
  <si>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骷髅骑士</t>
  </si>
  <si>
    <t>黄色骷髅骑士</t>
  </si>
  <si>
    <t>黑色骷髅骑士</t>
  </si>
  <si>
    <t>火元素</t>
  </si>
  <si>
    <t>冰元素</t>
  </si>
  <si>
    <t>哥布林</t>
  </si>
  <si>
    <t>灰色哥布林</t>
  </si>
  <si>
    <t>火甲虫</t>
  </si>
  <si>
    <t>冰甲虫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</si>
  <si>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</si>
  <si>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</si>
  <si>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</si>
  <si>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</si>
  <si>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</si>
  <si>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</si>
  <si>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</si>
  <si>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</si>
  <si>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</si>
  <si>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</si>
  <si>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</si>
  <si>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</si>
  <si>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</si>
  <si>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</si>
  <si>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</si>
  <si>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</si>
  <si>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</si>
  <si>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</si>
  <si>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</si>
  <si>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</si>
  <si>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</si>
  <si>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</si>
  <si>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</si>
  <si>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</si>
  <si>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</si>
  <si>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</si>
  <si>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</si>
  <si>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</si>
  <si>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</si>
  <si>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</si>
  <si>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</si>
  <si>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</si>
  <si>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</si>
  <si>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</si>
  <si>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</si>
  <si>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</si>
  <si>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</si>
  <si>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</si>
  <si>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</si>
  <si>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</si>
  <si>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</si>
  <si>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</si>
  <si>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</si>
  <si>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</si>
  <si>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</si>
  <si>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</si>
  <si>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</si>
  <si>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</si>
  <si>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</si>
  <si>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</si>
  <si>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</si>
  <si>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</si>
  <si>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</si>
  <si>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</si>
  <si>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</si>
  <si>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</si>
  <si>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x</t>
    <phoneticPr fontId="1" type="noConversion"/>
  </si>
  <si>
    <t>0.5</t>
  </si>
  <si>
    <t/>
  </si>
  <si>
    <t>1.5</t>
  </si>
  <si>
    <t>地下城大师</t>
  </si>
  <si>
    <t>吹风！</t>
  </si>
  <si>
    <t>和平主义者</t>
  </si>
  <si>
    <t>深蓝象棋</t>
  </si>
  <si>
    <t>火焰史莱姆</t>
  </si>
  <si>
    <t>冰霜史莱姆</t>
  </si>
  <si>
    <t>推推怪</t>
  </si>
  <si>
    <t>白色犰狳</t>
  </si>
  <si>
    <t>白色持盾骷髅</t>
  </si>
  <si>
    <t>蓝色女妖</t>
  </si>
  <si>
    <t>蓝蝙蝠</t>
  </si>
  <si>
    <t>黄色恐怖蝙蝠</t>
  </si>
  <si>
    <t>棕色恐怖蝙蝠</t>
  </si>
  <si>
    <t>象</t>
  </si>
  <si>
    <t>象(红方)</t>
  </si>
  <si>
    <t>桶</t>
  </si>
  <si>
    <t>石像鬼</t>
  </si>
  <si>
    <t>紫色哥布林</t>
  </si>
  <si>
    <t>哥布林投弹手</t>
  </si>
  <si>
    <t>浅色石巨人</t>
  </si>
  <si>
    <t>国王</t>
  </si>
  <si>
    <t>国王(红方)</t>
  </si>
  <si>
    <t>马</t>
  </si>
  <si>
    <t>马(红方)</t>
  </si>
  <si>
    <t>妖精</t>
  </si>
  <si>
    <t>浅色牛头怪</t>
  </si>
  <si>
    <t>深色牛头怪</t>
  </si>
  <si>
    <t>紫色猴子</t>
  </si>
  <si>
    <t>木乃伊</t>
  </si>
  <si>
    <t>蓝色蘑菇怪</t>
  </si>
  <si>
    <t>爆炸蘑菇怪</t>
  </si>
  <si>
    <t>黑暗梦魇</t>
  </si>
  <si>
    <t>卒</t>
  </si>
  <si>
    <t>卒(红方)</t>
  </si>
  <si>
    <t>王后</t>
  </si>
  <si>
    <t>王后(红方)</t>
  </si>
  <si>
    <t>车</t>
  </si>
  <si>
    <t>车(红方)</t>
  </si>
  <si>
    <t>商店老板</t>
  </si>
  <si>
    <t>畸形商店老板</t>
  </si>
  <si>
    <t>商店老板幽灵</t>
  </si>
  <si>
    <t>白骷髅</t>
  </si>
  <si>
    <t>白色骷髅骑士</t>
  </si>
  <si>
    <t>白色骷髅法师</t>
  </si>
  <si>
    <t>触手怪</t>
  </si>
  <si>
    <t>锁住的宝箱怪</t>
  </si>
  <si>
    <t>白色宝箱怪</t>
  </si>
  <si>
    <t>火焰锅炉怪</t>
  </si>
  <si>
    <t>冰霜锅炉怪</t>
  </si>
  <si>
    <t>刺针陷阱</t>
  </si>
  <si>
    <t>鲜血魔法</t>
  </si>
  <si>
    <t>血债</t>
  </si>
  <si>
    <t>胆小鬼</t>
  </si>
  <si>
    <t>贪婪</t>
  </si>
  <si>
    <t>熔岩</t>
  </si>
  <si>
    <t>Dorian的诅咒</t>
  </si>
  <si>
    <t>水晶砖块</t>
  </si>
  <si>
    <t>陷阱墙</t>
  </si>
  <si>
    <t>灰色推推怪</t>
  </si>
  <si>
    <t>练习</t>
  </si>
  <si>
    <t>x</t>
    <phoneticPr fontId="1" type="noConversion"/>
  </si>
  <si>
    <t>|</t>
    <phoneticPr fontId="1" type="noConversion"/>
  </si>
  <si>
    <t>localization/game_coinmultiplier.png</t>
  </si>
  <si>
    <t>localization/game_coinmultiplierlost.png</t>
  </si>
  <si>
    <t>localization/game_loading.png</t>
  </si>
  <si>
    <t>localization/options_savedatamismatch1.png</t>
  </si>
  <si>
    <t>localization/options_savedatamismatch2.png</t>
  </si>
  <si>
    <t>localization/options_savedatamismatch3.png</t>
  </si>
  <si>
    <t>localization/options_savedatausecloud.png</t>
  </si>
  <si>
    <t>localization/options_savedatauselocal.png</t>
  </si>
  <si>
    <t>localization/game_beatskipped.png</t>
  </si>
  <si>
    <t>localization/lobby_fastmove1.png</t>
  </si>
  <si>
    <t>localization/lobby_fastmove2.png</t>
  </si>
  <si>
    <t>localization/game_death1.png</t>
  </si>
  <si>
    <t>localization/game_death2.png</t>
  </si>
  <si>
    <t>localization/game_songend1.png</t>
  </si>
  <si>
    <t>localization/game_songend2.png</t>
  </si>
  <si>
    <t>localization/game_scoresubmitting.png</t>
  </si>
  <si>
    <t>localization/game_scoreskip.png</t>
  </si>
  <si>
    <t>localization/game_replayshowing.png</t>
  </si>
  <si>
    <t>localization/game_wincount.png</t>
  </si>
  <si>
    <t>localization/game_seeded.png</t>
  </si>
  <si>
    <t>localization/game_speedrun.png</t>
  </si>
  <si>
    <t>localization/location_lobby.png</t>
  </si>
  <si>
    <t>localization/location_zone.png</t>
  </si>
  <si>
    <t>localization/location_boss.png</t>
  </si>
  <si>
    <t>localization/location_level.png</t>
  </si>
  <si>
    <t>localization/lobby_janitorclean1.png</t>
  </si>
  <si>
    <t>localization/lobby_janitorclean2.png</t>
  </si>
  <si>
    <t>localization/lobby_unspent1.png</t>
  </si>
  <si>
    <t>localization/lobby_unspent2.png</t>
  </si>
  <si>
    <t>localization/lobby_unspent3.png</t>
  </si>
  <si>
    <t>localization/lobby_spenddiamonds.png</t>
  </si>
  <si>
    <t>localization/game_quickrestart1.png</t>
  </si>
  <si>
    <t>localization/game_quickrestart2.png</t>
  </si>
  <si>
    <t>localization/game_quickrestart3.png</t>
  </si>
  <si>
    <t>localization/game_scoresubmit.png</t>
  </si>
  <si>
    <t>localization/boss_practiceunlock1.png</t>
  </si>
  <si>
    <t>localization/boss_practiceunlock2.png</t>
  </si>
  <si>
    <t>localization/boss_practiceunlock3.png</t>
  </si>
  <si>
    <t>localization/character_unlockmelody1.png</t>
  </si>
  <si>
    <t>localization/character_unlockmelody2.png</t>
  </si>
  <si>
    <t>localization/character_unlockstory1.png</t>
  </si>
  <si>
    <t>localization/character_unlockstory2.png</t>
  </si>
  <si>
    <t>localization/character_unlock1.png</t>
  </si>
  <si>
    <t>localization/character_unlock2.png</t>
  </si>
  <si>
    <t>localization/character_unlock3.png</t>
  </si>
  <si>
    <t>localization/character_unlock4.png</t>
  </si>
  <si>
    <t>localization/shop_cost.png</t>
  </si>
  <si>
    <t>localization/shop_coins.png</t>
  </si>
  <si>
    <t>localization/hint_usewalls.png</t>
  </si>
  <si>
    <t>localization/lobby_tutorial.png</t>
  </si>
  <si>
    <t>localization/lobby_zone1.png</t>
  </si>
  <si>
    <t>localization/lobby_zone2.png</t>
  </si>
  <si>
    <t>localization/lobby_zone3.png</t>
  </si>
  <si>
    <t>localization/lobby_zone4.png</t>
  </si>
  <si>
    <t>localization/lobby_select.png</t>
  </si>
  <si>
    <t>localization/lobby_character.png</t>
  </si>
  <si>
    <t>localization/lobby_allzones.png</t>
  </si>
  <si>
    <t>localization/lobby_mode.png</t>
  </si>
  <si>
    <t>localization/lobby_dancepad.png</t>
  </si>
  <si>
    <t>localization/lobby_modeeasier.png</t>
  </si>
  <si>
    <t>localization/lobby_allzonesmode.png</t>
  </si>
  <si>
    <t>localization/lobby_seeded.png</t>
  </si>
  <si>
    <t>localization/lobby_leveleditor.png</t>
  </si>
  <si>
    <t>localization/lobby_dailychallenge.png</t>
  </si>
  <si>
    <t>localization/lobby_localcoop.png</t>
  </si>
  <si>
    <t>localization/lobby_singleplayer.png</t>
  </si>
  <si>
    <t>localization/lobby_zone1complete.png</t>
  </si>
  <si>
    <t>localization/lobby_zone2complete.png</t>
  </si>
  <si>
    <t>localization/lobby_zone3complete.png</t>
  </si>
  <si>
    <t>localization/lobby_zone4complete_aria.png</t>
  </si>
  <si>
    <t>localization/lobby_zone3complete_aria.png</t>
  </si>
  <si>
    <t>localization/lobby_zone2complete_aria.png</t>
  </si>
  <si>
    <t>localization/lobby_dungeonmaster.png</t>
  </si>
  <si>
    <t>localization/lobby_dungeonmasterhint.png</t>
  </si>
  <si>
    <t>localization/lobby_dungeonmasterexplain.png</t>
  </si>
  <si>
    <t>localization/lobby_beastmaster.png</t>
  </si>
  <si>
    <t>localization/lobby_bossmaster.png</t>
  </si>
  <si>
    <t>localization/lobby_bossmasterexplain.png</t>
  </si>
  <si>
    <t>localization/lobby_minibosses.png</t>
  </si>
  <si>
    <t>localization/lobby_bosses.png</t>
  </si>
  <si>
    <t>localization/lobby_weaponmaster.png</t>
  </si>
  <si>
    <t>localization/lobby_weaponmasterhint.png</t>
  </si>
  <si>
    <t>localization/lobby_weaponmasterexplain.png</t>
  </si>
  <si>
    <t>localization/lobby_weaponbase.png</t>
  </si>
  <si>
    <t>localization/lobby_weapongold.png</t>
  </si>
  <si>
    <t>localization/lobby_weaponglass.png</t>
  </si>
  <si>
    <t>localization/lobby_weaponblood.png</t>
  </si>
  <si>
    <t>localization/lobby_weaponobsidian.png</t>
  </si>
  <si>
    <t>localization/lobby_weapontitanium.png</t>
  </si>
  <si>
    <t>localization/lobby_codex.png</t>
  </si>
  <si>
    <t>localization/lobby_codexexplain.png</t>
  </si>
  <si>
    <t>localization/lobby_dragonlore.png</t>
  </si>
  <si>
    <t>localization/lobby_traplore.png</t>
  </si>
  <si>
    <t>localization/lobby_bomblore.png</t>
  </si>
  <si>
    <t>localization/lobby_howtogetaway.png</t>
  </si>
  <si>
    <t>localization/lobby_withmurder.png</t>
  </si>
  <si>
    <t>localization/lobby_janitor.png</t>
  </si>
  <si>
    <t>localization/lobby_janitorexplain1.png</t>
  </si>
  <si>
    <t>localization/lobby_janitorexplain2.png</t>
  </si>
  <si>
    <t>localization/lobby_diamonddealer.png</t>
  </si>
  <si>
    <t>localization/lobby_diamonddealerhint.png</t>
  </si>
  <si>
    <t>localization/lobby_diamonddealerexplain1.png</t>
  </si>
  <si>
    <t>localization/lobby_diamonddealerexplain2.png</t>
  </si>
  <si>
    <t>localization/characterselect_random.png</t>
  </si>
  <si>
    <t>localization/characterselect_character.png</t>
  </si>
  <si>
    <t>localization/characterselect_allchars.png</t>
  </si>
  <si>
    <t>localization/characterselect_exceptcoda.png</t>
  </si>
  <si>
    <t>localization/characterselect_deathless.png</t>
  </si>
  <si>
    <t>localization/characterselect_mode1.png</t>
  </si>
  <si>
    <t>localization/characterselect_story.png</t>
  </si>
  <si>
    <t>localization/characterselect_mode2.png</t>
  </si>
  <si>
    <t>localization/characterselect_hint1.png</t>
  </si>
  <si>
    <t>localization/characterselect_hint2.png</t>
  </si>
  <si>
    <t>localization/characterselect_choosenext.png</t>
  </si>
  <si>
    <t>localization/lobby_chooseenemy.png</t>
  </si>
  <si>
    <t>localization/lobby_beastmasterexplain2.png</t>
  </si>
  <si>
    <t>localization/lobby_back.png</t>
  </si>
  <si>
    <t>localization/lobby_chooseminiboss.png</t>
  </si>
  <si>
    <t>localization/lobby_chooseboss.png</t>
  </si>
  <si>
    <t>localization/game_goodluck.png</t>
  </si>
  <si>
    <t>localization/shop_transmog.png</t>
  </si>
  <si>
    <t>localization/shop_conjurer.png</t>
  </si>
  <si>
    <t>localization/shop_shriner.png</t>
  </si>
  <si>
    <t>localization/shop_pawnbroker.png</t>
  </si>
  <si>
    <t>localization/game_dancepad1.png</t>
  </si>
  <si>
    <t>localization/game_dancepad2.png</t>
  </si>
  <si>
    <t>localization/game_dancepad3.png</t>
  </si>
  <si>
    <t>localization/game_deathless1.png</t>
  </si>
  <si>
    <t>localization/game_deathless2.png</t>
  </si>
  <si>
    <t>localization/game_deathless3.png</t>
  </si>
  <si>
    <t>localization/game_allchars1.png</t>
  </si>
  <si>
    <t>localization/game_allchars2.png</t>
  </si>
  <si>
    <t>localization/game_allchars3.png</t>
  </si>
  <si>
    <t>localization/game_story1.png</t>
  </si>
  <si>
    <t>localization/game_story2.png</t>
  </si>
  <si>
    <t>localization/game_story3.png</t>
  </si>
  <si>
    <t>localization/game_allzones1.png</t>
  </si>
  <si>
    <t>localization/game_allzones2.png</t>
  </si>
  <si>
    <t>localization/game_allzones3.png</t>
  </si>
  <si>
    <t>localization/game_daily1.png</t>
  </si>
  <si>
    <t>localization/game_daily2.png</t>
  </si>
  <si>
    <t>localization/game_daily3.png</t>
  </si>
  <si>
    <t>localization/lobby_dailywait.png</t>
  </si>
  <si>
    <t>localization/lobby_dailyhours.png</t>
  </si>
  <si>
    <t>localization/lobby_dailyminutes.png</t>
  </si>
  <si>
    <t>localization/lobby_dailyseconds.png</t>
  </si>
  <si>
    <t>localization/lobby_beastmasterexplain1.png</t>
  </si>
  <si>
    <t>localization/character_cadence.png</t>
  </si>
  <si>
    <t>localization/character_melody.png</t>
  </si>
  <si>
    <t>localization/character_aria.png</t>
  </si>
  <si>
    <t>localization/character_dorian.png</t>
  </si>
  <si>
    <t>localization/character_eli.png</t>
  </si>
  <si>
    <t>localization/character_ghost.png</t>
  </si>
  <si>
    <t>localization/character_monk.png</t>
  </si>
  <si>
    <t>localization/character_dove.png</t>
  </si>
  <si>
    <t>localization/character_coda.png</t>
  </si>
  <si>
    <t>localization/character_thief.png</t>
  </si>
  <si>
    <t>localization/character_bolt.png</t>
  </si>
  <si>
    <t>localization/character_bard.png</t>
  </si>
  <si>
    <t>localization/character_mage.png</t>
  </si>
  <si>
    <t>localization/character_allchars.png</t>
  </si>
  <si>
    <t>localization/character_storymode.png</t>
  </si>
  <si>
    <t>localization/characterbig_cadence.png</t>
  </si>
  <si>
    <t>localization/characterbig_melody.png</t>
  </si>
  <si>
    <t>localization/characterbig_aria.png</t>
  </si>
  <si>
    <t>localization/characterbig_dorian.png</t>
  </si>
  <si>
    <t>localization/characterbig_eli.png</t>
  </si>
  <si>
    <t>localization/characterbig_ghost.png</t>
  </si>
  <si>
    <t>localization/characterbig_monk.png</t>
  </si>
  <si>
    <t>localization/characterbig_dove.png</t>
  </si>
  <si>
    <t>localization/characterbig_coda.png</t>
  </si>
  <si>
    <t>localization/characterbig_thief.png</t>
  </si>
  <si>
    <t>localization/characterbig_bolt.png</t>
  </si>
  <si>
    <t>localization/characterbig_bard.png</t>
  </si>
  <si>
    <t>localization/characterbig_mage.png</t>
  </si>
  <si>
    <t>localization/characterbig_allchars.png</t>
  </si>
  <si>
    <t>localization/characterbig_storymode.png</t>
  </si>
  <si>
    <t>localization/hint_destroysarcophagus.png</t>
  </si>
  <si>
    <t>localization/hint_completezone1.png</t>
  </si>
  <si>
    <t>localization/hint_completezone2.png</t>
  </si>
  <si>
    <t>localization/hint_completezone3.png</t>
  </si>
  <si>
    <t>localization/hint_completezone4.png</t>
  </si>
  <si>
    <t>localization/hint_completedragonlore.png</t>
  </si>
  <si>
    <t>localization/hint_completetraplore.png</t>
  </si>
  <si>
    <t>localization/hint_completebomblore.png</t>
  </si>
  <si>
    <t>localization/hint_completemonk.png</t>
  </si>
  <si>
    <t>localization/hint_completemelody.png</t>
  </si>
  <si>
    <t>localization/hint_completezone4cadence.png</t>
  </si>
  <si>
    <t>localization/hint_completecadence.png</t>
  </si>
  <si>
    <t>localization/hint_completeallchars.png</t>
  </si>
  <si>
    <t>localization/hint_unlockallchars.png</t>
  </si>
  <si>
    <t>localization/hint_alreadycomplete.png</t>
  </si>
  <si>
    <t>localization/hint_cadenceonly.png</t>
  </si>
  <si>
    <t>localization/hint_melodyonly.png</t>
  </si>
  <si>
    <t>localization/hint_ariaonly.png</t>
  </si>
  <si>
    <t>localization/hint_defeatminiboss.png</t>
  </si>
  <si>
    <t>localization/hint_deafened.png</t>
  </si>
  <si>
    <t>localization/hint_invincible.png</t>
  </si>
  <si>
    <t>localization/hint_shieldblock.png</t>
  </si>
  <si>
    <t>localization/hint_parried.png</t>
  </si>
  <si>
    <t>localization/hint_windspell.png</t>
  </si>
  <si>
    <t>localization/hint_confusionspell.png</t>
  </si>
  <si>
    <t>localization/hint_invinciblenecrodancer1.png</t>
  </si>
  <si>
    <t>localization/hint_invinciblenecrodancer2.png</t>
  </si>
  <si>
    <t>localization/hint_teleported.png</t>
  </si>
  <si>
    <t>localization/hint_confused.png</t>
  </si>
  <si>
    <t>localization/hint_immune.png</t>
  </si>
  <si>
    <t>localization/hint_helpme.png</t>
  </si>
  <si>
    <t>localization/hint_npcsaved1.png</t>
  </si>
  <si>
    <t>localization/hint_goldenkeydig.png</t>
  </si>
  <si>
    <t>localization/hint_bringglasskey.png</t>
  </si>
  <si>
    <t>localization/hint_goldenkeybuy.png</t>
  </si>
  <si>
    <t>localization/hint_npcsaved2.png</t>
  </si>
  <si>
    <t>localization/hint_shrineofblood1.png</t>
  </si>
  <si>
    <t>localization/hint_shrineofdarkness1.png</t>
  </si>
  <si>
    <t>localization/hint_shrineofglass1.png</t>
  </si>
  <si>
    <t>localization/hint_shrineofpeace1.png</t>
  </si>
  <si>
    <t>localization/hint_shrineofrhythm1.png</t>
  </si>
  <si>
    <t>localization/hint_shrineofrisk1.png</t>
  </si>
  <si>
    <t>localization/hint_shrineofsacrifice1.png</t>
  </si>
  <si>
    <t>localization/hint_shrineofspace1.png</t>
  </si>
  <si>
    <t>localization/hint_shrineofwar1.png</t>
  </si>
  <si>
    <t>localization/hint_shrineofnoreturn1.png</t>
  </si>
  <si>
    <t>localization/hint_shrineofphasing1.png</t>
  </si>
  <si>
    <t>localization/hint_shrineofpace1.png</t>
  </si>
  <si>
    <t>localization/hint_shrineofchance1.png</t>
  </si>
  <si>
    <t>localization/hint_chancewin.png</t>
  </si>
  <si>
    <t>localization/hint_chancelose.png</t>
  </si>
  <si>
    <t>localization/hint_tempotrapup.png</t>
  </si>
  <si>
    <t>localization/hint_tempotrapdown.png</t>
  </si>
  <si>
    <t>localization/hint_exitunlocked.png</t>
  </si>
  <si>
    <t>localization/hint_noitem1.png</t>
  </si>
  <si>
    <t>localization/hint_need.png</t>
  </si>
  <si>
    <t>localization/hint_coins1.png</t>
  </si>
  <si>
    <t>localization/hint_transmogfail.png</t>
  </si>
  <si>
    <t>localization/hint_success.png</t>
  </si>
  <si>
    <t>localization/hint_conjuringfail.png</t>
  </si>
  <si>
    <t>localization/hint_noitem2.png</t>
  </si>
  <si>
    <t>localization/hint_brokerreject.png</t>
  </si>
  <si>
    <t>localization/hint_coins2.png</t>
  </si>
  <si>
    <t>localization/hint_flawlessvictory.png</t>
  </si>
  <si>
    <t>localization/hint_gluttony.png</t>
  </si>
  <si>
    <t>localization/hint_needglasskey.png</t>
  </si>
  <si>
    <t>localization/hint_needgoldkey.png</t>
  </si>
  <si>
    <t>localization/hint_infernalfire.png</t>
  </si>
  <si>
    <t>localization/hint_lunge.png</t>
  </si>
  <si>
    <t>localization/hint_pain.png</t>
  </si>
  <si>
    <t>localization/hint_damageenemies.png</t>
  </si>
  <si>
    <t>localization/hint_potion.png</t>
  </si>
  <si>
    <t>localization/hint_coupon.png</t>
  </si>
  <si>
    <t>localization/hint_glass.png</t>
  </si>
  <si>
    <t>localization/hint_sloth.png</t>
  </si>
  <si>
    <t>localization/hint_shrunk.png</t>
  </si>
  <si>
    <t>localization/hint_exitlocked.png</t>
  </si>
  <si>
    <t>localization/hint_courage.png</t>
  </si>
  <si>
    <t>localization/hint_protected.png</t>
  </si>
  <si>
    <t>localization/hint_shielded.png</t>
  </si>
  <si>
    <t>localization/hint_ringshattered.png</t>
  </si>
  <si>
    <t>localization/hint_glassarmorshattered.png</t>
  </si>
  <si>
    <t>localization/hint_crownshattered.png</t>
  </si>
  <si>
    <t>localization/hint_charmshattered.png</t>
  </si>
  <si>
    <t>localization/hint_thorn.png</t>
  </si>
  <si>
    <t>localization/hint_frostmelted.png</t>
  </si>
  <si>
    <t>localization/hint_quaffedpotion.png</t>
  </si>
  <si>
    <t>localization/hint_oldweaponholstered.png</t>
  </si>
  <si>
    <t>localization/hint_cleaned.png</t>
  </si>
  <si>
    <t>localization/hint_purchased.png</t>
  </si>
  <si>
    <t>localization/hint_unlocked.png</t>
  </si>
  <si>
    <t>localization/hint_glassshattered.png</t>
  </si>
  <si>
    <t>localization/hint_quake.png</t>
  </si>
  <si>
    <t>localization/hint_charm.png</t>
  </si>
  <si>
    <t>localization/hint_greatertransmute.png</t>
  </si>
  <si>
    <t>localization/hint_transmute.png</t>
  </si>
  <si>
    <t>localization/hint_descend.png</t>
  </si>
  <si>
    <t>localization/hint_blank.png</t>
  </si>
  <si>
    <t>localization/hint_coins3.png</t>
  </si>
  <si>
    <t>localization/hint_gold.png</t>
  </si>
  <si>
    <t>localization/hint_fear.png</t>
  </si>
  <si>
    <t>localization/hint_greaterfireball.png</t>
  </si>
  <si>
    <t>localization/hint_fireball.png</t>
  </si>
  <si>
    <t>localization/hint_greaterfreeze.png</t>
  </si>
  <si>
    <t>localization/hint_freeze.png</t>
  </si>
  <si>
    <t>localization/hint_heal.png</t>
  </si>
  <si>
    <t>localization/hint_bomb.png</t>
  </si>
  <si>
    <t>localization/hint_gigantism.png</t>
  </si>
  <si>
    <t>localization/hint_greatershield.png</t>
  </si>
  <si>
    <t>localization/hint_shield.png</t>
  </si>
  <si>
    <t>localization/hint_enchantweapon2.png</t>
  </si>
  <si>
    <t>localization/hint_need2.png</t>
  </si>
  <si>
    <t>localization/hint_bloodmagic.png</t>
  </si>
  <si>
    <t>localization/hint_shrineofblood2.png</t>
  </si>
  <si>
    <t>localization/hint_shrineofdarkness2.png</t>
  </si>
  <si>
    <t>localization/hint_shrineofglass2.png</t>
  </si>
  <si>
    <t>localization/hint_shrineofpeace2.png</t>
  </si>
  <si>
    <t>localization/hint_shrineofrhythm2.png</t>
  </si>
  <si>
    <t>localization/hint_shrineofrisk2.png</t>
  </si>
  <si>
    <t>localization/hint_shrineofsacrifice2.png</t>
  </si>
  <si>
    <t>localization/hint_shrineofspace2.png</t>
  </si>
  <si>
    <t>localization/hint_shrineofwar2.png</t>
  </si>
  <si>
    <t>localization/hint_shrineofnoreturn2.png</t>
  </si>
  <si>
    <t>localization/hint_shrineofphasing2.png</t>
  </si>
  <si>
    <t>localization/hint_shrineofpace2.png</t>
  </si>
  <si>
    <t>localization/hint_shrineofchance2.png</t>
  </si>
  <si>
    <t>localization/hint_coins4.png</t>
  </si>
  <si>
    <t>localization/item_additionalblackchest.png</t>
  </si>
  <si>
    <t>localization/item_additionalredchest.png</t>
  </si>
  <si>
    <t>localization/item_additionalpurplechest.png</t>
  </si>
  <si>
    <t>localization/item_chainmail.png</t>
  </si>
  <si>
    <t>localization/item_heavyplate.png</t>
  </si>
  <si>
    <t>localization/item_leatherarmor.png</t>
  </si>
  <si>
    <t>localization/item_platearmor.png</t>
  </si>
  <si>
    <t>localization/item_karategi.png</t>
  </si>
  <si>
    <t>localization/item_glassarmor.png</t>
  </si>
  <si>
    <t>localization/item_obsidianarmor.png</t>
  </si>
  <si>
    <t>localization/item_coinmultiplier0-5.png</t>
  </si>
  <si>
    <t>localization/item_coinmultiplier1.png</t>
  </si>
  <si>
    <t>localization/item_balletshoes.png</t>
  </si>
  <si>
    <t>localization/item_bootsofspeed.png</t>
  </si>
  <si>
    <t>localization/item_wingedboots.png</t>
  </si>
  <si>
    <t>localization/item_explorersboots.png</t>
  </si>
  <si>
    <t>localization/item_leadboots.png</t>
  </si>
  <si>
    <t>localization/item_bootsofleaping.png</t>
  </si>
  <si>
    <t>localization/item_bootsoflunging.png</t>
  </si>
  <si>
    <t>localization/item_bootsofpain.png</t>
  </si>
  <si>
    <t>localization/item_hargreaves.png</t>
  </si>
  <si>
    <t>localization/item_bootsofstrength.png</t>
  </si>
  <si>
    <t>localization/item_apple.png</t>
  </si>
  <si>
    <t>localization/item_cheese.png</t>
  </si>
  <si>
    <t>localization/item_drumstick.png</t>
  </si>
  <si>
    <t>localization/item_ham.png</t>
  </si>
  <si>
    <t>localization/item_holywater.png</t>
  </si>
  <si>
    <t>localization/item_lordcrown.png</t>
  </si>
  <si>
    <t>localization/item_bomb.png</t>
  </si>
  <si>
    <t>localization/item_3bombs.png</t>
  </si>
  <si>
    <t>localization/item_wardrum.png</t>
  </si>
  <si>
    <t>localization/item_blooddrum.png</t>
  </si>
  <si>
    <t>localization/item_doublehearttransplant.png</t>
  </si>
  <si>
    <t>localization/item_hearttransplant.png</t>
  </si>
  <si>
    <t>localization/item_crownofthorns.png</t>
  </si>
  <si>
    <t>localization/item_crownofgreed.png</t>
  </si>
  <si>
    <t>localization/item_crownofteleportation.png</t>
  </si>
  <si>
    <t>localization/item_circletoftelepathy.png</t>
  </si>
  <si>
    <t>localization/item_minerscap.png</t>
  </si>
  <si>
    <t>localization/item_monocle.png</t>
  </si>
  <si>
    <t>localization/item_ninjamask.png</t>
  </si>
  <si>
    <t>localization/item_helm.png</t>
  </si>
  <si>
    <t>localization/item_glassjaw.png</t>
  </si>
  <si>
    <t>localization/item_blasthelm.png</t>
  </si>
  <si>
    <t>localization/item_sunglasses.png</t>
  </si>
  <si>
    <t>localization/item_backpack.png</t>
  </si>
  <si>
    <t>localization/item_holster.png</t>
  </si>
  <si>
    <t>localization/item_packofholding.png</t>
  </si>
  <si>
    <t>localization/item_compass.png</t>
  </si>
  <si>
    <t>localization/item_coupon.png</t>
  </si>
  <si>
    <t>localization/item_goldenkey.png</t>
  </si>
  <si>
    <t>localization/item_glasskey.png</t>
  </si>
  <si>
    <t>localization/item_heartcontainer.png</t>
  </si>
  <si>
    <t>localization/item_doubleheartcontainer.png</t>
  </si>
  <si>
    <t>localization/item_emptyheartcontainer.png</t>
  </si>
  <si>
    <t>localization/item_emptydoubleheartcontainer.png</t>
  </si>
  <si>
    <t>localization/item_key.png</t>
  </si>
  <si>
    <t>localization/item_goldmagnet.png</t>
  </si>
  <si>
    <t>localization/item_map.png</t>
  </si>
  <si>
    <t>localization/item_potion.png</t>
  </si>
  <si>
    <t>localization/item_frostcharm.png</t>
  </si>
  <si>
    <t>localization/item_gluttonycharm.png</t>
  </si>
  <si>
    <t>localization/item_luckycharm.png</t>
  </si>
  <si>
    <t>localization/item_nazarcharm.png</t>
  </si>
  <si>
    <t>localization/item_protectioncharm.png</t>
  </si>
  <si>
    <t>localization/item_riskcharm.png</t>
  </si>
  <si>
    <t>localization/item_strengthcharm.png</t>
  </si>
  <si>
    <t>localization/item_heartcontainer2.png</t>
  </si>
  <si>
    <t>localization/item_50coins.png</t>
  </si>
  <si>
    <t>localization/item_100coins.png</t>
  </si>
  <si>
    <t>localization/item_150coins.png</t>
  </si>
  <si>
    <t>localization/item_diamond.png</t>
  </si>
  <si>
    <t>localization/item_2diamonds.png</t>
  </si>
  <si>
    <t>localization/item_3diamonds.png</t>
  </si>
  <si>
    <t>localization/item_4diamonds.png</t>
  </si>
  <si>
    <t>localization/item_5diamonds.png</t>
  </si>
  <si>
    <t>localization/item_10diamonds.png</t>
  </si>
  <si>
    <t>localization/item_15diamonds.png</t>
  </si>
  <si>
    <t>localization/item_20diamonds.png</t>
  </si>
  <si>
    <t>localization/item_ringofcourage.png</t>
  </si>
  <si>
    <t>localization/item_ringofwar.png</t>
  </si>
  <si>
    <t>localization/item_ringofpeace.png</t>
  </si>
  <si>
    <t>localization/item_ringofmana.png</t>
  </si>
  <si>
    <t>localization/item_ringofshadows.png</t>
  </si>
  <si>
    <t>localization/item_ringofmight.png</t>
  </si>
  <si>
    <t>localization/item_ringofcharisma.png</t>
  </si>
  <si>
    <t>localization/item_ringofluck.png</t>
  </si>
  <si>
    <t>localization/item_ringofgold.png</t>
  </si>
  <si>
    <t>localization/item_ringofphasing.png</t>
  </si>
  <si>
    <t>localization/item_ringofregeneration.png</t>
  </si>
  <si>
    <t>localization/item_ringofprotection.png</t>
  </si>
  <si>
    <t>localization/item_ringofshielding.png</t>
  </si>
  <si>
    <t>localization/item_ringofbecoming.png</t>
  </si>
  <si>
    <t>localization/item_ringofwonder.png</t>
  </si>
  <si>
    <t>localization/item_earthquakescroll.png</t>
  </si>
  <si>
    <t>localization/item_fearscroll.png</t>
  </si>
  <si>
    <t>localization/item_fireballscroll.png</t>
  </si>
  <si>
    <t>localization/item_freezescroll.png</t>
  </si>
  <si>
    <t>localization/item_gigantismscroll.png</t>
  </si>
  <si>
    <t>localization/item_richesscroll.png</t>
  </si>
  <si>
    <t>localization/item_shieldscroll.png</t>
  </si>
  <si>
    <t>localization/item_enchantweaponscroll.png</t>
  </si>
  <si>
    <t>localization/item_scrollofneed.png</t>
  </si>
  <si>
    <t>localization/item_transmutescroll.png</t>
  </si>
  <si>
    <t>localization/item_crystalshovel.png</t>
  </si>
  <si>
    <t>localization/item_titaniumshovel.png</t>
  </si>
  <si>
    <t>localization/item_bloodshovel.png</t>
  </si>
  <si>
    <t>localization/item_obsidianshovel.png</t>
  </si>
  <si>
    <t>localization/item_glassshovel.png</t>
  </si>
  <si>
    <t>localization/item_glassshardshovel.png</t>
  </si>
  <si>
    <t>localization/item_shovel.png</t>
  </si>
  <si>
    <t>localization/item_pickaxe.png</t>
  </si>
  <si>
    <t>localization/item_fireballspell.png</t>
  </si>
  <si>
    <t>localization/item_freezeenemiesspell.png</t>
  </si>
  <si>
    <t>localization/item_healspell.png</t>
  </si>
  <si>
    <t>localization/item_bombspell.png</t>
  </si>
  <si>
    <t>localization/item_shieldspell.png</t>
  </si>
  <si>
    <t>localization/item_transmutespell.png</t>
  </si>
  <si>
    <t>localization/item_charmspell.png</t>
  </si>
  <si>
    <t>localization/item_torch.png</t>
  </si>
  <si>
    <t>localization/item_brighttorch.png</t>
  </si>
  <si>
    <t>localization/item_luminoustorch.png</t>
  </si>
  <si>
    <t>localization/item_torchofforesight.png</t>
  </si>
  <si>
    <t>localization/item_glasstorch.png</t>
  </si>
  <si>
    <t>localization/item_infernaltorch.png</t>
  </si>
  <si>
    <t>localization/item_obsidiantorch.png</t>
  </si>
  <si>
    <t>localization/item_flower.png</t>
  </si>
  <si>
    <t>localization/item_goldenlute.png</t>
  </si>
  <si>
    <t>localization/item_dagger.png</t>
  </si>
  <si>
    <t>localization/item_glassshardweapon.png</t>
  </si>
  <si>
    <t>localization/item_titaniumdagger.png</t>
  </si>
  <si>
    <t>localization/item_obsidiandagger.png</t>
  </si>
  <si>
    <t>localization/item_goldendagger.png</t>
  </si>
  <si>
    <t>localization/item_blooddagger.png</t>
  </si>
  <si>
    <t>localization/item_glassdagger.png</t>
  </si>
  <si>
    <t>localization/item_jeweleddagger.png</t>
  </si>
  <si>
    <t>localization/item_daggeroffrost.png</t>
  </si>
  <si>
    <t>localization/item_daggerofphasing.png</t>
  </si>
  <si>
    <t>localization/item_broadsword.png</t>
  </si>
  <si>
    <t>localization/item_titaniumbroadsword.png</t>
  </si>
  <si>
    <t>localization/item_obsidianbroadsword.png</t>
  </si>
  <si>
    <t>localization/item_goldenbroadsword.png</t>
  </si>
  <si>
    <t>localization/item_bloodbroadsword.png</t>
  </si>
  <si>
    <t>localization/item_glassbroadsword.png</t>
  </si>
  <si>
    <t>localization/item_longsword.png</t>
  </si>
  <si>
    <t>localization/item_titaniumlongsword.png</t>
  </si>
  <si>
    <t>localization/item_obsidianlongsword.png</t>
  </si>
  <si>
    <t>localization/item_goldenlongsword.png</t>
  </si>
  <si>
    <t>localization/item_bloodlongsword.png</t>
  </si>
  <si>
    <t>localization/item_glasslongsword.png</t>
  </si>
  <si>
    <t>localization/item_whip.png</t>
  </si>
  <si>
    <t>localization/item_titaniumwhip.png</t>
  </si>
  <si>
    <t>localization/item_obsidianwhip.png</t>
  </si>
  <si>
    <t>localization/item_goldenwhip.png</t>
  </si>
  <si>
    <t>localization/item_bloodwhip.png</t>
  </si>
  <si>
    <t>localization/item_glasswhip.png</t>
  </si>
  <si>
    <t>localization/item_spear.png</t>
  </si>
  <si>
    <t>localization/item_titaniumspear.png</t>
  </si>
  <si>
    <t>localization/item_obsidianspear.png</t>
  </si>
  <si>
    <t>localization/item_goldenspear.png</t>
  </si>
  <si>
    <t>localization/item_bloodspear.png</t>
  </si>
  <si>
    <t>localization/item_glassspear.png</t>
  </si>
  <si>
    <t>localization/item_rapier.png</t>
  </si>
  <si>
    <t>localization/item_titaniumrapier.png</t>
  </si>
  <si>
    <t>localization/item_obsidianrapier.png</t>
  </si>
  <si>
    <t>localization/item_goldenrapier.png</t>
  </si>
  <si>
    <t>localization/item_bloodrapier.png</t>
  </si>
  <si>
    <t>localization/item_glassrapier.png</t>
  </si>
  <si>
    <t>localization/item_bow.png</t>
  </si>
  <si>
    <t>localization/item_titaniumbow.png</t>
  </si>
  <si>
    <t>localization/item_obsidianbow.png</t>
  </si>
  <si>
    <t>localization/item_goldenbow.png</t>
  </si>
  <si>
    <t>localization/item_bloodbow.png</t>
  </si>
  <si>
    <t>localization/item_glassbow.png</t>
  </si>
  <si>
    <t>localization/item_crossbow.png</t>
  </si>
  <si>
    <t>localization/item_titaniumcrossbow.png</t>
  </si>
  <si>
    <t>localization/item_obsidiancrossbow.png</t>
  </si>
  <si>
    <t>localization/item_goldencrossbow.png</t>
  </si>
  <si>
    <t>localization/item_bloodcrossbow.png</t>
  </si>
  <si>
    <t>localization/item_glasscrossbow.png</t>
  </si>
  <si>
    <t>localization/item_flail.png</t>
  </si>
  <si>
    <t>localization/item_titaniumflail.png</t>
  </si>
  <si>
    <t>localization/item_obsidianflail.png</t>
  </si>
  <si>
    <t>localization/item_goldenflail.png</t>
  </si>
  <si>
    <t>localization/item_bloodflail.png</t>
  </si>
  <si>
    <t>localization/item_glassflail.png</t>
  </si>
  <si>
    <t>localization/item_cat.png</t>
  </si>
  <si>
    <t>localization/item_titaniumcat.png</t>
  </si>
  <si>
    <t>localization/item_obsidiancat.png</t>
  </si>
  <si>
    <t>localization/item_goldencat.png</t>
  </si>
  <si>
    <t>localization/item_bloodcat.png</t>
  </si>
  <si>
    <t>localization/item_glasscat.png</t>
  </si>
  <si>
    <t>localization/item_blunderbuss.png</t>
  </si>
  <si>
    <t>localization/item_rifle.png</t>
  </si>
  <si>
    <t>localization/hint_1defense.png</t>
  </si>
  <si>
    <t>localization/hint_2defenseheavy.png</t>
  </si>
  <si>
    <t>localization/hint_0-5defense.png</t>
  </si>
  <si>
    <t>localization/hint_1-5defense.png</t>
  </si>
  <si>
    <t>localization/hint_takeanddealdoubledamage.png</t>
  </si>
  <si>
    <t>localization/hint_preventsdamagethenshatters.png</t>
  </si>
  <si>
    <t>localization/hint_multiplierbaseddefense.png</t>
  </si>
  <si>
    <t>localization/hint_standstillkeepmultiplier.png</t>
  </si>
  <si>
    <t>localization/hint_doubletime.png</t>
  </si>
  <si>
    <t>localization/hint_levitation.png</t>
  </si>
  <si>
    <t>localization/hint_helpswithsometerrain.png</t>
  </si>
  <si>
    <t>localization/hint_helpswithtrapsandice.png</t>
  </si>
  <si>
    <t>localization/hint_longjump.png</t>
  </si>
  <si>
    <t>localization/hint_longjumpattack.png</t>
  </si>
  <si>
    <t>localization/hint_dodamageasyouwalk.png</t>
  </si>
  <si>
    <t>localization/hint_1damage.png</t>
  </si>
  <si>
    <t>localization/hint_restore1health.png</t>
  </si>
  <si>
    <t>localization/hint_restore2health.png</t>
  </si>
  <si>
    <t>localization/hint_restore3health.png</t>
  </si>
  <si>
    <t>localization/hint_restore4health.png</t>
  </si>
  <si>
    <t>localization/hint_usenearenemies.png</t>
  </si>
  <si>
    <t>localization/hint_gigantism2.png</t>
  </si>
  <si>
    <t>localization/hint_standstillincreasedamage.png</t>
  </si>
  <si>
    <t>localization/hint_takeshealthincreasesdamage.png</t>
  </si>
  <si>
    <t>localization/hint_pacemaker.png</t>
  </si>
  <si>
    <t>localization/hint_10killsheal.png</t>
  </si>
  <si>
    <t>localization/hint_doublecoinsleakcoins.png</t>
  </si>
  <si>
    <t>localization/hint_teleportonhit.png</t>
  </si>
  <si>
    <t>localization/hint_seeallenemies.png</t>
  </si>
  <si>
    <t>localization/hint_movedig.png</t>
  </si>
  <si>
    <t>localization/hint_seeallitems.png</t>
  </si>
  <si>
    <t>localization/hint_stealthy.png</t>
  </si>
  <si>
    <t>localization/hint_doublealldmgfrailty.png</t>
  </si>
  <si>
    <t>localization/hint_bombimmunity3bombs.png</t>
  </si>
  <si>
    <t>localization/hint_1dmgstrangevision.png</t>
  </si>
  <si>
    <t>localization/hint_1storage.png</t>
  </si>
  <si>
    <t>localization/hint_hold2ndweapon.png</t>
  </si>
  <si>
    <t>localization/hint_infinitestorage.png</t>
  </si>
  <si>
    <t>localization/hint_arrowshowsexit.png</t>
  </si>
  <si>
    <t>localization/hint_shoppingspree.png</t>
  </si>
  <si>
    <t>localization/hint_opencage.png</t>
  </si>
  <si>
    <t>localization/hint_opencagewithgoldenlock.png</t>
  </si>
  <si>
    <t>localization/hint_opencagewithglasslock.png</t>
  </si>
  <si>
    <t>localization/hint_1heartcontainer.png</t>
  </si>
  <si>
    <t>localization/hint_2heartcontainer.png</t>
  </si>
  <si>
    <t>localization/hint_1emptyheartcontainer.png</t>
  </si>
  <si>
    <t>localization/hint_2emptyheartcontainer.png</t>
  </si>
  <si>
    <t>localization/hint_openlocks.png</t>
  </si>
  <si>
    <t>localization/hint_magnetism.png</t>
  </si>
  <si>
    <t>localization/hint_revealdungeonminimap.png</t>
  </si>
  <si>
    <t>localization/hint_savesyourlife.png</t>
  </si>
  <si>
    <t>localization/hint_automaticfreeze.png</t>
  </si>
  <si>
    <t>localization/hint_rewardsovereatingonce.png</t>
  </si>
  <si>
    <t>localization/hint_findbetteritems.png</t>
  </si>
  <si>
    <t>localization/hint_wardsoffspirits.png</t>
  </si>
  <si>
    <t>localization/hint_2dmgatlowhealth.png</t>
  </si>
  <si>
    <t>localization/hint_1dmgkilldash.png</t>
  </si>
  <si>
    <t>localization/hint_1dmgmoreenemies.png</t>
  </si>
  <si>
    <t>localization/hint_1heartfewerenemies.png</t>
  </si>
  <si>
    <t>localization/hint_morepowerfulspells.png</t>
  </si>
  <si>
    <t>localization/hint_cheapershops.png</t>
  </si>
  <si>
    <t>localization/hint_findbetteritems2.png</t>
  </si>
  <si>
    <t>localization/hint_moregoldautogoldpickup.png</t>
  </si>
  <si>
    <t>localization/hint_healseachlevel.png</t>
  </si>
  <si>
    <t>localization/hint_automaticshield.png</t>
  </si>
  <si>
    <t>localization/hint_all.png</t>
  </si>
  <si>
    <t>localization/hint_damagenonflyingenemies.png</t>
  </si>
  <si>
    <t>localization/hint_scareenemiesaway.png</t>
  </si>
  <si>
    <t>localization/hint_horizontalfireblast.png</t>
  </si>
  <si>
    <t>localization/hint_freezeenemies.png</t>
  </si>
  <si>
    <t>localization/hint_riches.png</t>
  </si>
  <si>
    <t>localization/hint_temporaryshield.png</t>
  </si>
  <si>
    <t>localization/hint_enchantweapon.png</t>
  </si>
  <si>
    <t>localization/hint_giveswhatyouneed.png</t>
  </si>
  <si>
    <t>localization/hint_transformsallnonequippeditems.png</t>
  </si>
  <si>
    <t>localization/hint_2dig.png</t>
  </si>
  <si>
    <t>localization/hint_1dig.png</t>
  </si>
  <si>
    <t>localization/hint_diganythingbuttakedamage.png</t>
  </si>
  <si>
    <t>localization/hint_multiplierbaseddig.png</t>
  </si>
  <si>
    <t>localization/hint_2digbreakable.png</t>
  </si>
  <si>
    <t>localization/hint_slowstrongdig.png</t>
  </si>
  <si>
    <t>localization/hint_horizontalfireblast2.png</t>
  </si>
  <si>
    <t>localization/hint_freezeenemies2.png</t>
  </si>
  <si>
    <t>localization/hint_restore0-5health.png</t>
  </si>
  <si>
    <t>localization/hint_bombspell.png</t>
  </si>
  <si>
    <t>localization/hint_temporaryshield2.png</t>
  </si>
  <si>
    <t>localization/hint_transformnearbyitems.png</t>
  </si>
  <si>
    <t>localization/hint_charmnearbyenemies.png</t>
  </si>
  <si>
    <t>localization/hint_1visionradius.png</t>
  </si>
  <si>
    <t>localization/hint_2visionradius.png</t>
  </si>
  <si>
    <t>localization/hint_3visionradius.png</t>
  </si>
  <si>
    <t>localization/hint_1visiontrapsight.png</t>
  </si>
  <si>
    <t>localization/hint_magicvisionbreakable.png</t>
  </si>
  <si>
    <t>localization/hint_consumestorchesonwalls.png</t>
  </si>
  <si>
    <t>localization/hint_multiplierbasedlight.png</t>
  </si>
  <si>
    <t>localization/hint_daggerthrowable.png</t>
  </si>
  <si>
    <t>localization/hint_2damage.png</t>
  </si>
  <si>
    <t>localization/hint_multiplierbaseddamage.png</t>
  </si>
  <si>
    <t>localization/hint_highdmgaftergoldpickup.png</t>
  </si>
  <si>
    <t>localization/hint_killtoheallowhealthdamage.png</t>
  </si>
  <si>
    <t>localization/hint_4damagebreakable.png</t>
  </si>
  <si>
    <t>localization/hint_5damage.png</t>
  </si>
  <si>
    <t>localization/hint_freezeenemieskillfrozenenemiespiercing.png</t>
  </si>
  <si>
    <t>localization/hint_phasingattack2dmg.png</t>
  </si>
  <si>
    <t>localization/hint_wideattack.png</t>
  </si>
  <si>
    <t>localization/hint_longattack.png</t>
  </si>
  <si>
    <t>localization/hint_widerattack.png</t>
  </si>
  <si>
    <t>localization/hint_longattackthrowable.png</t>
  </si>
  <si>
    <t>localization/hint_lungefordoubledamage.png</t>
  </si>
  <si>
    <t>localization/hint_rangedattack.png</t>
  </si>
  <si>
    <t>localization/hint_rangedattackneedsreloadingpiercing.png</t>
  </si>
  <si>
    <t>localization/hint_knockbackattack.png</t>
  </si>
  <si>
    <t>localization/hint_moveandattack.png</t>
  </si>
  <si>
    <t>localization/hint_conicalblastneedsreloadingpiercing.png</t>
  </si>
  <si>
    <t>localization/hint_rangedattackneedsloadingpiercing.png</t>
  </si>
  <si>
    <t>localization/hud_1kill.png</t>
  </si>
  <si>
    <t>localization/hud_kills.png</t>
  </si>
  <si>
    <t>localization/hud_inf.png</t>
  </si>
  <si>
    <t>localization/hud_or.png</t>
  </si>
  <si>
    <t>localization/hud_0-5heart.png</t>
  </si>
  <si>
    <t>localization/hud_1heart.png</t>
  </si>
  <si>
    <t>localization/hud_1-5hearts.png</t>
  </si>
  <si>
    <t>localization/game_runsummary.png</t>
  </si>
  <si>
    <t>localization/game_quickrestart.png</t>
  </si>
  <si>
    <t>localization/game_watchreplay.png</t>
  </si>
  <si>
    <t>localization/game_scoreleaderboards.png</t>
  </si>
  <si>
    <t>localization/game_speedleaderboards.png</t>
  </si>
  <si>
    <t>localization/game_lobby.png</t>
  </si>
  <si>
    <t>localization/game_killedby.png</t>
  </si>
  <si>
    <t>localization/game_victory.png</t>
  </si>
  <si>
    <t>localization/game_score.png</t>
  </si>
  <si>
    <t>localization/game_duration.png</t>
  </si>
  <si>
    <t>localization/game_incomplete.png</t>
  </si>
  <si>
    <t>localization/game_endwincount.png</t>
  </si>
  <si>
    <t>localization/game_returntoleveleditor.png</t>
  </si>
  <si>
    <t>localization/game_randomseed.png</t>
  </si>
  <si>
    <t>localization/game_lowpercent.png</t>
  </si>
  <si>
    <t>localization/lobby_enterseed1.png</t>
  </si>
  <si>
    <t>localization/lobby_enterseed2.png</t>
  </si>
  <si>
    <t>localization/game_scorecheating.png</t>
  </si>
  <si>
    <t>localization/game_audiocheating.png</t>
  </si>
  <si>
    <t>localization/lobby_itemhints1.png</t>
  </si>
  <si>
    <t>localization/lobby_itemhints2.png</t>
  </si>
  <si>
    <t>localization/lobby_itemhints3.png</t>
  </si>
  <si>
    <t>localization/lobby_yeshints.png</t>
  </si>
  <si>
    <t>localization/lobby_nohints.png</t>
  </si>
  <si>
    <t>localization/lobby_unspentdiamonds1.png</t>
  </si>
  <si>
    <t>localization/lobby_unspentdiamonds2.png</t>
  </si>
  <si>
    <t>localization/lobby_unspentdiamonds3.png</t>
  </si>
  <si>
    <t>localization/lobby_stayspenddiamonds.png</t>
  </si>
  <si>
    <t>localization/lobby_leavelosediamonds.png</t>
  </si>
  <si>
    <t>localization/characterselect_cadence1.png</t>
  </si>
  <si>
    <t>localization/characterselect_cadence2.png</t>
  </si>
  <si>
    <t>localization/characterselect_continue.png</t>
  </si>
  <si>
    <t>localization/characterselect_aria1.png</t>
  </si>
  <si>
    <t>localization/characterselect_aria2.png</t>
  </si>
  <si>
    <t>localization/characterselect_aria3.png</t>
  </si>
  <si>
    <t>localization/characterselect_bolt1.png</t>
  </si>
  <si>
    <t>localization/characterselect_bolt2.png</t>
  </si>
  <si>
    <t>localization/characterselect_bard1.png</t>
  </si>
  <si>
    <t>localization/characterselect_bard2.png</t>
  </si>
  <si>
    <t>localization/characterselect_bard3.png</t>
  </si>
  <si>
    <t>localization/characterselect_monk1.png</t>
  </si>
  <si>
    <t>localization/characterselect_monk2.png</t>
  </si>
  <si>
    <t>localization/characterselect_monk3.png</t>
  </si>
  <si>
    <t>localization/characterselect_dove1.png</t>
  </si>
  <si>
    <t>localization/characterselect_dove2.png</t>
  </si>
  <si>
    <t>localization/characterselect_dove3.png</t>
  </si>
  <si>
    <t>localization/characterselect_eli1.png</t>
  </si>
  <si>
    <t>localization/characterselect_eli2.png</t>
  </si>
  <si>
    <t>localization/characterselect_eli3.png</t>
  </si>
  <si>
    <t>localization/characterselect_dorian1.png</t>
  </si>
  <si>
    <t>localization/characterselect_dorian2.png</t>
  </si>
  <si>
    <t>localization/characterselect_dorian3.png</t>
  </si>
  <si>
    <t>localization/characterselect_melody1.png</t>
  </si>
  <si>
    <t>localization/characterselect_melody2.png</t>
  </si>
  <si>
    <t>localization/characterselect_melody3.png</t>
  </si>
  <si>
    <t>localization/characterselect_coda1.png</t>
  </si>
  <si>
    <t>localization/characterselect_coda2.png</t>
  </si>
  <si>
    <t>localization/characterselect_coda3.png</t>
  </si>
  <si>
    <t>localization/characterselect_allchars1.png</t>
  </si>
  <si>
    <t>localization/characterselect_allchars2.png</t>
  </si>
  <si>
    <t>localization/characterselect_allchars3.png</t>
  </si>
  <si>
    <t>localization/characterselect_story1.png</t>
  </si>
  <si>
    <t>localization/characterselect_story2.png</t>
  </si>
  <si>
    <t>localization/characterselect_story3.png</t>
  </si>
  <si>
    <t>localization/characterselect_deathless1.png</t>
  </si>
  <si>
    <t>localization/characterselect_deathless2.png</t>
  </si>
  <si>
    <t>localization/lobby_allzonesmode1.png</t>
  </si>
  <si>
    <t>localization/lobby_allzonesmode2.png</t>
  </si>
  <si>
    <t>localization/lobby_allzonesmode3.png</t>
  </si>
  <si>
    <t>localization/lobby_dailychallenge1.png</t>
  </si>
  <si>
    <t>localization/lobby_dailychallenge2.png</t>
  </si>
  <si>
    <t>localization/lobby_dailychallenge3.png</t>
  </si>
  <si>
    <t>localization/lobby_bosstraining1.png</t>
  </si>
  <si>
    <t>localization/lobby_bosstraining2.png</t>
  </si>
  <si>
    <t>localization/lobby_bosstraining3.png</t>
  </si>
  <si>
    <t>localization/lobby_minibosstraining1.png</t>
  </si>
  <si>
    <t>localization/lobby_minibosstraining2.png</t>
  </si>
  <si>
    <t>localization/lobby_minibosstraining3.png</t>
  </si>
  <si>
    <t>localization/lobby_bossselection1.png</t>
  </si>
  <si>
    <t>localization/lobby_bossselection2.png</t>
  </si>
  <si>
    <t>localization/lobby_minibossselection1.png</t>
  </si>
  <si>
    <t>localization/lobby_minibossselection2.png</t>
  </si>
  <si>
    <t>localization/lobby_enemyselection1.png</t>
  </si>
  <si>
    <t>localization/lobby_enemyselection2.png</t>
  </si>
  <si>
    <t>localization/game_questionmark.png</t>
  </si>
  <si>
    <t>localization/options_done.png</t>
  </si>
  <si>
    <t>localization/options_previous.png</t>
  </si>
  <si>
    <t>localization/options_next.png</t>
  </si>
  <si>
    <t>localization/options_yes.png</t>
  </si>
  <si>
    <t>localization/options_no.png</t>
  </si>
  <si>
    <t>localization/options_ok.png</t>
  </si>
  <si>
    <t>localization/options_random.png</t>
  </si>
  <si>
    <t>localization/options_cancel.png</t>
  </si>
  <si>
    <t>localization/options_pause.png</t>
  </si>
  <si>
    <t>localization/options_continue.png</t>
  </si>
  <si>
    <t>localization/options_leaderboards.png</t>
  </si>
  <si>
    <t>localization/options_replays.png</t>
  </si>
  <si>
    <t>localization/options_options.png</t>
  </si>
  <si>
    <t>localization/options_custommusic.png</t>
  </si>
  <si>
    <t>localization/options_mods.png</t>
  </si>
  <si>
    <t>localization/options_quickrestart.png</t>
  </si>
  <si>
    <t>localization/options_quit_lobby.png</t>
  </si>
  <si>
    <t>localization/options_quit_leveleditor.png</t>
  </si>
  <si>
    <t>localization/options_exitgame.png</t>
  </si>
  <si>
    <t>localization/options_lowpercent.png</t>
  </si>
  <si>
    <t>localization/options_audiooptionstitle.png</t>
  </si>
  <si>
    <t>localization/options_soundvolume.png</t>
  </si>
  <si>
    <t>localization/options_musicvolume.png</t>
  </si>
  <si>
    <t>localization/options_prebosseffect.png</t>
  </si>
  <si>
    <t>localization/options_beatdetection.png</t>
  </si>
  <si>
    <t>localization/options_beatdetectionongoing.png</t>
  </si>
  <si>
    <t>localization/options_beatdetectionstart.png</t>
  </si>
  <si>
    <t>localization/options_beatdetectionfinalize.png</t>
  </si>
  <si>
    <t>localization/boss_necrodancersplash.png</t>
  </si>
  <si>
    <t>localization/boss_kingcongasplash.png</t>
  </si>
  <si>
    <t>localization/boss_deathmetalsplash.png</t>
  </si>
  <si>
    <t>localization/boss_deepbluessplash.png</t>
  </si>
  <si>
    <t>localization/boss_coralriffsplash.png</t>
  </si>
  <si>
    <t>localization/boss_deadringersplash.png</t>
  </si>
  <si>
    <t>localization/boss_goldenlutesplash.png</t>
  </si>
  <si>
    <t>localization/options_audiolatencytitle.png</t>
  </si>
  <si>
    <t>localization/options_videolatencytitle.png</t>
  </si>
  <si>
    <t>localization/options_latencysound.png</t>
  </si>
  <si>
    <t>localization/options_latencybeat.png</t>
  </si>
  <si>
    <t>localization/options_latencyskip.png</t>
  </si>
  <si>
    <t>localization/options_latencynote.png</t>
  </si>
  <si>
    <t>localization/options_latencyresults.png</t>
  </si>
  <si>
    <t>localization/options_audiolatency.png</t>
  </si>
  <si>
    <t>localization/options_videolatency.png</t>
  </si>
  <si>
    <t>localization/options_audiolatencyadjust.png</t>
  </si>
  <si>
    <t>localization/options_videolatencyadjust.png</t>
  </si>
  <si>
    <t>localization/options_latencyconfirm.png</t>
  </si>
  <si>
    <t>localization/options_modstitle.png</t>
  </si>
  <si>
    <t>localization/options_moddefault.png</t>
  </si>
  <si>
    <t>localization/options_modchoosepublish.png</t>
  </si>
  <si>
    <t>localization/options_modchooseplay.png</t>
  </si>
  <si>
    <t>localization/options_modpublishing.png</t>
  </si>
  <si>
    <t>localization/options_modpublishfail.png</t>
  </si>
  <si>
    <t>localization/options_modpublished.png</t>
  </si>
  <si>
    <t>localization/options_workshop.png</t>
  </si>
  <si>
    <t>localization/options_modwarning1.png</t>
  </si>
  <si>
    <t>localization/options_modwarning2.png</t>
  </si>
  <si>
    <t>localization/options_modwarning3.png</t>
  </si>
  <si>
    <t>localization/options_moderror1.png</t>
  </si>
  <si>
    <t>localization/options_moderror2.png</t>
  </si>
  <si>
    <t>localization/options_moderror3.png</t>
  </si>
  <si>
    <t>localization/options_modplay.png</t>
  </si>
  <si>
    <t>localization/options_modpublish.png</t>
  </si>
  <si>
    <t>localization/options_moddeactivate.png</t>
  </si>
  <si>
    <t>localization/options_reassigncontrolstitle.png</t>
  </si>
  <si>
    <t>localization/options_assigningplayer.png</t>
  </si>
  <si>
    <t>localization/options_defaultcontrols.png</t>
  </si>
  <si>
    <t>localization/options_showdefaulthudtext.png</t>
  </si>
  <si>
    <t>localization/options_ignoremultipress.png</t>
  </si>
  <si>
    <t>localization/options_keyset.png</t>
  </si>
  <si>
    <t>localization/options_control_up.png</t>
  </si>
  <si>
    <t>localization/options_control_right.png</t>
  </si>
  <si>
    <t>localization/options_control_down.png</t>
  </si>
  <si>
    <t>localization/options_control_left.png</t>
  </si>
  <si>
    <t>localization/options_control_upalt.png</t>
  </si>
  <si>
    <t>localization/options_control_rightalt.png</t>
  </si>
  <si>
    <t>localization/options_control_downalt.png</t>
  </si>
  <si>
    <t>localization/options_control_leftalt.png</t>
  </si>
  <si>
    <t>localization/options_control_comboLR.png</t>
  </si>
  <si>
    <t>localization/options_control_comboUD.png</t>
  </si>
  <si>
    <t>localization/options_control_comboUL.png</t>
  </si>
  <si>
    <t>localization/options_control_comboUR.png</t>
  </si>
  <si>
    <t>localization/options_control_comboDL.png</t>
  </si>
  <si>
    <t>localization/options_control_comboDR.png</t>
  </si>
  <si>
    <t>localization/options_control_restart.png</t>
  </si>
  <si>
    <t>localization/options_control_pause.png</t>
  </si>
  <si>
    <t>localization/options_soundtrack.png</t>
  </si>
  <si>
    <t>localization/options_graphicstitle.png</t>
  </si>
  <si>
    <t>localization/options_fullscreen.png</t>
  </si>
  <si>
    <t>localization/options_vsync.png</t>
  </si>
  <si>
    <t>localization/options_viewmultiplierdefault.png</t>
  </si>
  <si>
    <t>localization/options_viewmultiplier.png</t>
  </si>
  <si>
    <t>localization/options_hudheart.png</t>
  </si>
  <si>
    <t>localization/options_hudbars.png</t>
  </si>
  <si>
    <t>localization/options_screenshake.png</t>
  </si>
  <si>
    <t>localization/options_timer.png</t>
  </si>
  <si>
    <t>localization/options_discofloor.png</t>
  </si>
  <si>
    <t>localization/options_deathreplay.png</t>
  </si>
  <si>
    <t>localization/options_resolution.png</t>
  </si>
  <si>
    <t>localization/options_resolutionwidth.png</t>
  </si>
  <si>
    <t>localization/options_currentresolution.png</t>
  </si>
  <si>
    <t>localization/options_resolutionheight.png</t>
  </si>
  <si>
    <t>localization/options_resolutionconfirm.png</t>
  </si>
  <si>
    <t>localization/options_resolutionerror.png</t>
  </si>
  <si>
    <t>localization/options_optionstitle.png</t>
  </si>
  <si>
    <t>localization/options_gameplayoptions.png</t>
  </si>
  <si>
    <t>localization/options_audiooptions.png</t>
  </si>
  <si>
    <t>localization/options_graphicaloptions.png</t>
  </si>
  <si>
    <t>localization/options_reassigncontrols.png</t>
  </si>
  <si>
    <t>localization/options_latencycalibration.png</t>
  </si>
  <si>
    <t>localization/options_changesoundtrack.png</t>
  </si>
  <si>
    <t>localization/options_languageoptions.png</t>
  </si>
  <si>
    <t>localization/options_replaystitle.png</t>
  </si>
  <si>
    <t>localization/options_replayszone1.png</t>
  </si>
  <si>
    <t>localization/options_replayszone2.png</t>
  </si>
  <si>
    <t>localization/options_replayszone3.png</t>
  </si>
  <si>
    <t>localization/options_replayszone4.png</t>
  </si>
  <si>
    <t>localization/options_replaysdancepad.png</t>
  </si>
  <si>
    <t>localization/options_replaysallzones.png</t>
  </si>
  <si>
    <t>localization/options_replaysseeded.png</t>
  </si>
  <si>
    <t>localization/options_replaysdailytitle.png</t>
  </si>
  <si>
    <t>localization/options_replay_jan.png</t>
  </si>
  <si>
    <t>localization/options_replay_feb.png</t>
  </si>
  <si>
    <t>localization/options_replay_mar.png</t>
  </si>
  <si>
    <t>localization/options_replay_apr.png</t>
  </si>
  <si>
    <t>localization/options_replay_may.png</t>
  </si>
  <si>
    <t>localization/options_replay_jun.png</t>
  </si>
  <si>
    <t>localization/options_replay_jul.png</t>
  </si>
  <si>
    <t>localization/options_replay_aug.png</t>
  </si>
  <si>
    <t>localization/options_replay_sep.png</t>
  </si>
  <si>
    <t>localization/options_replay_oct.png</t>
  </si>
  <si>
    <t>localization/options_replay_nov.png</t>
  </si>
  <si>
    <t>localization/options_replay_dec.png</t>
  </si>
  <si>
    <t>localization/options_replay_0.png</t>
  </si>
  <si>
    <t>localization/options_replay_1.png</t>
  </si>
  <si>
    <t>localization/options_replay_2.png</t>
  </si>
  <si>
    <t>localization/options_replay_3.png</t>
  </si>
  <si>
    <t>localization/options_replay_4.png</t>
  </si>
  <si>
    <t>localization/options_replay_5.png</t>
  </si>
  <si>
    <t>localization/options_replay_6.png</t>
  </si>
  <si>
    <t>localization/options_replay_7.png</t>
  </si>
  <si>
    <t>localization/options_replay_8.png</t>
  </si>
  <si>
    <t>localization/options_replay_9.png</t>
  </si>
  <si>
    <t>localization/options_replay_colon.png</t>
  </si>
  <si>
    <t>localization/options_gameplaytitle.png</t>
  </si>
  <si>
    <t>localization/options_defaultplayer1.png</t>
  </si>
  <si>
    <t>localization/options_defaultcharacter.png</t>
  </si>
  <si>
    <t>localization/options_itemhints.png</t>
  </si>
  <si>
    <t>localization/options_itemnames.png</t>
  </si>
  <si>
    <t>localization/options_enemyhearts.png</t>
  </si>
  <si>
    <t>localization/options_lobbymovement.png</t>
  </si>
  <si>
    <t>localization/options_diamondreminder.png</t>
  </si>
  <si>
    <t>localization/options_pauseminimized.png</t>
  </si>
  <si>
    <t>localization/options_cutscenes.png</t>
  </si>
  <si>
    <t>localization/options_bossintros.png</t>
  </si>
  <si>
    <t>localization/options_deletesave.png</t>
  </si>
  <si>
    <t>localization/options_deletewarning1.png</t>
  </si>
  <si>
    <t>localization/options_deletewarning2.png</t>
  </si>
  <si>
    <t>localization/options_languagetitle.png</t>
  </si>
  <si>
    <t>localization/options_subtitles.png</t>
  </si>
  <si>
    <t>localization/options_language.png</t>
  </si>
  <si>
    <t>localization/options_leaderboardselecttitle.png</t>
  </si>
  <si>
    <t>localization/options_leaderboardsdaily.png</t>
  </si>
  <si>
    <t>localization/options_leaderboardsscore.png</t>
  </si>
  <si>
    <t>localization/options_leaderboardsspeed.png</t>
  </si>
  <si>
    <t>localization/options_leaderboardsscoreseeded.png</t>
  </si>
  <si>
    <t>localization/options_leaderboardsspeedseeded.png</t>
  </si>
  <si>
    <t>localization/options_leaderboardsdeathless.png</t>
  </si>
  <si>
    <t>localization/options_leaderboardsstory.png</t>
  </si>
  <si>
    <t>localization/options_leaderboardstitle.png</t>
  </si>
  <si>
    <t>localization/leaderboard_nextday.png</t>
  </si>
  <si>
    <t>localization/leaderboard_previousday.png</t>
  </si>
  <si>
    <t>localization/leaderboard_nextpage.png</t>
  </si>
  <si>
    <t>localization/leaderboard_previouspage.png</t>
  </si>
  <si>
    <t>localization/leaderboard_friendsonly.png</t>
  </si>
  <si>
    <t>localization/leaderboard_no.png</t>
  </si>
  <si>
    <t>localization/leaderboard_yes.png</t>
  </si>
  <si>
    <t>localization/leaderboard_hasreplay.png</t>
  </si>
  <si>
    <t>localization/leaderboard_oldversion.png</t>
  </si>
  <si>
    <t>localization/leaderboard_nopeeking.png</t>
  </si>
  <si>
    <t>localization/leaderboard_watch.png</t>
  </si>
  <si>
    <t>localization/leaderboard_allzones_speedrun_seeded.png</t>
  </si>
  <si>
    <t>localization/leaderboard_allzones_speedrun.png</t>
  </si>
  <si>
    <t>localization/leaderboard_allzones_seeded.png</t>
  </si>
  <si>
    <t>localization/leaderboard_allzones.png</t>
  </si>
  <si>
    <t>localization/leaderboard_daily.png</t>
  </si>
  <si>
    <t>localization/leaderboard_coop.png</t>
  </si>
  <si>
    <t>localization/leaderboard_deathless.png</t>
  </si>
  <si>
    <t>localization/leaderboard_custommusic.png</t>
  </si>
  <si>
    <t>localization/leaderboard_loading.png</t>
  </si>
  <si>
    <t>localization/leaderboard_rank.png</t>
  </si>
  <si>
    <t>localization/leaderboard_name.png</t>
  </si>
  <si>
    <t>localization/leaderboard_wins.png</t>
  </si>
  <si>
    <t>localization/leaderboard_score.png</t>
  </si>
  <si>
    <t>localization/leaderboard_time.png</t>
  </si>
  <si>
    <t>localization/leaderboard_zone.png</t>
  </si>
  <si>
    <t>localization/leaderboard_level.png</t>
  </si>
  <si>
    <t>localization/leaderboard_killedby.png</t>
  </si>
  <si>
    <t>localization/leaderboard_unkown.png</t>
  </si>
  <si>
    <t>localization/leaderboard_win.png</t>
  </si>
  <si>
    <t>localization/leaderboard_donesmall.png</t>
  </si>
  <si>
    <t>localization/options_custommusictitle.png</t>
  </si>
  <si>
    <t>localization/custommusic_choose.png</t>
  </si>
  <si>
    <t>localization/custommusic_restore.png</t>
  </si>
  <si>
    <t>localization/custommusic_2xspeed.png</t>
  </si>
  <si>
    <t>localization/custommusic_1-2xspeed.png</t>
  </si>
  <si>
    <t>localization/custommusic_back.png</t>
  </si>
  <si>
    <t>localization/custommusic_multiple.png</t>
  </si>
  <si>
    <t>localization/custommusic_manualbeats.png</t>
  </si>
  <si>
    <t>localization/custommusic_manualbeatslobby.png</t>
  </si>
  <si>
    <t>localization/custommusic_disabled.png</t>
  </si>
  <si>
    <t>localization/custommusic_enabled.png</t>
  </si>
  <si>
    <t>localization/custommusic_processnote.png</t>
  </si>
  <si>
    <t>localization/options_custommusicprocess.png</t>
  </si>
  <si>
    <t>localization/custommusic_level.png</t>
  </si>
  <si>
    <t>localization/custommusic_kingconga.png</t>
  </si>
  <si>
    <t>localization/custommusic_deepblues.png</t>
  </si>
  <si>
    <t>localization/custommusic_deathmetal.png</t>
  </si>
  <si>
    <t>localization/custommusic_coralriff.png</t>
  </si>
  <si>
    <t>localization/custommusic_lobby.png</t>
  </si>
  <si>
    <t>localization/custommusic_default.png</t>
  </si>
  <si>
    <t>localization/custommusic_up.png</t>
  </si>
  <si>
    <t>localization/custommusic_previous.png</t>
  </si>
  <si>
    <t>localization/custommusic_next.png</t>
  </si>
  <si>
    <t>localization/custommusic_add.png</t>
  </si>
  <si>
    <t>localization/options_availabledungeons.png</t>
  </si>
  <si>
    <t>localization/options_steamworkshop.png</t>
  </si>
  <si>
    <t>localization/leveleditor_level.png</t>
  </si>
  <si>
    <t>localization/leveleditor_instructions1.png</t>
  </si>
  <si>
    <t>localization/leveleditor_instructions2.png</t>
  </si>
  <si>
    <t>localization/leveleditor_instructions3.png</t>
  </si>
  <si>
    <t>localization/leveleditor_publishing.png</t>
  </si>
  <si>
    <t>localization/leveleditor_publishfail.png</t>
  </si>
  <si>
    <t>localization/leveleditor_published.png</t>
  </si>
  <si>
    <t>localization/leveleditor_saved.png</t>
  </si>
  <si>
    <t>localization/leveleditor_name.png</t>
  </si>
  <si>
    <t>localization/leveleditor_character.png</t>
  </si>
  <si>
    <t>localization/leveleditor_any.png</t>
  </si>
  <si>
    <t>localization/leveleditor_noitems.png</t>
  </si>
  <si>
    <t>localization/leveleditor_currentlevel.png</t>
  </si>
  <si>
    <t>localization/leveleditor_addlevel.png</t>
  </si>
  <si>
    <t>localization/leveleditor_deletelevel.png</t>
  </si>
  <si>
    <t>localization/leveleditor_levelgen.png</t>
  </si>
  <si>
    <t>localization/leveleditor_generate.png</t>
  </si>
  <si>
    <t>localization/leveleditor_music.png</t>
  </si>
  <si>
    <t>localization/leveleditor_viewlevel.png</t>
  </si>
  <si>
    <t>localization/leveleditor_testlevel.png</t>
  </si>
  <si>
    <t>localization/leveleditor_playdungeon.png</t>
  </si>
  <si>
    <t>localization/leveleditor_loaddungeon.png</t>
  </si>
  <si>
    <t>localization/leveleditor_publishdungeon.png</t>
  </si>
  <si>
    <t>localization/leveleditor_savedungeon.png</t>
  </si>
  <si>
    <t>localization/leveleditor_saveandexit.png</t>
  </si>
  <si>
    <t>localization/leveleditor_exit.png</t>
  </si>
  <si>
    <t>localization/leveleditor_kingconga.png</t>
  </si>
  <si>
    <t>localization/leveleditor_deathmetal.png</t>
  </si>
  <si>
    <t>localization/leveleditor_deepblues.png</t>
  </si>
  <si>
    <t>localization/leveleditor_coralriff.png</t>
  </si>
  <si>
    <t>localization/leveleditor_placefloor.png</t>
  </si>
  <si>
    <t>localization/leveleditor_placewall.png</t>
  </si>
  <si>
    <t>localization/leveleditor_placeenemy.png</t>
  </si>
  <si>
    <t>localization/leveleditor_placetrap.png</t>
  </si>
  <si>
    <t>localization/leveleditor_placeshrine.png</t>
  </si>
  <si>
    <t>localization/leveleditor_placeitem.png</t>
  </si>
  <si>
    <t>localization/leveleditor_placechest.png</t>
  </si>
  <si>
    <t>localization/leveleditor_placecontainer.png</t>
  </si>
  <si>
    <t>localization/leveleditor_move.png</t>
  </si>
  <si>
    <t>localization/leveleditor_erase.png</t>
  </si>
  <si>
    <t>localization/leveleditor_tileset.png</t>
  </si>
  <si>
    <t>localization/leveleditor_floor.png</t>
  </si>
  <si>
    <t>localization/leveleditor_shopfloor.png</t>
  </si>
  <si>
    <t>localization/leveleditor_water.png</t>
  </si>
  <si>
    <t>localization/leveleditor_tar.png</t>
  </si>
  <si>
    <t>localization/leveleditor_hotcoals.png</t>
  </si>
  <si>
    <t>localization/leveleditor_ice.png</t>
  </si>
  <si>
    <t>localization/leveleditor_ooze.png</t>
  </si>
  <si>
    <t>localization/leveleditor_stairs.png</t>
  </si>
  <si>
    <t>localization/leveleditor_dirtwall.png</t>
  </si>
  <si>
    <t>localization/leveleditor_back.png</t>
  </si>
  <si>
    <t>localization/leveleditor_stonewall.png</t>
  </si>
  <si>
    <t>localization/leveleditor_catacombwall.png</t>
  </si>
  <si>
    <t>localization/leveleditor_shopwall.png</t>
  </si>
  <si>
    <t>localization/leveleditor_unbreakablewall.png</t>
  </si>
  <si>
    <t>localization/leveleditor_door.png</t>
  </si>
  <si>
    <t>localization/leveleditor_metaldoor.png</t>
  </si>
  <si>
    <t>localization/leveleditor_lockeddoor.png</t>
  </si>
  <si>
    <t>localization/leveleditor_zone1.png</t>
  </si>
  <si>
    <t>localization/leveleditor_zone2.png</t>
  </si>
  <si>
    <t>localization/leveleditor_zone3hot.png</t>
  </si>
  <si>
    <t>localization/leveleditor_zone3cold.png</t>
  </si>
  <si>
    <t>localization/leveleditor_zone4.png</t>
  </si>
  <si>
    <t>localization/leveleditor_boss.png</t>
  </si>
  <si>
    <t>localization/leveleditor_previous.png</t>
  </si>
  <si>
    <t>localization/leveleditor_next.png</t>
  </si>
  <si>
    <t>localization/leveleditor_bouncetrap.png</t>
  </si>
  <si>
    <t>localization/leveleditor_spiketrap.png</t>
  </si>
  <si>
    <t>localization/leveleditor_trapdoor.png</t>
  </si>
  <si>
    <t>localization/leveleditor_confusetrap.png</t>
  </si>
  <si>
    <t>localization/leveleditor_teleporttrap.png</t>
  </si>
  <si>
    <t>localization/leveleditor_tempotrap.png</t>
  </si>
  <si>
    <t>localization/leveleditor_bombtrap.png</t>
  </si>
  <si>
    <t>localization/leveleditor_firetrap.png</t>
  </si>
  <si>
    <t>localization/leveleditor_travelrune.png</t>
  </si>
  <si>
    <t>localization/leveleditor_shrineblood.png</t>
  </si>
  <si>
    <t>localization/leveleditor_shrinedarkness.png</t>
  </si>
  <si>
    <t>localization/leveleditor_shrineglass.png</t>
  </si>
  <si>
    <t>localization/leveleditor_shrinepeace.png</t>
  </si>
  <si>
    <t>localization/leveleditor_shrinerhythm.png</t>
  </si>
  <si>
    <t>localization/leveleditor_shrinerisk.png</t>
  </si>
  <si>
    <t>localization/leveleditor_shrinesacrifice.png</t>
  </si>
  <si>
    <t>localization/leveleditor_shrinespace.png</t>
  </si>
  <si>
    <t>localization/leveleditor_shrinewar.png</t>
  </si>
  <si>
    <t>localization/leveleditor_shrinenoreturn.png</t>
  </si>
  <si>
    <t>localization/leveleditor_shrinephasing.png</t>
  </si>
  <si>
    <t>localization/leveleditor_shrinepace.png</t>
  </si>
  <si>
    <t>localization/leveleditor_shrinechance.png</t>
  </si>
  <si>
    <t>localization/leveleditor_weapons.png</t>
  </si>
  <si>
    <t>localization/leveleditor_armor.png</t>
  </si>
  <si>
    <t>localization/leveleditor_footwear.png</t>
  </si>
  <si>
    <t>localization/leveleditor_headgear.png</t>
  </si>
  <si>
    <t>localization/leveleditor_rings.png</t>
  </si>
  <si>
    <t>localization/leveleditor_scrolls.png</t>
  </si>
  <si>
    <t>localization/leveleditor_otheritems.png</t>
  </si>
  <si>
    <t>localization/leveleditor_entername.png</t>
  </si>
  <si>
    <t>localization/leveleditor_exitwithoutsave.png</t>
  </si>
  <si>
    <t>localization/leveleditor_saveandpublish.png</t>
  </si>
  <si>
    <t>localization/leveleditor_workshop.png</t>
  </si>
  <si>
    <t>localization/leveleditor_loadnew.png</t>
  </si>
  <si>
    <t>localization/leveleditor_unsavedprogress.png</t>
  </si>
  <si>
    <t>localization/leveleditor_delete.png</t>
  </si>
  <si>
    <t>localization/leveleditor_generatewarning1.png</t>
  </si>
  <si>
    <t>localization/leveleditor_generatewarning2.png</t>
  </si>
  <si>
    <t>localization/leveleditor_alreadyexists.png</t>
  </si>
  <si>
    <t>localization/leveleditor_overwrite.png</t>
  </si>
  <si>
    <t>localization/training_greenslime.png</t>
  </si>
  <si>
    <t>localization/training_blueslime.png</t>
  </si>
  <si>
    <t>localization/training_orangeslime.png</t>
  </si>
  <si>
    <t>localization/training_skeleton.png</t>
  </si>
  <si>
    <t>localization/training_yellowskeleton.png</t>
  </si>
  <si>
    <t>localization/training_blackskeleton.png</t>
  </si>
  <si>
    <t>localization/training_bat.png</t>
  </si>
  <si>
    <t>localization/training_redbat.png</t>
  </si>
  <si>
    <t>localization/training_greenbat.png</t>
  </si>
  <si>
    <t>localization/training_monkey.png</t>
  </si>
  <si>
    <t>localization/training_whitemonkey.png</t>
  </si>
  <si>
    <t>localization/training_ghost.png</t>
  </si>
  <si>
    <t>localization/training_zombie.png</t>
  </si>
  <si>
    <t>localization/training_wraith.png</t>
  </si>
  <si>
    <t>localization/training_chestmimic.png</t>
  </si>
  <si>
    <t>localization/training_armoredskeleton1.png</t>
  </si>
  <si>
    <t>localization/training_armoredskeleton2.png</t>
  </si>
  <si>
    <t>localization/training_yellowarmoredskeleton1.png</t>
  </si>
  <si>
    <t>localization/training_yellowarmoredskeleton2.png</t>
  </si>
  <si>
    <t>localization/training_blackarmoredskeleton1.png</t>
  </si>
  <si>
    <t>localization/training_blackarmoredskeleton2.png</t>
  </si>
  <si>
    <t>localization/training_skeletonmage.png</t>
  </si>
  <si>
    <t>localization/training_yellowskeletonmage1.png</t>
  </si>
  <si>
    <t>localization/training_yellowskeletonmage2.png</t>
  </si>
  <si>
    <t>localization/training_blackskeletonmage1.png</t>
  </si>
  <si>
    <t>localization/training_blackskeletonmage2.png</t>
  </si>
  <si>
    <t>localization/training_mushroom.png</t>
  </si>
  <si>
    <t>localization/training_purplemushroom1.png</t>
  </si>
  <si>
    <t>localization/training_purplemushroom2.png</t>
  </si>
  <si>
    <t>localization/training_golem.png</t>
  </si>
  <si>
    <t>localization/training_darkgolem.png</t>
  </si>
  <si>
    <t>localization/training_armadillo.png</t>
  </si>
  <si>
    <t>localization/training_yellowarmadillo.png</t>
  </si>
  <si>
    <t>localization/training_clone.png</t>
  </si>
  <si>
    <t>localization/training_tarmonster.png</t>
  </si>
  <si>
    <t>localization/training_mole.png</t>
  </si>
  <si>
    <t>localization/training_wight.png</t>
  </si>
  <si>
    <t>localization/training_wallmimic.png</t>
  </si>
  <si>
    <t>localization/training_fireslime.png</t>
  </si>
  <si>
    <t>localization/training_iceslime.png</t>
  </si>
  <si>
    <t>localization/training_skeletonknight.png</t>
  </si>
  <si>
    <t>localization/training_yellowskeletonknight1.png</t>
  </si>
  <si>
    <t>localization/training_yellowskeletonknight2.png</t>
  </si>
  <si>
    <t>localization/training_blackskeletonknight1.png</t>
  </si>
  <si>
    <t>localization/training_blackskeletonknight2.png</t>
  </si>
  <si>
    <t>localization/training_fireelemental.png</t>
  </si>
  <si>
    <t>localization/training_iceelemental.png</t>
  </si>
  <si>
    <t>localization/training_goblin.png</t>
  </si>
  <si>
    <t>localization/training_graygoblin1.png</t>
  </si>
  <si>
    <t>localization/training_graygoblin2.png</t>
  </si>
  <si>
    <t>localization/training_firebeetle.png</t>
  </si>
  <si>
    <t>localization/training_icebeetle.png</t>
  </si>
  <si>
    <t>localization/training_shovemonster.png</t>
  </si>
  <si>
    <t>localization/training_grayshovemonster1.png</t>
  </si>
  <si>
    <t>localization/training_grayshovemonster2.png</t>
  </si>
  <si>
    <t>localization/training_hellhound.png</t>
  </si>
  <si>
    <t>localization/training_yeti.png</t>
  </si>
  <si>
    <t>localization/training_ghast.png</t>
  </si>
  <si>
    <t>localization/training_cauldronmimic.png</t>
  </si>
  <si>
    <t>localization/training_sarcophagus.png</t>
  </si>
  <si>
    <t>localization/training_yellowsarcophagus1.png</t>
  </si>
  <si>
    <t>localization/training_yellowsarcophagus2.png</t>
  </si>
  <si>
    <t>localization/training_blacksarcophagus1.png</t>
  </si>
  <si>
    <t>localization/training_blacksarcophagus2.png</t>
  </si>
  <si>
    <t>localization/training_lich.png</t>
  </si>
  <si>
    <t>localization/training_redlich.png</t>
  </si>
  <si>
    <t>localization/training_blacklich.png</t>
  </si>
  <si>
    <t>localization/training_greenmonkey1.png</t>
  </si>
  <si>
    <t>localization/training_greenmonkey2.png</t>
  </si>
  <si>
    <t>localization/training_magicmonkey1.png</t>
  </si>
  <si>
    <t>localization/training_magicmonkey2.png</t>
  </si>
  <si>
    <t>localization/training_warlock.png</t>
  </si>
  <si>
    <t>localization/training_neonwarlock.png</t>
  </si>
  <si>
    <t>localization/training_apprenticeblademaster1.png</t>
  </si>
  <si>
    <t>localization/training_apprenticeblademaster2.png</t>
  </si>
  <si>
    <t>localization/training_blademaster.png</t>
  </si>
  <si>
    <t>localization/training_harpy.png</t>
  </si>
  <si>
    <t>localization/training_goblinbomber1.png</t>
  </si>
  <si>
    <t>localization/training_goblinbomber2.png</t>
  </si>
  <si>
    <t>localization/training_spider.png</t>
  </si>
  <si>
    <t>localization/training_goblinsentry1.png</t>
  </si>
  <si>
    <t>localization/training_goblinsentry2.png</t>
  </si>
  <si>
    <t>localization/training_oozegolem.png</t>
  </si>
  <si>
    <t>localization/training_blackbat.png</t>
  </si>
  <si>
    <t>localization/training_orangearmadillo1.png</t>
  </si>
  <si>
    <t>localization/training_orangearmadillo2.png</t>
  </si>
  <si>
    <t>localization/training_ghoul.png</t>
  </si>
  <si>
    <t>localization/training_pixie.png</t>
  </si>
  <si>
    <t>localization/training_direbat.png</t>
  </si>
  <si>
    <t>localization/training_graydirebat.png</t>
  </si>
  <si>
    <t>localization/training_greendragon.png</t>
  </si>
  <si>
    <t>localization/training_reddragon.png</t>
  </si>
  <si>
    <t>localization/training_bluedragon.png</t>
  </si>
  <si>
    <t>localization/training_banshee.png</t>
  </si>
  <si>
    <t>localization/training_greenbanshee1.png</t>
  </si>
  <si>
    <t>localization/training_greenbanshee2.png</t>
  </si>
  <si>
    <t>localization/training_minotaur.png</t>
  </si>
  <si>
    <t>localization/training_grayminotaur.png</t>
  </si>
  <si>
    <t>localization/training_nightmare.png</t>
  </si>
  <si>
    <t>localization/training_bloodnightmare.png</t>
  </si>
  <si>
    <t>localization/training_mommy.png</t>
  </si>
  <si>
    <t>localization/training_ogre.png</t>
  </si>
  <si>
    <t>localization/training_kingconga1.png</t>
  </si>
  <si>
    <t>localization/training_kingconga2.png</t>
  </si>
  <si>
    <t>localization/training_kingconga3.png</t>
  </si>
  <si>
    <t>localization/training_kingconga4.png</t>
  </si>
  <si>
    <t>localization/training_deathmetal1.png</t>
  </si>
  <si>
    <t>localization/training_deathmetal2.png</t>
  </si>
  <si>
    <t>localization/training_deathmetal3.png</t>
  </si>
  <si>
    <t>localization/training_deathmetal4.png</t>
  </si>
  <si>
    <t>localization/training_deepblues1.png</t>
  </si>
  <si>
    <t>localization/training_deepblues2.png</t>
  </si>
  <si>
    <t>localization/training_deepblues3.png</t>
  </si>
  <si>
    <t>localization/training_deepblues4.png</t>
  </si>
  <si>
    <t>localization/training_coralriff1.png</t>
  </si>
  <si>
    <t>localization/training_coralriff2.png</t>
  </si>
  <si>
    <t>localization/training_coralriff3.png</t>
  </si>
  <si>
    <t>localization/training_coralriff4.png</t>
  </si>
  <si>
    <t>localization/training_deadringer.png</t>
  </si>
  <si>
    <t>localization/training_necrodancer1.png</t>
  </si>
  <si>
    <t>localization/training_necrodancer2.png</t>
  </si>
  <si>
    <t>localization/training_necrodancer3.png</t>
  </si>
  <si>
    <t>localization/training_necrodancer4.png</t>
  </si>
  <si>
    <t>localization/training_goldenlute.png</t>
  </si>
  <si>
    <t>localization/enemy_whitearmadillo.png</t>
  </si>
  <si>
    <t>localization/enemy_yellowarmadillo.png</t>
  </si>
  <si>
    <t>localization/enemy_orangearmadillo.png</t>
  </si>
  <si>
    <t>localization/enemy_whitearmoredskeleton.png</t>
  </si>
  <si>
    <t>localization/enemy_yellowarmoredskeleton.png</t>
  </si>
  <si>
    <t>localization/enemy_blackarmoredskeleton.png</t>
  </si>
  <si>
    <t>localization/enemy_bluebanshee.png</t>
  </si>
  <si>
    <t>localization/enemy_greenbanshee.png</t>
  </si>
  <si>
    <t>localization/enemy_bluebat.png</t>
  </si>
  <si>
    <t>localization/enemy_redbat.png</t>
  </si>
  <si>
    <t>localization/enemy_greenbat.png</t>
  </si>
  <si>
    <t>localization/enemy_blackbat.png</t>
  </si>
  <si>
    <t>localization/enemy_yellowdirebat.png</t>
  </si>
  <si>
    <t>localization/enemy_browndirebat.png</t>
  </si>
  <si>
    <t>localization/enemy_firebeetle.png</t>
  </si>
  <si>
    <t>localization/enemy_icebeetle.png</t>
  </si>
  <si>
    <t>localization/enemy_bishop.png</t>
  </si>
  <si>
    <t>localization/enemy_redbishop.png</t>
  </si>
  <si>
    <t>localization/enemy_apprenticeblademaster.png</t>
  </si>
  <si>
    <t>localization/enemy_blademaster.png</t>
  </si>
  <si>
    <t>localization/enemy_clone.png</t>
  </si>
  <si>
    <t>localization/enemy_coralriff.png</t>
  </si>
  <si>
    <t>localization/enemy_barrel.png</t>
  </si>
  <si>
    <t>localization/enemy_deadringer.png</t>
  </si>
  <si>
    <t>localization/enemy_deathmetal.png</t>
  </si>
  <si>
    <t>localization/enemy_greendragon.png</t>
  </si>
  <si>
    <t>localization/enemy_reddragon.png</t>
  </si>
  <si>
    <t>localization/enemy_bluedragon.png</t>
  </si>
  <si>
    <t>localization/enemy_wallmimic.png</t>
  </si>
  <si>
    <t>localization/enemy_fireelemental.png</t>
  </si>
  <si>
    <t>localization/enemy_gargoyle.png</t>
  </si>
  <si>
    <t>localization/enemy_ghast.png</t>
  </si>
  <si>
    <t>localization/enemy_ghost.png</t>
  </si>
  <si>
    <t>localization/enemy_ghoul.png</t>
  </si>
  <si>
    <t>localization/enemy_purplegoblin.png</t>
  </si>
  <si>
    <t>localization/enemy_graygoblin.png</t>
  </si>
  <si>
    <t>localization/enemy_goblinbomber.png</t>
  </si>
  <si>
    <t>localization/enemy_lightgolem.png</t>
  </si>
  <si>
    <t>localization/enemy_darkgolem.png</t>
  </si>
  <si>
    <t>localization/enemy_oozegolem.png</t>
  </si>
  <si>
    <t>localization/enemy_harpy.png</t>
  </si>
  <si>
    <t>localization/enemy_hellhound.png</t>
  </si>
  <si>
    <t>localization/enemy_iceelemental.png</t>
  </si>
  <si>
    <t>localization/enemy_king.png</t>
  </si>
  <si>
    <t>localization/enemy_redking.png</t>
  </si>
  <si>
    <t>localization/enemy_kingconga.png</t>
  </si>
  <si>
    <t>localization/enemy_knight.png</t>
  </si>
  <si>
    <t>localization/enemy_redknight.png</t>
  </si>
  <si>
    <t>localization/enemy_leprechaun.png</t>
  </si>
  <si>
    <t>localization/enemy_lich.png</t>
  </si>
  <si>
    <t>localization/enemy_redlich.png</t>
  </si>
  <si>
    <t>localization/enemy_blacklich.png</t>
  </si>
  <si>
    <t>localization/enemy_goldenlute.png</t>
  </si>
  <si>
    <t>localization/enemy_lightminotaur.png</t>
  </si>
  <si>
    <t>localization/enemy_darkminotaur.png</t>
  </si>
  <si>
    <t>localization/enemy_mole.png</t>
  </si>
  <si>
    <t>localization/enemy_purplemonkey.png</t>
  </si>
  <si>
    <t>localization/enemy_whitemonkey.png</t>
  </si>
  <si>
    <t>localization/enemy_greenmonkey.png</t>
  </si>
  <si>
    <t>localization/enemy_magicmonkey.png</t>
  </si>
  <si>
    <t>localization/enemy_mommy.png</t>
  </si>
  <si>
    <t>localization/enemy_mummy.png</t>
  </si>
  <si>
    <t>localization/enemy_bluemushroom.png</t>
  </si>
  <si>
    <t>localization/enemy_purplemushroom.png</t>
  </si>
  <si>
    <t>localization/enemy_explodingmushroom.png</t>
  </si>
  <si>
    <t>localization/enemy_necrodancer.png</t>
  </si>
  <si>
    <t>localization/enemy_darknightmare.png</t>
  </si>
  <si>
    <t>localization/enemy_bloodnightmare.png</t>
  </si>
  <si>
    <t>localization/enemy_ogre.png</t>
  </si>
  <si>
    <t>localization/enemy_pawn.png</t>
  </si>
  <si>
    <t>localization/enemy_redpawn.png</t>
  </si>
  <si>
    <t>localization/enemy_pixie.png</t>
  </si>
  <si>
    <t>localization/enemy_queen.png</t>
  </si>
  <si>
    <t>localization/enemy_redqueen.png</t>
  </si>
  <si>
    <t>localization/enemy_rook.png</t>
  </si>
  <si>
    <t>localization/enemy_redrook.png</t>
  </si>
  <si>
    <t>localization/enemy_sarcophagus.png</t>
  </si>
  <si>
    <t>localization/enemy_yellowsarcophagus.png</t>
  </si>
  <si>
    <t>localization/enemy_blacksarcophagus.png</t>
  </si>
  <si>
    <t>localization/enemy_shopkeeper.png</t>
  </si>
  <si>
    <t>localization/enemy_monstrousshopkeeper.png</t>
  </si>
  <si>
    <t>localization/enemy_shopkeeperghost.png</t>
  </si>
  <si>
    <t>localization/enemy_shovemonster.png</t>
  </si>
  <si>
    <t>localization/enemy_whiteskeleton.png</t>
  </si>
  <si>
    <t>localization/enemy_yellowskeleton.png</t>
  </si>
  <si>
    <t>localization/enemy_blackskeleton.png</t>
  </si>
  <si>
    <t>localization/enemy_whiteskeletonknight.png</t>
  </si>
  <si>
    <t>localization/enemy_yellowskeletonknight.png</t>
  </si>
  <si>
    <t>localization/enemy_blackskeletonknight.png</t>
  </si>
  <si>
    <t>localization/enemy_whiteskeletonmage.png</t>
  </si>
  <si>
    <t>localization/enemy_yellowskeletonmage.png</t>
  </si>
  <si>
    <t>localization/enemy_blackskeletonmage.png</t>
  </si>
  <si>
    <t>localization/enemy_goblinsentry.png</t>
  </si>
  <si>
    <t>localization/enemy_greenslime.png</t>
  </si>
  <si>
    <t>localization/enemy_blueslime.png</t>
  </si>
  <si>
    <t>localization/enemy_orangeslime.png</t>
  </si>
  <si>
    <t>localization/enemy_iceslime.png</t>
  </si>
  <si>
    <t>localization/enemy_fireslime.png</t>
  </si>
  <si>
    <t>localization/enemy_spider.png</t>
  </si>
  <si>
    <t>localization/enemy_tarmonster.png</t>
  </si>
  <si>
    <t>localization/enemy_tentacle.png</t>
  </si>
  <si>
    <t>localization/enemy_chestmimic.png</t>
  </si>
  <si>
    <t>localization/enemy_lockedchestmimic.png</t>
  </si>
  <si>
    <t>localization/enemy_whitechestmimic.png</t>
  </si>
  <si>
    <t>localization/enemy_firecauldronmimic.png</t>
  </si>
  <si>
    <t>localization/enemy_icecauldronmimic.png</t>
  </si>
  <si>
    <t>localization/enemy_warlock.png</t>
  </si>
  <si>
    <t>localization/enemy_neonwarlock.png</t>
  </si>
  <si>
    <t>localization/enemy_wight.png</t>
  </si>
  <si>
    <t>localization/enemy_wraith.png</t>
  </si>
  <si>
    <t>localization/enemy_yeti.png</t>
  </si>
  <si>
    <t>localization/enemy_zombie.png</t>
  </si>
  <si>
    <t>localization/enemy_congaline.png</t>
  </si>
  <si>
    <t>localization/enemy_spiketrap.png</t>
  </si>
  <si>
    <t>localization/enemy_bloodmagic.png</t>
  </si>
  <si>
    <t>localization/enemy_bloodshovel.png</t>
  </si>
  <si>
    <t>localization/enemy_blooddrum.png</t>
  </si>
  <si>
    <t>localization/enemy_blooddebt.png</t>
  </si>
  <si>
    <t>localization/enemy_bootsofpain.png</t>
  </si>
  <si>
    <t>localization/enemy_crownofthorns.png</t>
  </si>
  <si>
    <t>localization/enemy_cowardice.png</t>
  </si>
  <si>
    <t>localization/enemy_vowofpoverty.png</t>
  </si>
  <si>
    <t>localization/enemy_hotcoal.png</t>
  </si>
  <si>
    <t>localization/enemy_lava.png</t>
  </si>
  <si>
    <t>localization/enemy_dorianscurse.png</t>
  </si>
  <si>
    <t>localization/enemy_shove.png</t>
  </si>
  <si>
    <t>localization/enemy_crystaltile.png</t>
  </si>
  <si>
    <t>localization/enemy_shrineofpace.png</t>
  </si>
  <si>
    <t>localization/enemy_shrineofnoreturn.png</t>
  </si>
  <si>
    <t>localization/enemy_shrineofrisk.png</t>
  </si>
  <si>
    <t>localization/enemy_trapwalls.png</t>
  </si>
  <si>
    <t>localization/enemy_bomb.png</t>
  </si>
  <si>
    <t>localization/enemy_missedbeat.png</t>
  </si>
  <si>
    <t>localization/enemy_grayshovemonster.png</t>
  </si>
  <si>
    <t>localization/enemy_deepblues.png</t>
  </si>
  <si>
    <t>localization/enemy_fireball.png</t>
  </si>
  <si>
    <t>localization/enemybig_whitearmadillo.png</t>
  </si>
  <si>
    <t>localization/enemybig_yellowarmadillo.png</t>
  </si>
  <si>
    <t>localization/enemybig_orangearmadillo.png</t>
  </si>
  <si>
    <t>localization/enemybig_whitearmoredskeleton.png</t>
  </si>
  <si>
    <t>localization/enemybig_yellowarmoredskeleton.png</t>
  </si>
  <si>
    <t>localization/enemybig_blackarmoredskeleton.png</t>
  </si>
  <si>
    <t>localization/enemybig_bluebanshee.png</t>
  </si>
  <si>
    <t>localization/enemybig_greenbanshee.png</t>
  </si>
  <si>
    <t>localization/enemybig_bluebat.png</t>
  </si>
  <si>
    <t>localization/enemybig_redbat.png</t>
  </si>
  <si>
    <t>localization/enemybig_greenbat.png</t>
  </si>
  <si>
    <t>localization/enemybig_blackbat.png</t>
  </si>
  <si>
    <t>localization/enemybig_yellowdirebat.png</t>
  </si>
  <si>
    <t>localization/enemybig_browndirebat.png</t>
  </si>
  <si>
    <t>localization/enemybig_firebeetle.png</t>
  </si>
  <si>
    <t>localization/enemybig_icebeetle.png</t>
  </si>
  <si>
    <t>localization/enemybig_bishop.png</t>
  </si>
  <si>
    <t>localization/enemybig_redbishop.png</t>
  </si>
  <si>
    <t>localization/enemybig_apprenticeblademaster.png</t>
  </si>
  <si>
    <t>localization/enemybig_blademaster.png</t>
  </si>
  <si>
    <t>localization/enemybig_clone.png</t>
  </si>
  <si>
    <t>localization/enemybig_coralriff.png</t>
  </si>
  <si>
    <t>localization/enemybig_barrel.png</t>
  </si>
  <si>
    <t>localization/enemybig_deadringer.png</t>
  </si>
  <si>
    <t>localization/enemybig_deathmetal.png</t>
  </si>
  <si>
    <t>localization/enemybig_greendragon.png</t>
  </si>
  <si>
    <t>localization/enemybig_reddragon.png</t>
  </si>
  <si>
    <t>localization/enemybig_bluedragon.png</t>
  </si>
  <si>
    <t>localization/enemybig_wallmimic.png</t>
  </si>
  <si>
    <t>localization/enemybig_fireelemental.png</t>
  </si>
  <si>
    <t>localization/enemybig_gargoyle.png</t>
  </si>
  <si>
    <t>localization/enemybig_ghast.png</t>
  </si>
  <si>
    <t>localization/enemybig_ghost.png</t>
  </si>
  <si>
    <t>localization/enemybig_ghoul.png</t>
  </si>
  <si>
    <t>localization/enemybig_purplegoblin.png</t>
  </si>
  <si>
    <t>localization/enemybig_graygoblin.png</t>
  </si>
  <si>
    <t>localization/enemybig_goblinbomber.png</t>
  </si>
  <si>
    <t>localization/enemybig_lightgolem.png</t>
  </si>
  <si>
    <t>localization/enemybig_darkgolem.png</t>
  </si>
  <si>
    <t>localization/enemybig_oozegolem.png</t>
  </si>
  <si>
    <t>localization/enemybig_harpy.png</t>
  </si>
  <si>
    <t>localization/enemybig_hellhound.png</t>
  </si>
  <si>
    <t>localization/enemybig_iceelemental.png</t>
  </si>
  <si>
    <t>localization/enemybig_king.png</t>
  </si>
  <si>
    <t>localization/enemybig_redking.png</t>
  </si>
  <si>
    <t>localization/enemybig_kingconga.png</t>
  </si>
  <si>
    <t>localization/enemybig_knight.png</t>
  </si>
  <si>
    <t>localization/enemybig_redknight.png</t>
  </si>
  <si>
    <t>localization/enemybig_leprechaun.png</t>
  </si>
  <si>
    <t>localization/enemybig_lich.png</t>
  </si>
  <si>
    <t>localization/enemybig_redlich.png</t>
  </si>
  <si>
    <t>localization/enemybig_blacklich.png</t>
  </si>
  <si>
    <t>localization/enemybig_goldenlute.png</t>
  </si>
  <si>
    <t>localization/enemybig_lightminotaur.png</t>
  </si>
  <si>
    <t>localization/enemybig_darkminotaur.png</t>
  </si>
  <si>
    <t>localization/enemybig_mole.png</t>
  </si>
  <si>
    <t>localization/enemybig_purplemonkey.png</t>
  </si>
  <si>
    <t>localization/enemybig_whitemonkey.png</t>
  </si>
  <si>
    <t>localization/enemybig_greenmonkey.png</t>
  </si>
  <si>
    <t>localization/enemybig_magicmonkey.png</t>
  </si>
  <si>
    <t>localization/enemybig_mommy.png</t>
  </si>
  <si>
    <t>localization/enemybig_mummy.png</t>
  </si>
  <si>
    <t>localization/enemybig_bluemushroom.png</t>
  </si>
  <si>
    <t>localization/enemybig_purplemushroom.png</t>
  </si>
  <si>
    <t>localization/enemybig_explodingmushroom.png</t>
  </si>
  <si>
    <t>localization/enemybig_necrodancer.png</t>
  </si>
  <si>
    <t>localization/enemybig_darknightmare.png</t>
  </si>
  <si>
    <t>localization/enemybig_bloodnightmare.png</t>
  </si>
  <si>
    <t>localization/enemybig_ogre.png</t>
  </si>
  <si>
    <t>localization/enemybig_pawn.png</t>
  </si>
  <si>
    <t>localization/enemybig_redpawn.png</t>
  </si>
  <si>
    <t>localization/enemybig_pixie.png</t>
  </si>
  <si>
    <t>localization/enemybig_queen.png</t>
  </si>
  <si>
    <t>localization/enemybig_redqueen.png</t>
  </si>
  <si>
    <t>localization/enemybig_rook.png</t>
  </si>
  <si>
    <t>localization/enemybig_redrook.png</t>
  </si>
  <si>
    <t>localization/enemybig_sarcophagus.png</t>
  </si>
  <si>
    <t>localization/enemybig_yellowsarcophagus.png</t>
  </si>
  <si>
    <t>localization/enemybig_blacksarcophagus.png</t>
  </si>
  <si>
    <t>localization/enemybig_shopkeeper.png</t>
  </si>
  <si>
    <t>localization/enemybig_monstrousshopkeeper.png</t>
  </si>
  <si>
    <t>localization/enemybig_shopkeeperghost.png</t>
  </si>
  <si>
    <t>localization/enemybig_shovemonster.png</t>
  </si>
  <si>
    <t>localization/enemybig_whiteskeleton.png</t>
  </si>
  <si>
    <t>localization/enemybig_yellowskeleton.png</t>
  </si>
  <si>
    <t>localization/enemybig_blackskeleton.png</t>
  </si>
  <si>
    <t>localization/enemybig_whiteskeletonknight.png</t>
  </si>
  <si>
    <t>localization/enemybig_yellowskeletonknight.png</t>
  </si>
  <si>
    <t>localization/enemybig_blackskeletonknight.png</t>
  </si>
  <si>
    <t>localization/enemybig_whiteskeletonmage.png</t>
  </si>
  <si>
    <t>localization/enemybig_yellowskeletonmage.png</t>
  </si>
  <si>
    <t>localization/enemybig_blackskeletonmage.png</t>
  </si>
  <si>
    <t>localization/enemybig_goblinsentry.png</t>
  </si>
  <si>
    <t>localization/enemybig_greenslime.png</t>
  </si>
  <si>
    <t>localization/enemybig_blueslime.png</t>
  </si>
  <si>
    <t>localization/enemybig_orangeslime.png</t>
  </si>
  <si>
    <t>localization/enemybig_iceslime.png</t>
  </si>
  <si>
    <t>localization/enemybig_fireslime.png</t>
  </si>
  <si>
    <t>localization/enemybig_spider.png</t>
  </si>
  <si>
    <t>localization/enemybig_tarmonster.png</t>
  </si>
  <si>
    <t>localization/enemybig_tentacle.png</t>
  </si>
  <si>
    <t>localization/enemybig_chestmimic.png</t>
  </si>
  <si>
    <t>localization/enemybig_lockedchestmimic.png</t>
  </si>
  <si>
    <t>localization/enemybig_whitechestmimic.png</t>
  </si>
  <si>
    <t>localization/enemybig_firecauldronmimic.png</t>
  </si>
  <si>
    <t>localization/enemybig_icecauldronmimic.png</t>
  </si>
  <si>
    <t>localization/enemybig_warlock.png</t>
  </si>
  <si>
    <t>localization/enemybig_neonwarlock.png</t>
  </si>
  <si>
    <t>localization/enemybig_wight.png</t>
  </si>
  <si>
    <t>localization/enemybig_wraith.png</t>
  </si>
  <si>
    <t>localization/enemybig_yeti.png</t>
  </si>
  <si>
    <t>localization/enemybig_zombie.png</t>
  </si>
  <si>
    <t>localization/enemybig_congaline.png</t>
  </si>
  <si>
    <t>localization/enemybig_spiketrap.png</t>
  </si>
  <si>
    <t>localization/enemybig_bloodmagic.png</t>
  </si>
  <si>
    <t>localization/enemybig_bloodshovel.png</t>
  </si>
  <si>
    <t>localization/enemybig_blooddrum.png</t>
  </si>
  <si>
    <t>localization/enemybig_blooddebt.png</t>
  </si>
  <si>
    <t>localization/enemybig_bootsofpain.png</t>
  </si>
  <si>
    <t>localization/enemybig_crownofthorns.png</t>
  </si>
  <si>
    <t>localization/enemybig_cowardice.png</t>
  </si>
  <si>
    <t>localization/enemybig_vowofpoverty.png</t>
  </si>
  <si>
    <t>localization/enemybig_hotcoal.png</t>
  </si>
  <si>
    <t>localization/enemybig_lava.png</t>
  </si>
  <si>
    <t>localization/enemybig_dorianscurse.png</t>
  </si>
  <si>
    <t>localization/enemybig_shove.png</t>
  </si>
  <si>
    <t>localization/enemybig_crystaltile.png</t>
  </si>
  <si>
    <t>localization/enemybig_shrineofpace.png</t>
  </si>
  <si>
    <t>localization/enemybig_shrineofnoreturn.png</t>
  </si>
  <si>
    <t>localization/enemybig_shrineofrisk.png</t>
  </si>
  <si>
    <t>localization/enemybig_trapwalls.png</t>
  </si>
  <si>
    <t>localization/enemybig_bomb.png</t>
  </si>
  <si>
    <t>localization/enemybig_missedbeat.png</t>
  </si>
  <si>
    <t>localization/enemybig_grayshovemonster.png</t>
  </si>
  <si>
    <t>localization/enemybig_deepblues.png</t>
  </si>
  <si>
    <t>localization/enemybig_fireball.png</t>
  </si>
  <si>
    <t>localization/options_button_default.png</t>
  </si>
  <si>
    <t>localization/options_button_set.png</t>
  </si>
  <si>
    <t>localization/options_button_none.png</t>
  </si>
  <si>
    <t>localization/options_button_bksp.png</t>
  </si>
  <si>
    <t>localization/options_button_tab.png</t>
  </si>
  <si>
    <t>localization/options_button_shift.png</t>
  </si>
  <si>
    <t>localization/options_button_ctrl.png</t>
  </si>
  <si>
    <t>localization/options_button_caps.png</t>
  </si>
  <si>
    <t>localization/options_button_esc.png</t>
  </si>
  <si>
    <t>localization/options_button_space.png</t>
  </si>
  <si>
    <t>localization/options_button_pgup.png</t>
  </si>
  <si>
    <t>localization/options_button_pgdn.png</t>
  </si>
  <si>
    <t>localization/options_button_end.png</t>
  </si>
  <si>
    <t>localization/options_button_home.png</t>
  </si>
  <si>
    <t>localization/options_button_left1.png</t>
  </si>
  <si>
    <t>localization/options_button_up1.png</t>
  </si>
  <si>
    <t>localization/options_button_right1.png</t>
  </si>
  <si>
    <t>localization/options_button_down1.png</t>
  </si>
  <si>
    <t>localization/options_button_ins.png</t>
  </si>
  <si>
    <t>localization/options_button_del.png</t>
  </si>
  <si>
    <t>localization/options_button_np0.png</t>
  </si>
  <si>
    <t>localization/options_button_np1.png</t>
  </si>
  <si>
    <t>localization/options_button_np2.png</t>
  </si>
  <si>
    <t>localization/options_button_np3.png</t>
  </si>
  <si>
    <t>localization/options_button_np4.png</t>
  </si>
  <si>
    <t>localization/options_button_np5.png</t>
  </si>
  <si>
    <t>localization/options_button_np6.png</t>
  </si>
  <si>
    <t>localization/options_button_np7.png</t>
  </si>
  <si>
    <t>localization/options_button_np8.png</t>
  </si>
  <si>
    <t>localization/options_button_np9.png</t>
  </si>
  <si>
    <t>localization/options_button_nptms.png</t>
  </si>
  <si>
    <t>localization/options_button_npplus.png</t>
  </si>
  <si>
    <t>localization/options_button_npslash.png</t>
  </si>
  <si>
    <t>localization/options_button_npminus.png</t>
  </si>
  <si>
    <t>localization/options_button_npperiod.png</t>
  </si>
  <si>
    <t>localization/options_button_npdiv.png</t>
  </si>
  <si>
    <t>localization/options_button_f1.png</t>
  </si>
  <si>
    <t>localization/options_button_f2.png</t>
  </si>
  <si>
    <t>localization/options_button_f3.png</t>
  </si>
  <si>
    <t>localization/options_button_f4.png</t>
  </si>
  <si>
    <t>localization/options_button_f5.png</t>
  </si>
  <si>
    <t>localization/options_button_f6.png</t>
  </si>
  <si>
    <t>localization/options_button_f7.png</t>
  </si>
  <si>
    <t>localization/options_button_f8.png</t>
  </si>
  <si>
    <t>localization/options_button_f9.png</t>
  </si>
  <si>
    <t>localization/options_button_f10.png</t>
  </si>
  <si>
    <t>localization/options_button_f11.png</t>
  </si>
  <si>
    <t>localization/options_button_f12.png</t>
  </si>
  <si>
    <t>localization/options_button_tilde.png</t>
  </si>
  <si>
    <t>localization/options_button_lbrace.png</t>
  </si>
  <si>
    <t>localization/options_button_bkslsh.png</t>
  </si>
  <si>
    <t>localization/options_button_rbrace.png</t>
  </si>
  <si>
    <t>localization/options_button_stick.png</t>
  </si>
  <si>
    <t>localization/options_button_rstick.png</t>
  </si>
  <si>
    <t>localization/options_button_dpad.png</t>
  </si>
  <si>
    <t>localization/options_button_down2.png</t>
  </si>
  <si>
    <t>localization/options_button_up2.png</t>
  </si>
  <si>
    <t>localization/options_button_left2.png</t>
  </si>
  <si>
    <t>localization/options_button_right2.png</t>
  </si>
  <si>
    <t>localization/options_button_stickdown.png</t>
  </si>
  <si>
    <t>localization/options_button_stickup.png</t>
  </si>
  <si>
    <t>localization/options_button_stickleft.png</t>
  </si>
  <si>
    <t>localization/options_button_stickright.png</t>
  </si>
  <si>
    <t>localization/options_button_rstickdown.png</t>
  </si>
  <si>
    <t>localization/options_button_rstickup.png</t>
  </si>
  <si>
    <t>localization/options_button_rstickleft.png</t>
  </si>
  <si>
    <t>localization/options_button_rstickright.png</t>
  </si>
  <si>
    <t>localization/options_button_dpaddown.png</t>
  </si>
  <si>
    <t>localization/options_button_dpadup.png</t>
  </si>
  <si>
    <t>localization/options_button_dpadleft.png</t>
  </si>
  <si>
    <t>localization/options_button_dpadright.png</t>
  </si>
  <si>
    <t>localization/options_button_abtn.png</t>
  </si>
  <si>
    <t>localization/options_button_ybtn.png</t>
  </si>
  <si>
    <t>localization/options_button_xbtn.png</t>
  </si>
  <si>
    <t>localization/options_button_bbtn.png</t>
  </si>
  <si>
    <t>localization/options_button_start1.png</t>
  </si>
  <si>
    <t>localization/options_button_back.png</t>
  </si>
  <si>
    <t>localization/options_button_lb.png</t>
  </si>
  <si>
    <t>localization/options_button_rb.png</t>
  </si>
  <si>
    <t>localization/options_button_lt.png</t>
  </si>
  <si>
    <t>localization/options_button_rt.png</t>
  </si>
  <si>
    <t>localization/options_button_l3.png</t>
  </si>
  <si>
    <t>localization/options_button_r3.png</t>
  </si>
  <si>
    <t>localization/options_button_x.png</t>
  </si>
  <si>
    <t>localization/options_button_triangle.png</t>
  </si>
  <si>
    <t>localization/options_button_square.png</t>
  </si>
  <si>
    <t>localization/options_button_circle.png</t>
  </si>
  <si>
    <t>localization/options_button_start2.png</t>
  </si>
  <si>
    <t>localization/options_button_select.png</t>
  </si>
  <si>
    <t>localization/options_button_l1.png</t>
  </si>
  <si>
    <t>localization/options_button_r1.png</t>
  </si>
  <si>
    <t>localization/options_button_l2.png</t>
  </si>
  <si>
    <t>localization/options_button_r2.png</t>
  </si>
  <si>
    <t>localization/options_button_joy1button.png</t>
  </si>
  <si>
    <t>localization/options_button_joy2button.png</t>
  </si>
  <si>
    <t>localization/options_button_joy3button.png</t>
  </si>
  <si>
    <t>localization/options_button_joy4button.png</t>
  </si>
  <si>
    <t>localization/options_button_key.png</t>
  </si>
  <si>
    <t>localization/options_button_comboleft1.png</t>
  </si>
  <si>
    <t>localization/options_button_comboright.png</t>
  </si>
  <si>
    <t>localization/options_button_comboup.png</t>
  </si>
  <si>
    <t>localization/options_button_combodown1.png</t>
  </si>
  <si>
    <t>localization/options_button_comboleft2.png</t>
  </si>
  <si>
    <t>localization/options_button_combodown2.png</t>
  </si>
  <si>
    <t>localization/options_buttonbig_bksp.png</t>
  </si>
  <si>
    <t>localization/options_buttonbig_tab.png</t>
  </si>
  <si>
    <t>localization/options_buttonbig_shift.png</t>
  </si>
  <si>
    <t>localization/options_buttonbig_ctrl.png</t>
  </si>
  <si>
    <t>localization/options_buttonbig_caps.png</t>
  </si>
  <si>
    <t>localization/options_buttonbig_esc.png</t>
  </si>
  <si>
    <t>localization/options_buttonbig_space.png</t>
  </si>
  <si>
    <t>localization/options_buttonbig_pgup.png</t>
  </si>
  <si>
    <t>localization/options_buttonbig_pgdn.png</t>
  </si>
  <si>
    <t>localization/options_buttonbig_end.png</t>
  </si>
  <si>
    <t>localization/options_buttonbig_home.png</t>
  </si>
  <si>
    <t>localization/options_buttonbig_left1.png</t>
  </si>
  <si>
    <t>localization/options_buttonbig_up1.png</t>
  </si>
  <si>
    <t>localization/options_buttonbig_right1.png</t>
  </si>
  <si>
    <t>localization/options_buttonbig_down1.png</t>
  </si>
  <si>
    <t>localization/options_buttonbig_ins.png</t>
  </si>
  <si>
    <t>localization/options_buttonbig_del.png</t>
  </si>
  <si>
    <t>localization/options_buttonbig_np0.png</t>
  </si>
  <si>
    <t>localization/options_buttonbig_np1.png</t>
  </si>
  <si>
    <t>localization/options_buttonbig_np2.png</t>
  </si>
  <si>
    <t>localization/options_buttonbig_np3.png</t>
  </si>
  <si>
    <t>localization/options_buttonbig_np4.png</t>
  </si>
  <si>
    <t>localization/options_buttonbig_np5.png</t>
  </si>
  <si>
    <t>localization/options_buttonbig_np6.png</t>
  </si>
  <si>
    <t>localization/options_buttonbig_np7.png</t>
  </si>
  <si>
    <t>localization/options_buttonbig_np8.png</t>
  </si>
  <si>
    <t>localization/options_buttonbig_np9.png</t>
  </si>
  <si>
    <t>localization/options_buttonbig_nptms.png</t>
  </si>
  <si>
    <t>localization/options_buttonbig_npplus.png</t>
  </si>
  <si>
    <t>localization/options_buttonbig_npslash.png</t>
  </si>
  <si>
    <t>localization/options_buttonbig_npminus.png</t>
  </si>
  <si>
    <t>localization/options_buttonbig_npperiod.png</t>
  </si>
  <si>
    <t>localization/options_buttonbig_npdiv.png</t>
  </si>
  <si>
    <t>localization/options_buttonbig_f1.png</t>
  </si>
  <si>
    <t>localization/options_buttonbig_f2.png</t>
  </si>
  <si>
    <t>localization/options_buttonbig_f3.png</t>
  </si>
  <si>
    <t>localization/options_buttonbig_f4.png</t>
  </si>
  <si>
    <t>localization/options_buttonbig_f5.png</t>
  </si>
  <si>
    <t>localization/options_buttonbig_f6.png</t>
  </si>
  <si>
    <t>localization/options_buttonbig_f7.png</t>
  </si>
  <si>
    <t>localization/options_buttonbig_f8.png</t>
  </si>
  <si>
    <t>localization/options_buttonbig_f9.png</t>
  </si>
  <si>
    <t>localization/options_buttonbig_f10.png</t>
  </si>
  <si>
    <t>localization/options_buttonbig_f11.png</t>
  </si>
  <si>
    <t>localization/options_buttonbig_f12.png</t>
  </si>
  <si>
    <t>localization/options_buttonbig_tilde.png</t>
  </si>
  <si>
    <t>localization/options_buttonbig_lbrace.png</t>
  </si>
  <si>
    <t>localization/options_buttonbig_bkslsh.png</t>
  </si>
  <si>
    <t>localization/options_buttonbig_rbrace.png</t>
  </si>
  <si>
    <t>localization/options_buttonbig_stick.png</t>
  </si>
  <si>
    <t>localization/options_buttonbig_rstick.png</t>
  </si>
  <si>
    <t>localization/options_buttonbig_dpad.png</t>
  </si>
  <si>
    <t>localization/options_buttonbig_down2.png</t>
  </si>
  <si>
    <t>localization/options_buttonbig_up2.png</t>
  </si>
  <si>
    <t>localization/options_buttonbig_left2.png</t>
  </si>
  <si>
    <t>localization/options_buttonbig_right2.png</t>
  </si>
  <si>
    <t>localization/options_buttonbig_stickdown.png</t>
  </si>
  <si>
    <t>localization/options_buttonbig_stickup.png</t>
  </si>
  <si>
    <t>localization/options_buttonbig_stickleft.png</t>
  </si>
  <si>
    <t>localization/options_buttonbig_stickright.png</t>
  </si>
  <si>
    <t>localization/options_buttonbig_rstickdown.png</t>
  </si>
  <si>
    <t>localization/options_buttonbig_rstickup.png</t>
  </si>
  <si>
    <t>localization/options_buttonbig_rstickleft.png</t>
  </si>
  <si>
    <t>localization/options_buttonbig_rstickright.png</t>
  </si>
  <si>
    <t>localization/options_buttonbig_dpaddown.png</t>
  </si>
  <si>
    <t>localization/options_buttonbig_dpadup.png</t>
  </si>
  <si>
    <t>localization/options_buttonbig_dpadleft.png</t>
  </si>
  <si>
    <t>localization/options_buttonbig_dpadright.png</t>
  </si>
  <si>
    <t>localization/options_buttonbig_abtn.png</t>
  </si>
  <si>
    <t>localization/options_buttonbig_ybtn.png</t>
  </si>
  <si>
    <t>localization/options_buttonbig_xbtn.png</t>
  </si>
  <si>
    <t>localization/options_buttonbig_bbtn.png</t>
  </si>
  <si>
    <t>localization/options_buttonbig_start1.png</t>
  </si>
  <si>
    <t>localization/options_buttonbig_back.png</t>
  </si>
  <si>
    <t>localization/options_buttonbig_lb.png</t>
  </si>
  <si>
    <t>localization/options_buttonbig_rb.png</t>
  </si>
  <si>
    <t>localization/options_buttonbig_lt.png</t>
  </si>
  <si>
    <t>localization/options_buttonbig_rt.png</t>
  </si>
  <si>
    <t>localization/options_buttonbig_l3.png</t>
  </si>
  <si>
    <t>localization/options_buttonbig_r3.png</t>
  </si>
  <si>
    <t>localization/options_buttonbig_x.png</t>
  </si>
  <si>
    <t>localization/options_buttonbig_triangle.png</t>
  </si>
  <si>
    <t>localization/options_buttonbig_square.png</t>
  </si>
  <si>
    <t>localization/options_buttonbig_circle.png</t>
  </si>
  <si>
    <t>localization/options_buttonbig_start.png</t>
  </si>
  <si>
    <t>localization/options_buttonbig_select.png</t>
  </si>
  <si>
    <t>localization/options_buttonbig_l1.png</t>
  </si>
  <si>
    <t>localization/options_buttonbig_r1.png</t>
  </si>
  <si>
    <t>localization/options_buttonbig_l2.png</t>
  </si>
  <si>
    <t>localization/options_buttonbig_r2.png</t>
  </si>
  <si>
    <t>localization/options_buttonbig_joy1button.png</t>
  </si>
  <si>
    <t>localization/options_buttonbig_joy2button.png</t>
  </si>
  <si>
    <t>localization/options_buttonbig_joy3button.png</t>
  </si>
  <si>
    <t>localization/options_buttonbig_joy4button.png</t>
  </si>
  <si>
    <t>localization/options_buttonbig_key.png</t>
  </si>
  <si>
    <t>localization/options_buttonbig_updown.png</t>
  </si>
  <si>
    <t>localization/selection/options_savedatausecloud.png</t>
  </si>
  <si>
    <t>localization/selection/options_savedatauselocal.png</t>
  </si>
  <si>
    <t>localization/selection/lobby_spenddiamonds.png</t>
  </si>
  <si>
    <t>localization/selection/game_quickrestart1.png</t>
  </si>
  <si>
    <t>localization/selection/character_cadence.png</t>
  </si>
  <si>
    <t>localization/selection/character_melody.png</t>
  </si>
  <si>
    <t>localization/selection/character_aria.png</t>
  </si>
  <si>
    <t>localization/selection/character_dorian.png</t>
  </si>
  <si>
    <t>localization/selection/character_eli.png</t>
  </si>
  <si>
    <t>localization/selection/character_ghost.png</t>
  </si>
  <si>
    <t>localization/selection/character_monk.png</t>
  </si>
  <si>
    <t>localization/selection/character_dove.png</t>
  </si>
  <si>
    <t>localization/selection/character_coda.png</t>
  </si>
  <si>
    <t>localization/selection/character_thief.png</t>
  </si>
  <si>
    <t>localization/selection/character_bolt.png</t>
  </si>
  <si>
    <t>localization/selection/character_bard.png</t>
  </si>
  <si>
    <t>localization/selection/character_mage.png</t>
  </si>
  <si>
    <t>localization/selection/game_quickrestart.png</t>
  </si>
  <si>
    <t>localization/selection/game_watchreplay.png</t>
  </si>
  <si>
    <t>localization/selection/game_scoreleaderboards.png</t>
  </si>
  <si>
    <t>localization/selection/game_speedleaderboards.png</t>
  </si>
  <si>
    <t>localization/selection/game_lobby.png</t>
  </si>
  <si>
    <t>localization/selection/game_returntoleveleditor.png</t>
  </si>
  <si>
    <t>localization/selection/lobby_yeshints.png</t>
  </si>
  <si>
    <t>localization/selection/lobby_nohints.png</t>
  </si>
  <si>
    <t>localization/selection/lobby_stayspenddiamonds.png</t>
  </si>
  <si>
    <t>localization/selection/lobby_leavelosediamonds.png</t>
  </si>
  <si>
    <t>localization/selection/options_done.png</t>
  </si>
  <si>
    <t>localization/selection/options_previous.png</t>
  </si>
  <si>
    <t>localization/selection/options_next.png</t>
  </si>
  <si>
    <t>localization/selection/options_yes.png</t>
  </si>
  <si>
    <t>localization/selection/options_no.png</t>
  </si>
  <si>
    <t>localization/selection/options_ok.png</t>
  </si>
  <si>
    <t>localization/selection/options_random.png</t>
  </si>
  <si>
    <t>localization/selection/options_cancel.png</t>
  </si>
  <si>
    <t>localization/selection/options_continue.png</t>
  </si>
  <si>
    <t>localization/selection/options_leaderboards.png</t>
  </si>
  <si>
    <t>localization/selection/options_replays.png</t>
  </si>
  <si>
    <t>localization/selection/options_options.png</t>
  </si>
  <si>
    <t>localization/selection/options_custommusic.png</t>
  </si>
  <si>
    <t>localization/selection/options_mods.png</t>
  </si>
  <si>
    <t>localization/selection/options_quickrestart.png</t>
  </si>
  <si>
    <t>localization/selection/options_quit_lobby.png</t>
  </si>
  <si>
    <t>localization/selection/options_quit_leveleditor.png</t>
  </si>
  <si>
    <t>localization/selection/options_exitgame.png</t>
  </si>
  <si>
    <t>localization/selection/options_soundvolume.png</t>
  </si>
  <si>
    <t>localization/selection/options_musicvolume.png</t>
  </si>
  <si>
    <t>localization/selection/options_prebosseffect.png</t>
  </si>
  <si>
    <t>localization/selection/options_moddefault.png</t>
  </si>
  <si>
    <t>localization/selection/options_modchoosepublish.png</t>
  </si>
  <si>
    <t>localization/selection/options_modchooseplay.png</t>
  </si>
  <si>
    <t>localization/selection/options_modplay.png</t>
  </si>
  <si>
    <t>localization/selection/options_modpublish.png</t>
  </si>
  <si>
    <t>localization/selection/options_moddeactivate.png</t>
  </si>
  <si>
    <t>localization/selection/options_assigningplayer.png</t>
  </si>
  <si>
    <t>localization/selection/options_defaultcontrols.png</t>
  </si>
  <si>
    <t>localization/selection/options_showdefaulthudtext.png</t>
  </si>
  <si>
    <t>localization/selection/options_ignoremultipress.png</t>
  </si>
  <si>
    <t>localization/selection/options_control_up.png</t>
  </si>
  <si>
    <t>localization/selection/options_control_right.png</t>
  </si>
  <si>
    <t>localization/selection/options_control_down.png</t>
  </si>
  <si>
    <t>localization/selection/options_control_left.png</t>
  </si>
  <si>
    <t>localization/selection/options_control_upalt.png</t>
  </si>
  <si>
    <t>localization/selection/options_control_rightalt.png</t>
  </si>
  <si>
    <t>localization/selection/options_control_downalt.png</t>
  </si>
  <si>
    <t>localization/selection/options_control_leftalt.png</t>
  </si>
  <si>
    <t>localization/selection/options_control_comboLR.png</t>
  </si>
  <si>
    <t>localization/selection/options_control_comboUD.png</t>
  </si>
  <si>
    <t>localization/selection/options_control_comboUL.png</t>
  </si>
  <si>
    <t>localization/selection/options_control_comboUR.png</t>
  </si>
  <si>
    <t>localization/selection/options_control_comboDL.png</t>
  </si>
  <si>
    <t>localization/selection/options_control_comboDR.png</t>
  </si>
  <si>
    <t>localization/selection/options_control_restart.png</t>
  </si>
  <si>
    <t>localization/selection/options_control_pause.png</t>
  </si>
  <si>
    <t>localization/selection/options_fullscreen.png</t>
  </si>
  <si>
    <t>localization/selection/options_vsync.png</t>
  </si>
  <si>
    <t>localization/selection/options_viewmultiplierdefault.png</t>
  </si>
  <si>
    <t>localization/selection/options_viewmultiplier.png</t>
  </si>
  <si>
    <t>localization/selection/options_hudheart.png</t>
  </si>
  <si>
    <t>localization/selection/options_hudbars.png</t>
  </si>
  <si>
    <t>localization/selection/options_screenshake.png</t>
  </si>
  <si>
    <t>localization/selection/options_timer.png</t>
  </si>
  <si>
    <t>localization/selection/options_discofloor.png</t>
  </si>
  <si>
    <t>localization/selection/options_deathreplay.png</t>
  </si>
  <si>
    <t>localization/selection/options_resolution.png</t>
  </si>
  <si>
    <t>localization/selection/options_gameplayoptions.png</t>
  </si>
  <si>
    <t>localization/selection/options_audiooptions.png</t>
  </si>
  <si>
    <t>localization/selection/options_graphicaloptions.png</t>
  </si>
  <si>
    <t>localization/selection/options_reassigncontrols.png</t>
  </si>
  <si>
    <t>localization/selection/options_latencycalibration.png</t>
  </si>
  <si>
    <t>localization/selection/options_changesoundtrack.png</t>
  </si>
  <si>
    <t>localization/selection/options_languageoptions.png</t>
  </si>
  <si>
    <t>localization/selection/options_replayszone1.png</t>
  </si>
  <si>
    <t>localization/selection/options_replayszone2.png</t>
  </si>
  <si>
    <t>localization/selection/options_replayszone3.png</t>
  </si>
  <si>
    <t>localization/selection/options_replayszone4.png</t>
  </si>
  <si>
    <t>localization/selection/options_replaysdancepad.png</t>
  </si>
  <si>
    <t>localization/selection/options_replaysallzones.png</t>
  </si>
  <si>
    <t>localization/selection/options_replaysseeded.png</t>
  </si>
  <si>
    <t>localization/selection/options_replaysdailytitle.png</t>
  </si>
  <si>
    <t>localization/selection/options_replay_jan.png</t>
  </si>
  <si>
    <t>localization/selection/options_replay_feb.png</t>
  </si>
  <si>
    <t>localization/selection/options_replay_mar.png</t>
  </si>
  <si>
    <t>localization/selection/options_replay_apr.png</t>
  </si>
  <si>
    <t>localization/selection/options_replay_may.png</t>
  </si>
  <si>
    <t>localization/selection/options_replay_jun.png</t>
  </si>
  <si>
    <t>localization/selection/options_replay_jul.png</t>
  </si>
  <si>
    <t>localization/selection/options_replay_aug.png</t>
  </si>
  <si>
    <t>localization/selection/options_replay_sep.png</t>
  </si>
  <si>
    <t>localization/selection/options_replay_oct.png</t>
  </si>
  <si>
    <t>localization/selection/options_replay_nov.png</t>
  </si>
  <si>
    <t>localization/selection/options_replay_dec.png</t>
  </si>
  <si>
    <t>localization/selection/options_replay_0.png</t>
  </si>
  <si>
    <t>localization/selection/options_replay_1.png</t>
  </si>
  <si>
    <t>localization/selection/options_replay_2.png</t>
  </si>
  <si>
    <t>localization/selection/options_replay_3.png</t>
  </si>
  <si>
    <t>localization/selection/options_replay_4.png</t>
  </si>
  <si>
    <t>localization/selection/options_replay_5.png</t>
  </si>
  <si>
    <t>localization/selection/options_replay_6.png</t>
  </si>
  <si>
    <t>localization/selection/options_replay_7.png</t>
  </si>
  <si>
    <t>localization/selection/options_replay_8.png</t>
  </si>
  <si>
    <t>localization/selection/options_replay_9.png</t>
  </si>
  <si>
    <t>localization/selection/options_replay_colon.png</t>
  </si>
  <si>
    <t>localization/selection/options_defaultplayer1.png</t>
  </si>
  <si>
    <t>localization/selection/options_defaultcharacter.png</t>
  </si>
  <si>
    <t>localization/selection/options_itemhints.png</t>
  </si>
  <si>
    <t>localization/selection/options_itemnames.png</t>
  </si>
  <si>
    <t>localization/selection/options_enemyhearts.png</t>
  </si>
  <si>
    <t>localization/selection/options_lobbymovement.png</t>
  </si>
  <si>
    <t>localization/selection/options_diamondreminder.png</t>
  </si>
  <si>
    <t>localization/selection/options_pauseminimized.png</t>
  </si>
  <si>
    <t>localization/selection/options_cutscenes.png</t>
  </si>
  <si>
    <t>localization/selection/options_bossintros.png</t>
  </si>
  <si>
    <t>localization/selection/options_deletesave.png</t>
  </si>
  <si>
    <t>localization/selection/options_subtitles.png</t>
  </si>
  <si>
    <t>localization/selection/options_language.png</t>
  </si>
  <si>
    <t>localization/selection/options_leaderboardsdaily.png</t>
  </si>
  <si>
    <t>localization/selection/options_leaderboardsscore.png</t>
  </si>
  <si>
    <t>localization/selection/options_leaderboardsspeed.png</t>
  </si>
  <si>
    <t>localization/selection/options_leaderboardsscoreseeded.png</t>
  </si>
  <si>
    <t>localization/selection/options_leaderboardsspeedseeded.png</t>
  </si>
  <si>
    <t>localization/selection/options_leaderboardsdeathless.png</t>
  </si>
  <si>
    <t>localization/selection/options_leaderboardsstory.png</t>
  </si>
  <si>
    <t>localization/selection/leaderboard_nextday.png</t>
  </si>
  <si>
    <t>localization/selection/leaderboard_previousday.png</t>
  </si>
  <si>
    <t>localization/selection/leaderboard_nextpage.png</t>
  </si>
  <si>
    <t>localization/selection/leaderboard_previouspage.png</t>
  </si>
  <si>
    <t>localization/selection/leaderboard_friendsonly.png</t>
  </si>
  <si>
    <t>localization/selection/leaderboard_no.png</t>
  </si>
  <si>
    <t>localization/selection/leaderboard_yes.png</t>
  </si>
  <si>
    <t>localization/selection/leaderboard_oldversion.png</t>
  </si>
  <si>
    <t>localization/selection/leaderboard_nopeeking.png</t>
  </si>
  <si>
    <t>localization/selection/leaderboard_watch.png</t>
  </si>
  <si>
    <t>localization/selection/leaderboard_donesmall.png</t>
  </si>
  <si>
    <t>localization/selection/custommusic_choose.png</t>
  </si>
  <si>
    <t>localization/selection/custommusic_restore.png</t>
  </si>
  <si>
    <t>localization/selection/custommusic_2xspeed.png</t>
  </si>
  <si>
    <t>localization/selection/custommusic_1-2xspeed.png</t>
  </si>
  <si>
    <t>localization/selection/custommusic_back.png</t>
  </si>
  <si>
    <t>localization/selection/custommusic_multiple.png</t>
  </si>
  <si>
    <t>localization/selection/custommusic_manualbeats.png</t>
  </si>
  <si>
    <t>localization/selection/custommusic_manualbeatslobby.png</t>
  </si>
  <si>
    <t>localization/selection/custommusic_disabled.png</t>
  </si>
  <si>
    <t>localization/selection/custommusic_enabled.png</t>
  </si>
  <si>
    <t>localization/selection/custommusic_level.png</t>
  </si>
  <si>
    <t>localization/selection/custommusic_kingconga.png</t>
  </si>
  <si>
    <t>localization/selection/custommusic_deepblues.png</t>
  </si>
  <si>
    <t>localization/selection/custommusic_deathmetal.png</t>
  </si>
  <si>
    <t>localization/selection/custommusic_coralriff.png</t>
  </si>
  <si>
    <t>localization/selection/custommusic_lobby.png</t>
  </si>
  <si>
    <t>localization/selection/custommusic_default.png</t>
  </si>
  <si>
    <t>localization/selection/custommusic_up.png</t>
  </si>
  <si>
    <t>localization/selection/custommusic_previous.png</t>
  </si>
  <si>
    <t>localization/selection/custommusic_next.png</t>
  </si>
  <si>
    <t>localization/selection/custommusic_add.png</t>
  </si>
  <si>
    <t>localization/selection/options_steamworkshop.png</t>
  </si>
  <si>
    <t>localization/selection/leveleditor_level.png</t>
  </si>
  <si>
    <t>localization/selection/leveleditor_name.png</t>
  </si>
  <si>
    <t>localization/selection/leveleditor_character.png</t>
  </si>
  <si>
    <t>localization/selection/leveleditor_any.png</t>
  </si>
  <si>
    <t>localization/selection/leveleditor_noitems.png</t>
  </si>
  <si>
    <t>localization/selection/leveleditor_currentlevel.png</t>
  </si>
  <si>
    <t>localization/selection/leveleditor_addlevel.png</t>
  </si>
  <si>
    <t>localization/selection/leveleditor_deletelevel.png</t>
  </si>
  <si>
    <t>localization/selection/leveleditor_levelgen.png</t>
  </si>
  <si>
    <t>localization/selection/leveleditor_generate.png</t>
  </si>
  <si>
    <t>localization/selection/leveleditor_music.png</t>
  </si>
  <si>
    <t>localization/selection/leveleditor_viewlevel.png</t>
  </si>
  <si>
    <t>localization/selection/leveleditor_testlevel.png</t>
  </si>
  <si>
    <t>localization/selection/leveleditor_playdungeon.png</t>
  </si>
  <si>
    <t>localization/selection/leveleditor_loaddungeon.png</t>
  </si>
  <si>
    <t>localization/selection/leveleditor_publishdungeon.png</t>
  </si>
  <si>
    <t>localization/selection/leveleditor_savedungeon.png</t>
  </si>
  <si>
    <t>localization/selection/leveleditor_saveandexit.png</t>
  </si>
  <si>
    <t>localization/selection/leveleditor_exit.png</t>
  </si>
  <si>
    <t>localization/selection/leveleditor_kingconga.png</t>
  </si>
  <si>
    <t>localization/selection/leveleditor_deathmetal.png</t>
  </si>
  <si>
    <t>localization/selection/leveleditor_deepblues.png</t>
  </si>
  <si>
    <t>localization/selection/leveleditor_coralriff.png</t>
  </si>
  <si>
    <t>localization/selection/leveleditor_placefloor.png</t>
  </si>
  <si>
    <t>localization/selection/leveleditor_placewall.png</t>
  </si>
  <si>
    <t>localization/selection/leveleditor_placeenemy.png</t>
  </si>
  <si>
    <t>localization/selection/leveleditor_placetrap.png</t>
  </si>
  <si>
    <t>localization/selection/leveleditor_placeshrine.png</t>
  </si>
  <si>
    <t>localization/selection/leveleditor_placeitem.png</t>
  </si>
  <si>
    <t>localization/selection/leveleditor_placechest.png</t>
  </si>
  <si>
    <t>localization/selection/leveleditor_placecontainer.png</t>
  </si>
  <si>
    <t>localization/selection/leveleditor_move.png</t>
  </si>
  <si>
    <t>localization/selection/leveleditor_erase.png</t>
  </si>
  <si>
    <t>localization/selection/leveleditor_tileset.png</t>
  </si>
  <si>
    <t>localization/selection/leveleditor_floor.png</t>
  </si>
  <si>
    <t>localization/selection/leveleditor_shopfloor.png</t>
  </si>
  <si>
    <t>localization/selection/leveleditor_water.png</t>
  </si>
  <si>
    <t>localization/selection/leveleditor_tar.png</t>
  </si>
  <si>
    <t>localization/selection/leveleditor_hotcoals.png</t>
  </si>
  <si>
    <t>localization/selection/leveleditor_ice.png</t>
  </si>
  <si>
    <t>localization/selection/leveleditor_ooze.png</t>
  </si>
  <si>
    <t>localization/selection/leveleditor_stairs.png</t>
  </si>
  <si>
    <t>localization/selection/leveleditor_dirtwall.png</t>
  </si>
  <si>
    <t>localization/selection/leveleditor_back.png</t>
  </si>
  <si>
    <t>localization/selection/leveleditor_stonewall.png</t>
  </si>
  <si>
    <t>localization/selection/leveleditor_catacombwall.png</t>
  </si>
  <si>
    <t>localization/selection/leveleditor_shopwall.png</t>
  </si>
  <si>
    <t>localization/selection/leveleditor_unbreakablewall.png</t>
  </si>
  <si>
    <t>localization/selection/leveleditor_door.png</t>
  </si>
  <si>
    <t>localization/selection/leveleditor_metaldoor.png</t>
  </si>
  <si>
    <t>localization/selection/leveleditor_lockeddoor.png</t>
  </si>
  <si>
    <t>localization/selection/leveleditor_zone1.png</t>
  </si>
  <si>
    <t>localization/selection/leveleditor_zone2.png</t>
  </si>
  <si>
    <t>localization/selection/leveleditor_zone3hot.png</t>
  </si>
  <si>
    <t>localization/selection/leveleditor_zone3cold.png</t>
  </si>
  <si>
    <t>localization/selection/leveleditor_zone4.png</t>
  </si>
  <si>
    <t>localization/selection/leveleditor_boss.png</t>
  </si>
  <si>
    <t>localization/selection/leveleditor_previous.png</t>
  </si>
  <si>
    <t>localization/selection/leveleditor_next.png</t>
  </si>
  <si>
    <t>localization/selection/leveleditor_bouncetrap.png</t>
  </si>
  <si>
    <t>localization/selection/leveleditor_spiketrap.png</t>
  </si>
  <si>
    <t>localization/selection/leveleditor_trapdoor.png</t>
  </si>
  <si>
    <t>localization/selection/leveleditor_confusetrap.png</t>
  </si>
  <si>
    <t>localization/selection/leveleditor_teleporttrap.png</t>
  </si>
  <si>
    <t>localization/selection/leveleditor_tempotrap.png</t>
  </si>
  <si>
    <t>localization/selection/leveleditor_bombtrap.png</t>
  </si>
  <si>
    <t>localization/selection/leveleditor_firetrap.png</t>
  </si>
  <si>
    <t>localization/selection/leveleditor_travelrune.png</t>
  </si>
  <si>
    <t>localization/selection/leveleditor_shrineblood.png</t>
  </si>
  <si>
    <t>localization/selection/leveleditor_shrinedarkness.png</t>
  </si>
  <si>
    <t>localization/selection/leveleditor_shrineglass.png</t>
  </si>
  <si>
    <t>localization/selection/leveleditor_shrinepeace.png</t>
  </si>
  <si>
    <t>localization/selection/leveleditor_shrinerhythm.png</t>
  </si>
  <si>
    <t>localization/selection/leveleditor_shrinerisk.png</t>
  </si>
  <si>
    <t>localization/selection/leveleditor_shrinesacrifice.png</t>
  </si>
  <si>
    <t>localization/selection/leveleditor_shrinespace.png</t>
  </si>
  <si>
    <t>localization/selection/leveleditor_shrinewar.png</t>
  </si>
  <si>
    <t>localization/selection/leveleditor_shrinenoreturn.png</t>
  </si>
  <si>
    <t>localization/selection/leveleditor_shrinephasing.png</t>
  </si>
  <si>
    <t>localization/selection/leveleditor_shrinepace.png</t>
  </si>
  <si>
    <t>localization/selection/leveleditor_shrinechance.png</t>
  </si>
  <si>
    <t>localization/selection/leveleditor_weapons.png</t>
  </si>
  <si>
    <t>localization/selection/leveleditor_armor.png</t>
  </si>
  <si>
    <t>localization/selection/leveleditor_footwear.png</t>
  </si>
  <si>
    <t>localization/selection/leveleditor_headgear.png</t>
  </si>
  <si>
    <t>localization/selection/leveleditor_rings.png</t>
  </si>
  <si>
    <t>localization/selection/leveleditor_scrolls.png</t>
  </si>
  <si>
    <t>localization/selection/leveleditor_otheritems.png</t>
  </si>
  <si>
    <t>localization/selection/options_button_default.png</t>
  </si>
  <si>
    <t>localization/selection/options_button_set.png</t>
  </si>
  <si>
    <t>localization/selection/options_button_none.png</t>
  </si>
  <si>
    <t>localization/selection/options_button_bksp.png</t>
  </si>
  <si>
    <t>localization/selection/options_button_tab.png</t>
  </si>
  <si>
    <t>localization/selection/options_button_shift.png</t>
  </si>
  <si>
    <t>localization/selection/options_button_ctrl.png</t>
  </si>
  <si>
    <t>localization/selection/options_button_caps.png</t>
  </si>
  <si>
    <t>localization/selection/options_button_esc.png</t>
  </si>
  <si>
    <t>localization/selection/options_button_space.png</t>
  </si>
  <si>
    <t>localization/selection/options_button_pgup.png</t>
  </si>
  <si>
    <t>localization/selection/options_button_pgdn.png</t>
  </si>
  <si>
    <t>localization/selection/options_button_end.png</t>
  </si>
  <si>
    <t>localization/selection/options_button_home.png</t>
  </si>
  <si>
    <t>localization/selection/options_button_left1.png</t>
  </si>
  <si>
    <t>localization/selection/options_button_up1.png</t>
  </si>
  <si>
    <t>localization/selection/options_button_right1.png</t>
  </si>
  <si>
    <t>localization/selection/options_button_down1.png</t>
  </si>
  <si>
    <t>localization/selection/options_button_ins.png</t>
  </si>
  <si>
    <t>localization/selection/options_button_del.png</t>
  </si>
  <si>
    <t>localization/selection/options_button_np0.png</t>
  </si>
  <si>
    <t>localization/selection/options_button_np1.png</t>
  </si>
  <si>
    <t>localization/selection/options_button_np2.png</t>
  </si>
  <si>
    <t>localization/selection/options_button_np3.png</t>
  </si>
  <si>
    <t>localization/selection/options_button_np4.png</t>
  </si>
  <si>
    <t>localization/selection/options_button_np5.png</t>
  </si>
  <si>
    <t>localization/selection/options_button_np6.png</t>
  </si>
  <si>
    <t>localization/selection/options_button_np7.png</t>
  </si>
  <si>
    <t>localization/selection/options_button_np8.png</t>
  </si>
  <si>
    <t>localization/selection/options_button_np9.png</t>
  </si>
  <si>
    <t>localization/selection/options_button_nptms.png</t>
  </si>
  <si>
    <t>localization/selection/options_button_npplus.png</t>
  </si>
  <si>
    <t>localization/selection/options_button_npslash.png</t>
  </si>
  <si>
    <t>localization/selection/options_button_npminus.png</t>
  </si>
  <si>
    <t>localization/selection/options_button_npperiod.png</t>
  </si>
  <si>
    <t>localization/selection/options_button_npdiv.png</t>
  </si>
  <si>
    <t>localization/selection/options_button_f1.png</t>
  </si>
  <si>
    <t>localization/selection/options_button_f2.png</t>
  </si>
  <si>
    <t>localization/selection/options_button_f3.png</t>
  </si>
  <si>
    <t>localization/selection/options_button_f4.png</t>
  </si>
  <si>
    <t>localization/selection/options_button_f5.png</t>
  </si>
  <si>
    <t>localization/selection/options_button_f6.png</t>
  </si>
  <si>
    <t>localization/selection/options_button_f7.png</t>
  </si>
  <si>
    <t>localization/selection/options_button_f8.png</t>
  </si>
  <si>
    <t>localization/selection/options_button_f9.png</t>
  </si>
  <si>
    <t>localization/selection/options_button_f10.png</t>
  </si>
  <si>
    <t>localization/selection/options_button_f11.png</t>
  </si>
  <si>
    <t>localization/selection/options_button_f12.png</t>
  </si>
  <si>
    <t>localization/selection/options_button_tilde.png</t>
  </si>
  <si>
    <t>localization/selection/options_button_lbrace.png</t>
  </si>
  <si>
    <t>localization/selection/options_button_bkslsh.png</t>
  </si>
  <si>
    <t>localization/selection/options_button_rbrace.png</t>
  </si>
  <si>
    <t>localization/selection/options_button_stick.png</t>
  </si>
  <si>
    <t>localization/selection/options_button_rstick.png</t>
  </si>
  <si>
    <t>localization/selection/options_button_dpad.png</t>
  </si>
  <si>
    <t>localization/selection/options_button_down2.png</t>
  </si>
  <si>
    <t>localization/selection/options_button_up2.png</t>
  </si>
  <si>
    <t>localization/selection/options_button_left2.png</t>
  </si>
  <si>
    <t>localization/selection/options_button_right2.png</t>
  </si>
  <si>
    <t>localization/selection/options_button_stickdown.png</t>
  </si>
  <si>
    <t>localization/selection/options_button_stickup.png</t>
  </si>
  <si>
    <t>localization/selection/options_button_stickleft.png</t>
  </si>
  <si>
    <t>localization/selection/options_button_stickright.png</t>
  </si>
  <si>
    <t>localization/selection/options_button_rstickdown.png</t>
  </si>
  <si>
    <t>localization/selection/options_button_rstickup.png</t>
  </si>
  <si>
    <t>localization/selection/options_button_rstickleft.png</t>
  </si>
  <si>
    <t>localization/selection/options_button_rstickright.png</t>
  </si>
  <si>
    <t>localization/selection/options_button_dpaddown.png</t>
  </si>
  <si>
    <t>localization/selection/options_button_dpadup.png</t>
  </si>
  <si>
    <t>localization/selection/options_button_dpadleft.png</t>
  </si>
  <si>
    <t>localization/selection/options_button_dpadright.png</t>
  </si>
  <si>
    <t>localization/selection/options_button_abtn.png</t>
  </si>
  <si>
    <t>localization/selection/options_button_ybtn.png</t>
  </si>
  <si>
    <t>localization/selection/options_button_xbtn.png</t>
  </si>
  <si>
    <t>localization/selection/options_button_bbtn.png</t>
  </si>
  <si>
    <t>localization/selection/options_button_start1.png</t>
  </si>
  <si>
    <t>localization/selection/options_button_back.png</t>
  </si>
  <si>
    <t>localization/selection/options_button_lb.png</t>
  </si>
  <si>
    <t>localization/selection/options_button_rb.png</t>
  </si>
  <si>
    <t>localization/selection/options_button_lt.png</t>
  </si>
  <si>
    <t>localization/selection/options_button_rt.png</t>
  </si>
  <si>
    <t>localization/selection/options_button_l3.png</t>
  </si>
  <si>
    <t>localization/selection/options_button_r3.png</t>
  </si>
  <si>
    <t>localization/selection/options_button_x.png</t>
  </si>
  <si>
    <t>localization/selection/options_button_triangle.png</t>
  </si>
  <si>
    <t>localization/selection/options_button_square.png</t>
  </si>
  <si>
    <t>localization/selection/options_button_circle.png</t>
  </si>
  <si>
    <t>localization/selection/options_button_start2.png</t>
  </si>
  <si>
    <t>localization/selection/options_button_select.png</t>
  </si>
  <si>
    <t>localization/selection/options_button_l1.png</t>
  </si>
  <si>
    <t>localization/selection/options_button_r1.png</t>
  </si>
  <si>
    <t>localization/selection/options_button_l2.png</t>
  </si>
  <si>
    <t>localization/selection/options_button_r2.png</t>
  </si>
  <si>
    <t>localization/selection/options_button_joy1button.png</t>
  </si>
  <si>
    <t>localization/selection/options_button_joy2button.png</t>
  </si>
  <si>
    <t>localization/selection/options_button_joy3button.png</t>
  </si>
  <si>
    <t>localization/selection/options_button_joy4button.png</t>
  </si>
  <si>
    <t>localization/selection/options_button_key.png</t>
  </si>
  <si>
    <t>localization/selection/options_button_comboupdown.png</t>
  </si>
  <si>
    <t>localization/selection/options_button_comboleft1.png</t>
  </si>
  <si>
    <t>localization/selection/options_button_comboright.png</t>
  </si>
  <si>
    <t>localization/selection/options_button_comboup.png</t>
  </si>
  <si>
    <t>localization/selection/options_button_combodown1.png</t>
  </si>
  <si>
    <t>localization/selection/options_button_comboleft2.png</t>
  </si>
  <si>
    <t>localization/selection/options_button_combodown2.png</t>
  </si>
  <si>
    <t>localization/selection/game_questionmark.png</t>
  </si>
  <si>
    <t>↑ + ↓</t>
  </si>
  <si>
    <t>localization/options_button_comboupdown.png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</si>
</sst>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66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4" fillId="0" borderId="0" xfId="0" applyFont="1">
      <alignment vertical="center"/>
    </xf>
    <xf numFmtId="0" fontId="0" fillId="7" borderId="0" xfId="0" applyNumberFormat="1" applyFill="1">
      <alignment vertical="center"/>
    </xf>
    <xf numFmtId="0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9" borderId="0" xfId="0" applyFill="1">
      <alignment vertical="center"/>
    </xf>
  </cellXfs>
  <cellStyles count="1">
    <cellStyle name="常规" xfId="0" builtinId="0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6</xdr:col>
          <xdr:colOff>1323975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开始导出SVG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1371600</xdr:colOff>
          <xdr:row>0</xdr:row>
          <xdr:rowOff>0</xdr:rowOff>
        </xdr:from>
        <xdr:to>
          <xdr:col>6</xdr:col>
          <xdr:colOff>2495550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2552700</xdr:colOff>
          <xdr:row>0</xdr:row>
          <xdr:rowOff>0</xdr:rowOff>
        </xdr:from>
        <xdr:to>
          <xdr:col>6</xdr:col>
          <xdr:colOff>3448050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文件检查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/>
  <tableColumns count="16">
    <tableColumn id="1" uniqueName="id" name="id">
      <xmlColumnPr mapId="1" xpath="/strings/string/@id" xmlDataType="integer"/>
    </tableColumn>
    <tableColumn id="2" uniqueName="xOff" name="xOff" dataDxfId="12">
      <calculatedColumnFormula>IF(表1[[#This Row],[不调整offset]]="x",IFERROR(VLOOKUP(表1[[#This Row],[8:image]],常量!J:N,4,FALSE),0),0)</calculatedColumnFormula>
      <xmlColumnPr mapId="1" xpath="/strings/string/@xOff" xmlDataType="integer"/>
    </tableColumn>
    <tableColumn id="3" uniqueName="yOff" name="yOff" dataDxfId="11">
      <calculatedColumnFormula>IF(表1[[#This Row],[不调整offset]]="x",IFERROR(VLOOKUP(表1[[#This Row],[8:image]],常量!J:N,5,FALSE),0),0)</calculatedColumnFormula>
      <xmlColumnPr mapId="1" xpath="/strings/string/@yOff" xmlDataType="integer"/>
    </tableColumn>
    <tableColumn id="4" uniqueName="overallYOff" name="overallYOff" dataDxfId="10">
      <xmlColumnPr mapId="1" xpath="/strings/string/@overallYOff" xmlDataType="integer"/>
    </tableColumn>
    <tableColumn id="5" uniqueName="scale" name="scale" dataDxfId="9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5">
      <xmlColumnPr mapId="1" xpath="/strings/string/@english" xmlDataType="string"/>
    </tableColumn>
    <tableColumn id="8" uniqueName="image" name="8:image" dataDxfId="4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2"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8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7"/>
    <tableColumn id="16" uniqueName="16" name="不调整offset"/>
    <tableColumn id="17" uniqueName="17" name="16:按钮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2" activePane="bottomLeft" state="frozen"/>
      <selection pane="bottomLeft" activeCell="H1636" sqref="H1636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19.125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customHeight="1">
      <c r="A2">
        <v>1</v>
      </c>
      <c r="B2">
        <f>IF(表1[[#This Row],[不调整offset]]="x",IFERROR(VLOOKUP(表1[[#This Row],[8:image]],常量!J:N,4,FALSE),0),0)</f>
        <v>0</v>
      </c>
      <c r="C2">
        <f>IF(表1[[#This Row],[不调整offset]]="x",IFERROR(VLOOKUP(表1[[#This Row],[8:image]],常量!J:N,5,FALSE),0),0)</f>
        <v>0</v>
      </c>
      <c r="E2" t="s">
        <v>2587</v>
      </c>
      <c r="F2">
        <v>6</v>
      </c>
      <c r="G2" s="8" t="s">
        <v>9</v>
      </c>
      <c r="H2" s="16" t="s">
        <v>2652</v>
      </c>
      <c r="I2" s="19"/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customHeight="1">
      <c r="A3">
        <v>2</v>
      </c>
      <c r="B3">
        <f>IF(表1[[#This Row],[不调整offset]]="x",IFERROR(VLOOKUP(表1[[#This Row],[8:image]],常量!J:N,4,FALSE),0),0)</f>
        <v>18.25</v>
      </c>
      <c r="C3">
        <f>IF(表1[[#This Row],[不调整offset]]="x",IFERROR(VLOOKUP(表1[[#This Row],[8:image]],常量!J:N,5,FALSE),0),0)</f>
        <v>3.25</v>
      </c>
      <c r="E3" t="s">
        <v>2587</v>
      </c>
      <c r="F3">
        <v>6</v>
      </c>
      <c r="G3" s="1" t="s">
        <v>10</v>
      </c>
      <c r="H3" s="17" t="s">
        <v>2653</v>
      </c>
      <c r="I3" s="19"/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1400</v>
      </c>
      <c r="P3" s="5"/>
    </row>
    <row r="4" spans="1:16" ht="14.25" customHeight="1">
      <c r="A4">
        <v>3</v>
      </c>
      <c r="B4">
        <f>IF(表1[[#This Row],[不调整offset]]="x",IFERROR(VLOOKUP(表1[[#This Row],[8:image]],常量!J:N,4,FALSE),0),0)</f>
        <v>12.25</v>
      </c>
      <c r="C4">
        <v>-3</v>
      </c>
      <c r="E4" t="s">
        <v>2587</v>
      </c>
      <c r="F4">
        <v>6</v>
      </c>
      <c r="G4" s="1" t="s">
        <v>11</v>
      </c>
      <c r="H4" s="17" t="s">
        <v>2654</v>
      </c>
      <c r="I4" s="19"/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4" t="s">
        <v>2650</v>
      </c>
      <c r="P4" s="5"/>
    </row>
    <row r="5" spans="1:16" ht="14.25" customHeight="1">
      <c r="A5">
        <v>4</v>
      </c>
      <c r="B5">
        <f>IF(表1[[#This Row],[不调整offset]]="x",IFERROR(VLOOKUP(表1[[#This Row],[8:image]],常量!J:N,4,FALSE),0),0)</f>
        <v>0</v>
      </c>
      <c r="C5">
        <f>IF(表1[[#This Row],[不调整offset]]="x",IFERROR(VLOOKUP(表1[[#This Row],[8:image]],常量!J:N,5,FALSE),0),0)</f>
        <v>0</v>
      </c>
      <c r="E5">
        <v>1</v>
      </c>
      <c r="F5">
        <v>12</v>
      </c>
      <c r="G5" s="1" t="s">
        <v>12</v>
      </c>
      <c r="H5" s="17" t="s">
        <v>2655</v>
      </c>
      <c r="I5" s="19"/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customHeight="1">
      <c r="A6">
        <v>5</v>
      </c>
      <c r="B6">
        <f>IF(表1[[#This Row],[不调整offset]]="x",IFERROR(VLOOKUP(表1[[#This Row],[8:image]],常量!J:N,4,FALSE),0),0)</f>
        <v>0</v>
      </c>
      <c r="C6">
        <f>IF(表1[[#This Row],[不调整offset]]="x",IFERROR(VLOOKUP(表1[[#This Row],[8:image]],常量!J:N,5,FALSE),0),0)</f>
        <v>0</v>
      </c>
      <c r="E6">
        <v>1</v>
      </c>
      <c r="F6">
        <v>12</v>
      </c>
      <c r="G6" s="13" t="s">
        <v>13</v>
      </c>
      <c r="H6" s="16" t="s">
        <v>2656</v>
      </c>
      <c r="I6" s="19"/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customHeight="1">
      <c r="A7">
        <v>6</v>
      </c>
      <c r="B7">
        <f>IF(表1[[#This Row],[不调整offset]]="x",IFERROR(VLOOKUP(表1[[#This Row],[8:image]],常量!J:N,4,FALSE),0),0)</f>
        <v>0</v>
      </c>
      <c r="C7">
        <f>IF(表1[[#This Row],[不调整offset]]="x",IFERROR(VLOOKUP(表1[[#This Row],[8:image]],常量!J:N,5,FALSE),0),0)</f>
        <v>0</v>
      </c>
      <c r="E7">
        <v>1</v>
      </c>
      <c r="F7">
        <v>12</v>
      </c>
      <c r="G7" s="1" t="s">
        <v>14</v>
      </c>
      <c r="H7" s="17" t="s">
        <v>2657</v>
      </c>
      <c r="I7" s="19"/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f>IF(表1[[#This Row],[不调整offset]]="x",IFERROR(VLOOKUP(表1[[#This Row],[8:image]],常量!J:N,4,FALSE),0),0)</f>
        <v>0</v>
      </c>
      <c r="C8">
        <f>IF(表1[[#This Row],[不调整offset]]="x",IFERROR(VLOOKUP(表1[[#This Row],[8:image]],常量!J:N,5,FALSE),0),0)</f>
        <v>0</v>
      </c>
      <c r="E8">
        <v>1</v>
      </c>
      <c r="F8">
        <v>12</v>
      </c>
      <c r="G8" s="1" t="s">
        <v>15</v>
      </c>
      <c r="H8" s="17" t="s">
        <v>2658</v>
      </c>
      <c r="I8" s="17" t="s">
        <v>4286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customHeight="1">
      <c r="A9">
        <v>8</v>
      </c>
      <c r="B9">
        <f>IF(表1[[#This Row],[不调整offset]]="x",IFERROR(VLOOKUP(表1[[#This Row],[8:image]],常量!J:N,4,FALSE),0),0)</f>
        <v>0</v>
      </c>
      <c r="C9">
        <f>IF(表1[[#This Row],[不调整offset]]="x",IFERROR(VLOOKUP(表1[[#This Row],[8:image]],常量!J:N,5,FALSE),0),0)</f>
        <v>0</v>
      </c>
      <c r="E9">
        <v>1</v>
      </c>
      <c r="F9">
        <v>12</v>
      </c>
      <c r="G9" s="1" t="s">
        <v>16</v>
      </c>
      <c r="H9" s="17" t="s">
        <v>2659</v>
      </c>
      <c r="I9" s="17" t="s">
        <v>4287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customHeight="1">
      <c r="A10">
        <v>9</v>
      </c>
      <c r="B10">
        <f>IF(表1[[#This Row],[不调整offset]]="x",IFERROR(VLOOKUP(表1[[#This Row],[8:image]],常量!J:N,4,FALSE),0),0)</f>
        <v>0</v>
      </c>
      <c r="C10">
        <f>IF(表1[[#This Row],[不调整offset]]="x",IFERROR(VLOOKUP(表1[[#This Row],[8:image]],常量!J:N,5,FALSE),0),0)</f>
        <v>0</v>
      </c>
      <c r="E10" t="s">
        <v>2587</v>
      </c>
      <c r="F10">
        <v>6</v>
      </c>
      <c r="G10" s="1" t="s">
        <v>17</v>
      </c>
      <c r="H10" s="16" t="s">
        <v>2660</v>
      </c>
      <c r="I10" s="19"/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customHeight="1">
      <c r="A11">
        <v>10</v>
      </c>
      <c r="B11">
        <f>IF(表1[[#This Row],[不调整offset]]="x",IFERROR(VLOOKUP(表1[[#This Row],[8:image]],常量!J:N,4,FALSE),0),0)</f>
        <v>0</v>
      </c>
      <c r="C11">
        <f>IF(表1[[#This Row],[不调整offset]]="x",IFERROR(VLOOKUP(表1[[#This Row],[8:image]],常量!J:N,5,FALSE),0),0)</f>
        <v>0</v>
      </c>
      <c r="E11">
        <v>1</v>
      </c>
      <c r="F11">
        <v>12</v>
      </c>
      <c r="G11" s="1" t="s">
        <v>18</v>
      </c>
      <c r="H11" s="17" t="s">
        <v>2661</v>
      </c>
      <c r="I11" s="19"/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f>IF(表1[[#This Row],[不调整offset]]="x",IFERROR(VLOOKUP(表1[[#This Row],[8:image]],常量!J:N,4,FALSE),0),0)</f>
        <v>0</v>
      </c>
      <c r="C12">
        <f>IF(表1[[#This Row],[不调整offset]]="x",IFERROR(VLOOKUP(表1[[#This Row],[8:image]],常量!J:N,5,FALSE),0),0)</f>
        <v>0</v>
      </c>
      <c r="E12">
        <v>1</v>
      </c>
      <c r="F12">
        <v>12</v>
      </c>
      <c r="G12" s="1" t="s">
        <v>19</v>
      </c>
      <c r="H12" s="17" t="s">
        <v>2662</v>
      </c>
      <c r="I12" s="19"/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f>IF(表1[[#This Row],[不调整offset]]="x",IFERROR(VLOOKUP(表1[[#This Row],[8:image]],常量!J:N,4,FALSE),0),0)</f>
        <v>0</v>
      </c>
      <c r="C13">
        <f>IF(表1[[#This Row],[不调整offset]]="x",IFERROR(VLOOKUP(表1[[#This Row],[8:image]],常量!J:N,5,FALSE),0),0)</f>
        <v>0</v>
      </c>
      <c r="E13">
        <v>1</v>
      </c>
      <c r="F13">
        <v>12</v>
      </c>
      <c r="G13" s="1" t="s">
        <v>20</v>
      </c>
      <c r="H13" s="17" t="s">
        <v>2663</v>
      </c>
      <c r="I13" s="19"/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IF(表1[[#This Row],[不调整offset]]="x",IFERROR(VLOOKUP(表1[[#This Row],[8:image]],常量!J:N,4,FALSE),0),0)</f>
        <v>0</v>
      </c>
      <c r="C14">
        <f>IF(表1[[#This Row],[不调整offset]]="x",IFERROR(VLOOKUP(表1[[#This Row],[8:image]],常量!J:N,5,FALSE),0),0)</f>
        <v>0</v>
      </c>
      <c r="E14">
        <v>1</v>
      </c>
      <c r="F14">
        <v>12</v>
      </c>
      <c r="G14" s="1" t="s">
        <v>21</v>
      </c>
      <c r="H14" s="17" t="s">
        <v>2664</v>
      </c>
      <c r="I14" s="19"/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IF(表1[[#This Row],[不调整offset]]="x",IFERROR(VLOOKUP(表1[[#This Row],[8:image]],常量!J:N,4,FALSE),0),0)</f>
        <v>0</v>
      </c>
      <c r="C15">
        <f>IF(表1[[#This Row],[不调整offset]]="x",IFERROR(VLOOKUP(表1[[#This Row],[8:image]],常量!J:N,5,FALSE),0),0)</f>
        <v>0</v>
      </c>
      <c r="E15">
        <v>1</v>
      </c>
      <c r="F15">
        <v>12</v>
      </c>
      <c r="G15" s="1" t="s">
        <v>22</v>
      </c>
      <c r="H15" s="17" t="s">
        <v>2665</v>
      </c>
      <c r="I15" s="19"/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f>IF(表1[[#This Row],[不调整offset]]="x",IFERROR(VLOOKUP(表1[[#This Row],[8:image]],常量!J:N,4,FALSE),0),0)</f>
        <v>0</v>
      </c>
      <c r="C16">
        <f>IF(表1[[#This Row],[不调整offset]]="x",IFERROR(VLOOKUP(表1[[#This Row],[8:image]],常量!J:N,5,FALSE),0),0)</f>
        <v>0</v>
      </c>
      <c r="E16">
        <v>1</v>
      </c>
      <c r="F16">
        <v>12</v>
      </c>
      <c r="G16" s="1" t="s">
        <v>23</v>
      </c>
      <c r="H16" s="17" t="s">
        <v>2666</v>
      </c>
      <c r="I16" s="19"/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f>IF(表1[[#This Row],[不调整offset]]="x",IFERROR(VLOOKUP(表1[[#This Row],[8:image]],常量!J:N,4,FALSE),0),0)</f>
        <v>0</v>
      </c>
      <c r="C17">
        <f>IF(表1[[#This Row],[不调整offset]]="x",IFERROR(VLOOKUP(表1[[#This Row],[8:image]],常量!J:N,5,FALSE),0),0)</f>
        <v>0</v>
      </c>
      <c r="E17">
        <v>1</v>
      </c>
      <c r="F17">
        <v>12</v>
      </c>
      <c r="G17" s="1" t="s">
        <v>24</v>
      </c>
      <c r="H17" s="17" t="s">
        <v>2667</v>
      </c>
      <c r="I17" s="19"/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f>IF(表1[[#This Row],[不调整offset]]="x",IFERROR(VLOOKUP(表1[[#This Row],[8:image]],常量!J:N,4,FALSE),0),0)</f>
        <v>0</v>
      </c>
      <c r="C18">
        <f>IF(表1[[#This Row],[不调整offset]]="x",IFERROR(VLOOKUP(表1[[#This Row],[8:image]],常量!J:N,5,FALSE),0),0)</f>
        <v>0</v>
      </c>
      <c r="E18">
        <v>1</v>
      </c>
      <c r="F18">
        <v>12</v>
      </c>
      <c r="G18" s="1" t="s">
        <v>25</v>
      </c>
      <c r="H18" s="17" t="s">
        <v>2668</v>
      </c>
      <c r="I18" s="19"/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IF(表1[[#This Row],[不调整offset]]="x",IFERROR(VLOOKUP(表1[[#This Row],[8:image]],常量!J:N,4,FALSE),0),0)</f>
        <v>57.25</v>
      </c>
      <c r="C19">
        <f>IF(表1[[#This Row],[不调整offset]]="x",IFERROR(VLOOKUP(表1[[#This Row],[8:image]],常量!J:N,5,FALSE),0),0)</f>
        <v>3.25</v>
      </c>
      <c r="E19" t="s">
        <v>2587</v>
      </c>
      <c r="F19">
        <v>6</v>
      </c>
      <c r="G19" s="1" t="s">
        <v>26</v>
      </c>
      <c r="H19" s="17" t="s">
        <v>2669</v>
      </c>
      <c r="I19" s="19"/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1400</v>
      </c>
      <c r="P19" s="5"/>
    </row>
    <row r="20" spans="1:16" ht="14.25" customHeight="1">
      <c r="A20">
        <v>19</v>
      </c>
      <c r="B20">
        <f>IF(表1[[#This Row],[不调整offset]]="x",IFERROR(VLOOKUP(表1[[#This Row],[8:image]],常量!J:N,4,FALSE),0),0)</f>
        <v>0</v>
      </c>
      <c r="C20">
        <f>IF(表1[[#This Row],[不调整offset]]="x",IFERROR(VLOOKUP(表1[[#This Row],[8:image]],常量!J:N,5,FALSE),0),0)</f>
        <v>0</v>
      </c>
      <c r="E20">
        <v>1</v>
      </c>
      <c r="F20">
        <v>12</v>
      </c>
      <c r="G20" s="8" t="s">
        <v>27</v>
      </c>
      <c r="H20" s="16" t="s">
        <v>2670</v>
      </c>
      <c r="I20" s="19"/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IF(表1[[#This Row],[不调整offset]]="x",IFERROR(VLOOKUP(表1[[#This Row],[8:image]],常量!J:N,4,FALSE),0),0)</f>
        <v>0</v>
      </c>
      <c r="C21">
        <f>IF(表1[[#This Row],[不调整offset]]="x",IFERROR(VLOOKUP(表1[[#This Row],[8:image]],常量!J:N,5,FALSE),0),0)</f>
        <v>0</v>
      </c>
      <c r="E21">
        <v>1</v>
      </c>
      <c r="F21">
        <v>12</v>
      </c>
      <c r="G21" s="8" t="s">
        <v>28</v>
      </c>
      <c r="H21" s="16" t="s">
        <v>2671</v>
      </c>
      <c r="I21" s="19"/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IF(表1[[#This Row],[不调整offset]]="x",IFERROR(VLOOKUP(表1[[#This Row],[8:image]],常量!J:N,4,FALSE),0),0)</f>
        <v>0</v>
      </c>
      <c r="C22">
        <f>IF(表1[[#This Row],[不调整offset]]="x",IFERROR(VLOOKUP(表1[[#This Row],[8:image]],常量!J:N,5,FALSE),0),0)</f>
        <v>0</v>
      </c>
      <c r="E22">
        <v>1</v>
      </c>
      <c r="F22">
        <v>12</v>
      </c>
      <c r="G22" s="8" t="s">
        <v>29</v>
      </c>
      <c r="H22" s="16" t="s">
        <v>2672</v>
      </c>
      <c r="I22" s="19"/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customHeight="1">
      <c r="A23">
        <v>22</v>
      </c>
      <c r="B23">
        <f>IF(表1[[#This Row],[不调整offset]]="x",IFERROR(VLOOKUP(表1[[#This Row],[8:image]],常量!J:N,4,FALSE),0),0)</f>
        <v>0</v>
      </c>
      <c r="C23">
        <f>IF(表1[[#This Row],[不调整offset]]="x",IFERROR(VLOOKUP(表1[[#This Row],[8:image]],常量!J:N,5,FALSE),0),0)</f>
        <v>0</v>
      </c>
      <c r="E23" t="s">
        <v>2587</v>
      </c>
      <c r="F23">
        <v>6</v>
      </c>
      <c r="G23" s="8" t="s">
        <v>30</v>
      </c>
      <c r="H23" s="16" t="s">
        <v>2673</v>
      </c>
      <c r="I23" s="19"/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customHeight="1">
      <c r="A24">
        <v>23</v>
      </c>
      <c r="B24">
        <f>IF(表1[[#This Row],[不调整offset]]="x",IFERROR(VLOOKUP(表1[[#This Row],[8:image]],常量!J:N,4,FALSE),0),0)</f>
        <v>0</v>
      </c>
      <c r="C24">
        <f>IF(表1[[#This Row],[不调整offset]]="x",IFERROR(VLOOKUP(表1[[#This Row],[8:image]],常量!J:N,5,FALSE),0),0)</f>
        <v>0</v>
      </c>
      <c r="E24" t="s">
        <v>2587</v>
      </c>
      <c r="F24">
        <v>6</v>
      </c>
      <c r="G24" s="8" t="s">
        <v>31</v>
      </c>
      <c r="H24" s="16" t="s">
        <v>2674</v>
      </c>
      <c r="I24" s="19"/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customHeight="1">
      <c r="A25">
        <v>24</v>
      </c>
      <c r="B25">
        <f>IF(表1[[#This Row],[不调整offset]]="x",IFERROR(VLOOKUP(表1[[#This Row],[8:image]],常量!J:N,4,FALSE),0),0)</f>
        <v>0</v>
      </c>
      <c r="C25">
        <f>IF(表1[[#This Row],[不调整offset]]="x",IFERROR(VLOOKUP(表1[[#This Row],[8:image]],常量!J:N,5,FALSE),0),0)</f>
        <v>0</v>
      </c>
      <c r="E25" t="s">
        <v>2587</v>
      </c>
      <c r="F25">
        <v>6</v>
      </c>
      <c r="G25" s="8" t="s">
        <v>32</v>
      </c>
      <c r="H25" s="16" t="s">
        <v>2675</v>
      </c>
      <c r="I25" s="19"/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customHeight="1">
      <c r="A26">
        <v>25</v>
      </c>
      <c r="B26">
        <f>IF(表1[[#This Row],[不调整offset]]="x",IFERROR(VLOOKUP(表1[[#This Row],[8:image]],常量!J:N,4,FALSE),0),0)</f>
        <v>0</v>
      </c>
      <c r="C26">
        <f>IF(表1[[#This Row],[不调整offset]]="x",IFERROR(VLOOKUP(表1[[#This Row],[8:image]],常量!J:N,5,FALSE),0),0)</f>
        <v>0</v>
      </c>
      <c r="E26" t="s">
        <v>2587</v>
      </c>
      <c r="F26">
        <v>6</v>
      </c>
      <c r="G26" s="8" t="s">
        <v>33</v>
      </c>
      <c r="H26" s="16" t="s">
        <v>2676</v>
      </c>
      <c r="I26" s="19"/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customHeight="1">
      <c r="A27">
        <v>26</v>
      </c>
      <c r="B27">
        <f>IF(表1[[#This Row],[不调整offset]]="x",IFERROR(VLOOKUP(表1[[#This Row],[8:image]],常量!J:N,4,FALSE),0),0)</f>
        <v>0</v>
      </c>
      <c r="C27">
        <f>IF(表1[[#This Row],[不调整offset]]="x",IFERROR(VLOOKUP(表1[[#This Row],[8:image]],常量!J:N,5,FALSE),0),0)</f>
        <v>0</v>
      </c>
      <c r="E27">
        <v>1</v>
      </c>
      <c r="F27">
        <v>12</v>
      </c>
      <c r="G27" s="1" t="s">
        <v>34</v>
      </c>
      <c r="H27" s="17" t="s">
        <v>2677</v>
      </c>
      <c r="I27" s="19"/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f>IF(表1[[#This Row],[不调整offset]]="x",IFERROR(VLOOKUP(表1[[#This Row],[8:image]],常量!J:N,4,FALSE),0),0)</f>
        <v>0</v>
      </c>
      <c r="C28">
        <f>IF(表1[[#This Row],[不调整offset]]="x",IFERROR(VLOOKUP(表1[[#This Row],[8:image]],常量!J:N,5,FALSE),0),0)</f>
        <v>0</v>
      </c>
      <c r="E28">
        <v>1</v>
      </c>
      <c r="F28">
        <v>12</v>
      </c>
      <c r="G28" s="1" t="s">
        <v>35</v>
      </c>
      <c r="H28" s="17" t="s">
        <v>2678</v>
      </c>
      <c r="I28" s="19"/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f>IF(表1[[#This Row],[不调整offset]]="x",IFERROR(VLOOKUP(表1[[#This Row],[8:image]],常量!J:N,4,FALSE),0),0)</f>
        <v>0</v>
      </c>
      <c r="C29">
        <f>IF(表1[[#This Row],[不调整offset]]="x",IFERROR(VLOOKUP(表1[[#This Row],[8:image]],常量!J:N,5,FALSE),0),0)</f>
        <v>0</v>
      </c>
      <c r="E29">
        <v>1</v>
      </c>
      <c r="F29">
        <v>12</v>
      </c>
      <c r="G29" s="1" t="s">
        <v>36</v>
      </c>
      <c r="H29" s="17" t="s">
        <v>2679</v>
      </c>
      <c r="I29" s="19"/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IF(表1[[#This Row],[不调整offset]]="x",IFERROR(VLOOKUP(表1[[#This Row],[8:image]],常量!J:N,4,FALSE),0),0)</f>
        <v>0</v>
      </c>
      <c r="C30">
        <f>IF(表1[[#This Row],[不调整offset]]="x",IFERROR(VLOOKUP(表1[[#This Row],[8:image]],常量!J:N,5,FALSE),0),0)</f>
        <v>0</v>
      </c>
      <c r="E30">
        <v>1</v>
      </c>
      <c r="F30">
        <v>12</v>
      </c>
      <c r="G30" s="1" t="s">
        <v>37</v>
      </c>
      <c r="H30" s="17" t="s">
        <v>2680</v>
      </c>
      <c r="I30" s="19"/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IF(表1[[#This Row],[不调整offset]]="x",IFERROR(VLOOKUP(表1[[#This Row],[8:image]],常量!J:N,4,FALSE),0),0)</f>
        <v>0</v>
      </c>
      <c r="C31">
        <f>IF(表1[[#This Row],[不调整offset]]="x",IFERROR(VLOOKUP(表1[[#This Row],[8:image]],常量!J:N,5,FALSE),0),0)</f>
        <v>0</v>
      </c>
      <c r="E31">
        <v>1</v>
      </c>
      <c r="F31">
        <v>12</v>
      </c>
      <c r="G31" s="1" t="s">
        <v>38</v>
      </c>
      <c r="H31" s="17" t="s">
        <v>2681</v>
      </c>
      <c r="I31" s="19"/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IF(表1[[#This Row],[不调整offset]]="x",IFERROR(VLOOKUP(表1[[#This Row],[8:image]],常量!J:N,4,FALSE),0),0)</f>
        <v>0</v>
      </c>
      <c r="C32">
        <f>IF(表1[[#This Row],[不调整offset]]="x",IFERROR(VLOOKUP(表1[[#This Row],[8:image]],常量!J:N,5,FALSE),0),0)</f>
        <v>0</v>
      </c>
      <c r="E32">
        <v>1</v>
      </c>
      <c r="F32">
        <v>12</v>
      </c>
      <c r="G32" s="1" t="s">
        <v>39</v>
      </c>
      <c r="H32" s="17" t="s">
        <v>2682</v>
      </c>
      <c r="I32" s="17" t="s">
        <v>4288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customHeight="1">
      <c r="A33">
        <v>32</v>
      </c>
      <c r="B33">
        <f>IF(表1[[#This Row],[不调整offset]]="x",IFERROR(VLOOKUP(表1[[#This Row],[8:image]],常量!J:N,4,FALSE),0),0)</f>
        <v>0</v>
      </c>
      <c r="C33">
        <f>IF(表1[[#This Row],[不调整offset]]="x",IFERROR(VLOOKUP(表1[[#This Row],[8:image]],常量!J:N,5,FALSE),0),0)</f>
        <v>0</v>
      </c>
      <c r="E33">
        <v>1</v>
      </c>
      <c r="F33">
        <v>12</v>
      </c>
      <c r="G33" s="1" t="s">
        <v>40</v>
      </c>
      <c r="H33" s="17" t="s">
        <v>2683</v>
      </c>
      <c r="I33" s="17" t="s">
        <v>4289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customHeight="1">
      <c r="A34">
        <v>33</v>
      </c>
      <c r="B34">
        <f>IF(表1[[#This Row],[不调整offset]]="x",IFERROR(VLOOKUP(表1[[#This Row],[8:image]],常量!J:N,4,FALSE),0),0)</f>
        <v>0</v>
      </c>
      <c r="C34">
        <f>IF(表1[[#This Row],[不调整offset]]="x",IFERROR(VLOOKUP(表1[[#This Row],[8:image]],常量!J:N,5,FALSE),0),0)</f>
        <v>0</v>
      </c>
      <c r="E34">
        <v>1</v>
      </c>
      <c r="F34">
        <v>12</v>
      </c>
      <c r="G34" s="1" t="s">
        <v>41</v>
      </c>
      <c r="H34" s="17" t="s">
        <v>2684</v>
      </c>
      <c r="I34" s="19"/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IF(表1[[#This Row],[不调整offset]]="x",IFERROR(VLOOKUP(表1[[#This Row],[8:image]],常量!J:N,4,FALSE),0),0)</f>
        <v>0</v>
      </c>
      <c r="C35">
        <f>IF(表1[[#This Row],[不调整offset]]="x",IFERROR(VLOOKUP(表1[[#This Row],[8:image]],常量!J:N,5,FALSE),0),0)</f>
        <v>0</v>
      </c>
      <c r="E35">
        <v>1</v>
      </c>
      <c r="F35">
        <v>12</v>
      </c>
      <c r="G35" s="1" t="s">
        <v>42</v>
      </c>
      <c r="H35" s="17" t="s">
        <v>2685</v>
      </c>
      <c r="I35" s="19"/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IF(表1[[#This Row],[不调整offset]]="x",IFERROR(VLOOKUP(表1[[#This Row],[8:image]],常量!J:N,4,FALSE),0),0)</f>
        <v>0</v>
      </c>
      <c r="C36">
        <f>IF(表1[[#This Row],[不调整offset]]="x",IFERROR(VLOOKUP(表1[[#This Row],[8:image]],常量!J:N,5,FALSE),0),0)</f>
        <v>0</v>
      </c>
      <c r="E36">
        <v>1</v>
      </c>
      <c r="F36">
        <v>12</v>
      </c>
      <c r="G36" s="1" t="s">
        <v>43</v>
      </c>
      <c r="H36" s="17" t="s">
        <v>2686</v>
      </c>
      <c r="I36" s="19"/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IF(表1[[#This Row],[不调整offset]]="x",IFERROR(VLOOKUP(表1[[#This Row],[8:image]],常量!J:N,4,FALSE),0),0)</f>
        <v>0</v>
      </c>
      <c r="C37">
        <f>IF(表1[[#This Row],[不调整offset]]="x",IFERROR(VLOOKUP(表1[[#This Row],[8:image]],常量!J:N,5,FALSE),0),0)</f>
        <v>0</v>
      </c>
      <c r="E37">
        <v>1</v>
      </c>
      <c r="F37">
        <v>12</v>
      </c>
      <c r="G37" s="1" t="s">
        <v>44</v>
      </c>
      <c r="H37" s="17" t="s">
        <v>2687</v>
      </c>
      <c r="I37" s="19"/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customHeight="1">
      <c r="A38">
        <v>37</v>
      </c>
      <c r="B38">
        <f>IF(表1[[#This Row],[不调整offset]]="x",IFERROR(VLOOKUP(表1[[#This Row],[8:image]],常量!J:N,4,FALSE),0),0)</f>
        <v>0</v>
      </c>
      <c r="C38">
        <f>IF(表1[[#This Row],[不调整offset]]="x",IFERROR(VLOOKUP(表1[[#This Row],[8:image]],常量!J:N,5,FALSE),0),0)</f>
        <v>0</v>
      </c>
      <c r="E38">
        <v>1</v>
      </c>
      <c r="F38">
        <v>12</v>
      </c>
      <c r="G38" s="1" t="s">
        <v>45</v>
      </c>
      <c r="H38" s="17" t="s">
        <v>2688</v>
      </c>
      <c r="I38" s="19"/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customHeight="1">
      <c r="A39">
        <v>38</v>
      </c>
      <c r="B39">
        <f>IF(表1[[#This Row],[不调整offset]]="x",IFERROR(VLOOKUP(表1[[#This Row],[8:image]],常量!J:N,4,FALSE),0),0)</f>
        <v>0</v>
      </c>
      <c r="C39">
        <f>IF(表1[[#This Row],[不调整offset]]="x",IFERROR(VLOOKUP(表1[[#This Row],[8:image]],常量!J:N,5,FALSE),0),0)</f>
        <v>0</v>
      </c>
      <c r="E39">
        <v>1</v>
      </c>
      <c r="F39">
        <v>12</v>
      </c>
      <c r="G39" s="13" t="s">
        <v>46</v>
      </c>
      <c r="H39" s="16" t="s">
        <v>2689</v>
      </c>
      <c r="I39" s="19"/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customHeight="1">
      <c r="A40">
        <v>39</v>
      </c>
      <c r="B40">
        <f>IF(表1[[#This Row],[不调整offset]]="x",IFERROR(VLOOKUP(表1[[#This Row],[8:image]],常量!J:N,4,FALSE),0),0)</f>
        <v>0</v>
      </c>
      <c r="C40">
        <f>IF(表1[[#This Row],[不调整offset]]="x",IFERROR(VLOOKUP(表1[[#This Row],[8:image]],常量!J:N,5,FALSE),0),0)</f>
        <v>0</v>
      </c>
      <c r="E40">
        <v>1</v>
      </c>
      <c r="F40">
        <v>12</v>
      </c>
      <c r="G40" s="1" t="s">
        <v>47</v>
      </c>
      <c r="H40" s="17" t="s">
        <v>2690</v>
      </c>
      <c r="I40" s="19"/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customHeight="1">
      <c r="A41">
        <v>40</v>
      </c>
      <c r="B41">
        <f>IF(表1[[#This Row],[不调整offset]]="x",IFERROR(VLOOKUP(表1[[#This Row],[8:image]],常量!J:N,4,FALSE),0),0)</f>
        <v>0</v>
      </c>
      <c r="C41">
        <f>IF(表1[[#This Row],[不调整offset]]="x",IFERROR(VLOOKUP(表1[[#This Row],[8:image]],常量!J:N,5,FALSE),0),0)</f>
        <v>0</v>
      </c>
      <c r="E41">
        <v>1</v>
      </c>
      <c r="F41">
        <v>12</v>
      </c>
      <c r="G41" s="13" t="s">
        <v>48</v>
      </c>
      <c r="H41" s="16" t="s">
        <v>2691</v>
      </c>
      <c r="I41" s="19"/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customHeight="1">
      <c r="A42">
        <v>41</v>
      </c>
      <c r="B42">
        <f>IF(表1[[#This Row],[不调整offset]]="x",IFERROR(VLOOKUP(表1[[#This Row],[8:image]],常量!J:N,4,FALSE),0),0)</f>
        <v>0</v>
      </c>
      <c r="C42">
        <f>IF(表1[[#This Row],[不调整offset]]="x",IFERROR(VLOOKUP(表1[[#This Row],[8:image]],常量!J:N,5,FALSE),0),0)</f>
        <v>0</v>
      </c>
      <c r="E42">
        <v>1</v>
      </c>
      <c r="F42">
        <v>12</v>
      </c>
      <c r="G42" s="12" t="s">
        <v>49</v>
      </c>
      <c r="H42" s="17" t="s">
        <v>2692</v>
      </c>
      <c r="I42" s="19"/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customHeight="1">
      <c r="A43">
        <v>42</v>
      </c>
      <c r="B43">
        <f>IF(表1[[#This Row],[不调整offset]]="x",IFERROR(VLOOKUP(表1[[#This Row],[8:image]],常量!J:N,4,FALSE),0),0)</f>
        <v>0</v>
      </c>
      <c r="C43">
        <f>IF(表1[[#This Row],[不调整offset]]="x",IFERROR(VLOOKUP(表1[[#This Row],[8:image]],常量!J:N,5,FALSE),0),0)</f>
        <v>0</v>
      </c>
      <c r="E43">
        <v>1</v>
      </c>
      <c r="F43">
        <v>12</v>
      </c>
      <c r="G43" s="13" t="s">
        <v>50</v>
      </c>
      <c r="H43" s="16" t="s">
        <v>2693</v>
      </c>
      <c r="I43" s="19"/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customHeight="1">
      <c r="A44">
        <v>43</v>
      </c>
      <c r="B44">
        <f>IF(表1[[#This Row],[不调整offset]]="x",IFERROR(VLOOKUP(表1[[#This Row],[8:image]],常量!J:N,4,FALSE),0),0)</f>
        <v>0</v>
      </c>
      <c r="C44">
        <f>IF(表1[[#This Row],[不调整offset]]="x",IFERROR(VLOOKUP(表1[[#This Row],[8:image]],常量!J:N,5,FALSE),0),0)</f>
        <v>0</v>
      </c>
      <c r="E44">
        <v>1</v>
      </c>
      <c r="F44">
        <v>12</v>
      </c>
      <c r="G44" s="1" t="s">
        <v>51</v>
      </c>
      <c r="H44" s="17" t="s">
        <v>2694</v>
      </c>
      <c r="I44" s="19"/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customHeight="1">
      <c r="A45">
        <v>44</v>
      </c>
      <c r="B45">
        <f>IF(表1[[#This Row],[不调整offset]]="x",IFERROR(VLOOKUP(表1[[#This Row],[8:image]],常量!J:N,4,FALSE),0),0)</f>
        <v>0</v>
      </c>
      <c r="C45">
        <f>IF(表1[[#This Row],[不调整offset]]="x",IFERROR(VLOOKUP(表1[[#This Row],[8:image]],常量!J:N,5,FALSE),0),0)</f>
        <v>0</v>
      </c>
      <c r="E45">
        <v>1</v>
      </c>
      <c r="F45">
        <v>12</v>
      </c>
      <c r="G45" s="13" t="s">
        <v>52</v>
      </c>
      <c r="H45" s="16" t="s">
        <v>2695</v>
      </c>
      <c r="I45" s="19"/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customHeight="1">
      <c r="A46">
        <v>45</v>
      </c>
      <c r="B46">
        <f>IF(表1[[#This Row],[不调整offset]]="x",IFERROR(VLOOKUP(表1[[#This Row],[8:image]],常量!J:N,4,FALSE),0),0)</f>
        <v>0</v>
      </c>
      <c r="C46">
        <f>IF(表1[[#This Row],[不调整offset]]="x",IFERROR(VLOOKUP(表1[[#This Row],[8:image]],常量!J:N,5,FALSE),0),0)</f>
        <v>0</v>
      </c>
      <c r="E46">
        <v>1</v>
      </c>
      <c r="F46">
        <v>12</v>
      </c>
      <c r="G46" s="12" t="s">
        <v>53</v>
      </c>
      <c r="H46" s="17" t="s">
        <v>2696</v>
      </c>
      <c r="I46" s="19"/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customHeight="1">
      <c r="A47">
        <v>46</v>
      </c>
      <c r="B47">
        <f>IF(表1[[#This Row],[不调整offset]]="x",IFERROR(VLOOKUP(表1[[#This Row],[8:image]],常量!J:N,4,FALSE),0),0)</f>
        <v>0</v>
      </c>
      <c r="C47">
        <f>IF(表1[[#This Row],[不调整offset]]="x",IFERROR(VLOOKUP(表1[[#This Row],[8:image]],常量!J:N,5,FALSE),0),0)</f>
        <v>0</v>
      </c>
      <c r="E47">
        <v>1</v>
      </c>
      <c r="F47">
        <v>12</v>
      </c>
      <c r="G47" s="13" t="s">
        <v>54</v>
      </c>
      <c r="H47" s="16" t="s">
        <v>2697</v>
      </c>
      <c r="I47" s="19"/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customHeight="1">
      <c r="A48">
        <v>47</v>
      </c>
      <c r="B48">
        <f>IF(表1[[#This Row],[不调整offset]]="x",IFERROR(VLOOKUP(表1[[#This Row],[8:image]],常量!J:N,4,FALSE),0),0)</f>
        <v>0</v>
      </c>
      <c r="C48">
        <f>IF(表1[[#This Row],[不调整offset]]="x",IFERROR(VLOOKUP(表1[[#This Row],[8:image]],常量!J:N,5,FALSE),0),0)</f>
        <v>0</v>
      </c>
      <c r="E48" t="s">
        <v>2587</v>
      </c>
      <c r="F48">
        <v>6</v>
      </c>
      <c r="G48" s="8" t="s">
        <v>55</v>
      </c>
      <c r="H48" s="16" t="s">
        <v>2698</v>
      </c>
      <c r="I48" s="19"/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customHeight="1">
      <c r="A49">
        <v>48</v>
      </c>
      <c r="B49">
        <f>IF(表1[[#This Row],[不调整offset]]="x",IFERROR(VLOOKUP(表1[[#This Row],[8:image]],常量!J:N,4,FALSE),0),0)</f>
        <v>0</v>
      </c>
      <c r="C49">
        <f>IF(表1[[#This Row],[不调整offset]]="x",IFERROR(VLOOKUP(表1[[#This Row],[8:image]],常量!J:N,5,FALSE),0),0)</f>
        <v>0</v>
      </c>
      <c r="E49" t="s">
        <v>2587</v>
      </c>
      <c r="F49">
        <v>6</v>
      </c>
      <c r="G49" s="8" t="s">
        <v>56</v>
      </c>
      <c r="H49" s="16" t="s">
        <v>2699</v>
      </c>
      <c r="I49" s="19"/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customHeight="1">
      <c r="A50">
        <v>49</v>
      </c>
      <c r="B50">
        <f>IF(表1[[#This Row],[不调整offset]]="x",IFERROR(VLOOKUP(表1[[#This Row],[8:image]],常量!J:N,4,FALSE),0),0)</f>
        <v>0</v>
      </c>
      <c r="C50">
        <f>IF(表1[[#This Row],[不调整offset]]="x",IFERROR(VLOOKUP(表1[[#This Row],[8:image]],常量!J:N,5,FALSE),0),0)</f>
        <v>0</v>
      </c>
      <c r="E50" t="s">
        <v>2587</v>
      </c>
      <c r="F50">
        <v>6</v>
      </c>
      <c r="G50" s="1" t="s">
        <v>57</v>
      </c>
      <c r="H50" s="16" t="s">
        <v>2700</v>
      </c>
      <c r="I50" s="19"/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0" t="s">
        <v>1400</v>
      </c>
      <c r="P50" s="5"/>
    </row>
    <row r="51" spans="1:16" ht="14.25" customHeight="1">
      <c r="A51">
        <v>50</v>
      </c>
      <c r="B51">
        <f>IF(表1[[#This Row],[不调整offset]]="x",IFERROR(VLOOKUP(表1[[#This Row],[8:image]],常量!J:N,4,FALSE),0),0)</f>
        <v>6.25</v>
      </c>
      <c r="C51">
        <f>IF(表1[[#This Row],[不调整offset]]="x",IFERROR(VLOOKUP(表1[[#This Row],[8:image]],常量!J:N,5,FALSE),0),0)</f>
        <v>3.25</v>
      </c>
      <c r="E51" t="s">
        <v>2587</v>
      </c>
      <c r="F51">
        <v>6</v>
      </c>
      <c r="G51" s="1" t="s">
        <v>58</v>
      </c>
      <c r="H51" s="17" t="s">
        <v>2701</v>
      </c>
      <c r="I51" s="19"/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1400</v>
      </c>
      <c r="P51" s="5"/>
    </row>
    <row r="52" spans="1:16" ht="14.25" customHeight="1">
      <c r="A52">
        <v>51</v>
      </c>
      <c r="B52">
        <f>IF(表1[[#This Row],[不调整offset]]="x",IFERROR(VLOOKUP(表1[[#This Row],[8:image]],常量!J:N,4,FALSE),0),0)</f>
        <v>7.75</v>
      </c>
      <c r="C52">
        <f>IF(表1[[#This Row],[不调整offset]]="x",IFERROR(VLOOKUP(表1[[#This Row],[8:image]],常量!J:N,5,FALSE),0),0)</f>
        <v>3.25</v>
      </c>
      <c r="E52" t="s">
        <v>2587</v>
      </c>
      <c r="F52">
        <v>6</v>
      </c>
      <c r="G52" s="1" t="s">
        <v>59</v>
      </c>
      <c r="H52" s="17" t="s">
        <v>2702</v>
      </c>
      <c r="I52" s="19"/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1400</v>
      </c>
      <c r="P52" s="5"/>
    </row>
    <row r="53" spans="1:16" ht="14.25" customHeight="1">
      <c r="A53">
        <v>52</v>
      </c>
      <c r="B53">
        <f>IF(表1[[#This Row],[不调整offset]]="x",IFERROR(VLOOKUP(表1[[#This Row],[8:image]],常量!J:N,4,FALSE),0),0)</f>
        <v>7.75</v>
      </c>
      <c r="C53">
        <f>IF(表1[[#This Row],[不调整offset]]="x",IFERROR(VLOOKUP(表1[[#This Row],[8:image]],常量!J:N,5,FALSE),0),0)</f>
        <v>3.25</v>
      </c>
      <c r="E53" t="s">
        <v>2587</v>
      </c>
      <c r="F53">
        <v>6</v>
      </c>
      <c r="G53" s="1" t="s">
        <v>60</v>
      </c>
      <c r="H53" s="17" t="s">
        <v>2703</v>
      </c>
      <c r="I53" s="19"/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1400</v>
      </c>
      <c r="P53" s="5"/>
    </row>
    <row r="54" spans="1:16" ht="14.25" customHeight="1">
      <c r="A54">
        <v>53</v>
      </c>
      <c r="B54">
        <f>IF(表1[[#This Row],[不调整offset]]="x",IFERROR(VLOOKUP(表1[[#This Row],[8:image]],常量!J:N,4,FALSE),0),0)</f>
        <v>7.75</v>
      </c>
      <c r="C54">
        <f>IF(表1[[#This Row],[不调整offset]]="x",IFERROR(VLOOKUP(表1[[#This Row],[8:image]],常量!J:N,5,FALSE),0),0)</f>
        <v>3.25</v>
      </c>
      <c r="E54" t="s">
        <v>2587</v>
      </c>
      <c r="F54">
        <v>6</v>
      </c>
      <c r="G54" s="1" t="s">
        <v>61</v>
      </c>
      <c r="H54" s="17" t="s">
        <v>2704</v>
      </c>
      <c r="I54" s="19"/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1400</v>
      </c>
      <c r="P54" s="5"/>
    </row>
    <row r="55" spans="1:16" ht="14.25" customHeight="1">
      <c r="A55">
        <v>54</v>
      </c>
      <c r="B55">
        <f>IF(表1[[#This Row],[不调整offset]]="x",IFERROR(VLOOKUP(表1[[#This Row],[8:image]],常量!J:N,4,FALSE),0),0)</f>
        <v>7.75</v>
      </c>
      <c r="C55">
        <f>IF(表1[[#This Row],[不调整offset]]="x",IFERROR(VLOOKUP(表1[[#This Row],[8:image]],常量!J:N,5,FALSE),0),0)</f>
        <v>3.25</v>
      </c>
      <c r="E55" t="s">
        <v>2587</v>
      </c>
      <c r="F55">
        <v>6</v>
      </c>
      <c r="G55" s="1" t="s">
        <v>62</v>
      </c>
      <c r="H55" s="17" t="s">
        <v>2705</v>
      </c>
      <c r="I55" s="19"/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1400</v>
      </c>
      <c r="P55" s="5"/>
    </row>
    <row r="56" spans="1:16" ht="14.25" customHeight="1">
      <c r="A56">
        <v>55</v>
      </c>
      <c r="B56">
        <f>IF(表1[[#This Row],[不调整offset]]="x",IFERROR(VLOOKUP(表1[[#This Row],[8:image]],常量!J:N,4,FALSE),0),0)</f>
        <v>6.25</v>
      </c>
      <c r="C56">
        <f>IF(表1[[#This Row],[不调整offset]]="x",IFERROR(VLOOKUP(表1[[#This Row],[8:image]],常量!J:N,5,FALSE),0),0)</f>
        <v>3.25</v>
      </c>
      <c r="E56" t="s">
        <v>2587</v>
      </c>
      <c r="F56">
        <v>6</v>
      </c>
      <c r="G56" s="1" t="s">
        <v>63</v>
      </c>
      <c r="H56" s="17" t="s">
        <v>2706</v>
      </c>
      <c r="I56" s="19"/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1400</v>
      </c>
      <c r="P56" s="5"/>
    </row>
    <row r="57" spans="1:16" ht="14.25" customHeight="1">
      <c r="A57">
        <v>56</v>
      </c>
      <c r="B57">
        <f>IF(表1[[#This Row],[不调整offset]]="x",IFERROR(VLOOKUP(表1[[#This Row],[8:image]],常量!J:N,4,FALSE),0),0)</f>
        <v>6.25</v>
      </c>
      <c r="C57">
        <f>IF(表1[[#This Row],[不调整offset]]="x",IFERROR(VLOOKUP(表1[[#This Row],[8:image]],常量!J:N,5,FALSE),0),0)</f>
        <v>3.25</v>
      </c>
      <c r="E57" t="s">
        <v>2587</v>
      </c>
      <c r="F57">
        <v>6</v>
      </c>
      <c r="G57" s="1" t="s">
        <v>64</v>
      </c>
      <c r="H57" s="17" t="s">
        <v>2707</v>
      </c>
      <c r="I57" s="19"/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1400</v>
      </c>
      <c r="P57" s="5"/>
    </row>
    <row r="58" spans="1:16" ht="14.25" customHeight="1">
      <c r="A58">
        <v>57</v>
      </c>
      <c r="B58">
        <f>IF(表1[[#This Row],[不调整offset]]="x",IFERROR(VLOOKUP(表1[[#This Row],[8:image]],常量!J:N,4,FALSE),0),0)</f>
        <v>9.25</v>
      </c>
      <c r="C58">
        <f>IF(表1[[#This Row],[不调整offset]]="x",IFERROR(VLOOKUP(表1[[#This Row],[8:image]],常量!J:N,5,FALSE),0),0)</f>
        <v>3.25</v>
      </c>
      <c r="E58" t="s">
        <v>2587</v>
      </c>
      <c r="F58">
        <v>6</v>
      </c>
      <c r="G58" s="1" t="s">
        <v>65</v>
      </c>
      <c r="H58" s="17" t="s">
        <v>2708</v>
      </c>
      <c r="I58" s="19"/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1400</v>
      </c>
      <c r="P58" s="5"/>
    </row>
    <row r="59" spans="1:16" ht="14.25" customHeight="1">
      <c r="A59">
        <v>58</v>
      </c>
      <c r="B59">
        <f>IF(表1[[#This Row],[不调整offset]]="x",IFERROR(VLOOKUP(表1[[#This Row],[8:image]],常量!J:N,4,FALSE),0),0)</f>
        <v>6.25</v>
      </c>
      <c r="C59">
        <f>IF(表1[[#This Row],[不调整offset]]="x",IFERROR(VLOOKUP(表1[[#This Row],[8:image]],常量!J:N,5,FALSE),0),0)</f>
        <v>3.25</v>
      </c>
      <c r="E59" t="s">
        <v>2587</v>
      </c>
      <c r="F59">
        <v>6</v>
      </c>
      <c r="G59" s="1" t="s">
        <v>66</v>
      </c>
      <c r="H59" s="17" t="s">
        <v>2709</v>
      </c>
      <c r="I59" s="19"/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1400</v>
      </c>
      <c r="P59" s="5"/>
    </row>
    <row r="60" spans="1:16" ht="14.25" customHeight="1">
      <c r="A60">
        <v>59</v>
      </c>
      <c r="B60">
        <f>IF(表1[[#This Row],[不调整offset]]="x",IFERROR(VLOOKUP(表1[[#This Row],[8:image]],常量!J:N,4,FALSE),0),0)</f>
        <v>15.25</v>
      </c>
      <c r="C60">
        <f>IF(表1[[#This Row],[不调整offset]]="x",IFERROR(VLOOKUP(表1[[#This Row],[8:image]],常量!J:N,5,FALSE),0),0)</f>
        <v>3.25</v>
      </c>
      <c r="E60" t="s">
        <v>2587</v>
      </c>
      <c r="F60">
        <v>6</v>
      </c>
      <c r="G60" s="1" t="s">
        <v>67</v>
      </c>
      <c r="H60" s="17" t="s">
        <v>2710</v>
      </c>
      <c r="I60" s="19"/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1400</v>
      </c>
      <c r="P60" s="5"/>
    </row>
    <row r="61" spans="1:16" ht="14.25" customHeight="1">
      <c r="A61">
        <v>60</v>
      </c>
      <c r="B61">
        <f>IF(表1[[#This Row],[不调整offset]]="x",IFERROR(VLOOKUP(表1[[#This Row],[8:image]],常量!J:N,4,FALSE),0),0)</f>
        <v>18.25</v>
      </c>
      <c r="C61">
        <f>IF(表1[[#This Row],[不调整offset]]="x",IFERROR(VLOOKUP(表1[[#This Row],[8:image]],常量!J:N,5,FALSE),0),0)</f>
        <v>3.25</v>
      </c>
      <c r="E61" t="s">
        <v>2587</v>
      </c>
      <c r="F61">
        <v>6</v>
      </c>
      <c r="G61" s="1" t="s">
        <v>68</v>
      </c>
      <c r="H61" s="17" t="s">
        <v>2711</v>
      </c>
      <c r="I61" s="19"/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1400</v>
      </c>
      <c r="P61" s="5"/>
    </row>
    <row r="62" spans="1:16" ht="14.25" customHeight="1">
      <c r="A62">
        <v>61</v>
      </c>
      <c r="B62">
        <f>IF(表1[[#This Row],[不调整offset]]="x",IFERROR(VLOOKUP(表1[[#This Row],[8:image]],常量!J:N,4,FALSE),0),0)</f>
        <v>15.25</v>
      </c>
      <c r="C62">
        <f>IF(表1[[#This Row],[不调整offset]]="x",IFERROR(VLOOKUP(表1[[#This Row],[8:image]],常量!J:N,5,FALSE),0),0)</f>
        <v>3.25</v>
      </c>
      <c r="E62" t="s">
        <v>2587</v>
      </c>
      <c r="F62">
        <v>6</v>
      </c>
      <c r="G62" s="1" t="s">
        <v>69</v>
      </c>
      <c r="H62" s="17" t="s">
        <v>2712</v>
      </c>
      <c r="I62" s="19"/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1400</v>
      </c>
      <c r="P62" s="5"/>
    </row>
    <row r="63" spans="1:16" ht="14.25" customHeight="1">
      <c r="A63">
        <v>62</v>
      </c>
      <c r="B63">
        <f>IF(表1[[#This Row],[不调整offset]]="x",IFERROR(VLOOKUP(表1[[#This Row],[8:image]],常量!J:N,4,FALSE),0),0)</f>
        <v>18.25</v>
      </c>
      <c r="C63">
        <f>IF(表1[[#This Row],[不调整offset]]="x",IFERROR(VLOOKUP(表1[[#This Row],[8:image]],常量!J:N,5,FALSE),0),0)</f>
        <v>3.25</v>
      </c>
      <c r="E63" t="s">
        <v>2587</v>
      </c>
      <c r="F63">
        <v>6</v>
      </c>
      <c r="G63" s="1" t="s">
        <v>70</v>
      </c>
      <c r="H63" s="17" t="s">
        <v>2713</v>
      </c>
      <c r="I63" s="19"/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1400</v>
      </c>
      <c r="P63" s="5"/>
    </row>
    <row r="64" spans="1:16" ht="14.25" customHeight="1">
      <c r="A64">
        <v>63</v>
      </c>
      <c r="B64">
        <f>IF(表1[[#This Row],[不调整offset]]="x",IFERROR(VLOOKUP(表1[[#This Row],[8:image]],常量!J:N,4,FALSE),0),0)</f>
        <v>15.25</v>
      </c>
      <c r="C64">
        <f>IF(表1[[#This Row],[不调整offset]]="x",IFERROR(VLOOKUP(表1[[#This Row],[8:image]],常量!J:N,5,FALSE),0),0)</f>
        <v>3.25</v>
      </c>
      <c r="E64" t="s">
        <v>2587</v>
      </c>
      <c r="F64">
        <v>6</v>
      </c>
      <c r="G64" s="1" t="s">
        <v>71</v>
      </c>
      <c r="H64" s="17" t="s">
        <v>2714</v>
      </c>
      <c r="I64" s="19"/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1400</v>
      </c>
      <c r="P64" s="5"/>
    </row>
    <row r="65" spans="1:16" ht="14.25" customHeight="1">
      <c r="A65">
        <v>64</v>
      </c>
      <c r="B65">
        <f>IF(表1[[#This Row],[不调整offset]]="x",IFERROR(VLOOKUP(表1[[#This Row],[8:image]],常量!J:N,4,FALSE),0),0)</f>
        <v>12.25</v>
      </c>
      <c r="C65">
        <f>IF(表1[[#This Row],[不调整offset]]="x",IFERROR(VLOOKUP(表1[[#This Row],[8:image]],常量!J:N,5,FALSE),0),0)</f>
        <v>3.25</v>
      </c>
      <c r="E65" t="s">
        <v>2587</v>
      </c>
      <c r="F65">
        <v>6</v>
      </c>
      <c r="G65" s="1" t="s">
        <v>72</v>
      </c>
      <c r="H65" s="17" t="s">
        <v>2715</v>
      </c>
      <c r="I65" s="19"/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1400</v>
      </c>
      <c r="P65" s="5"/>
    </row>
    <row r="66" spans="1:16" ht="14.25" customHeight="1">
      <c r="A66">
        <v>65</v>
      </c>
      <c r="B66">
        <f>IF(表1[[#This Row],[不调整offset]]="x",IFERROR(VLOOKUP(表1[[#This Row],[8:image]],常量!J:N,4,FALSE),0),0)</f>
        <v>12.25</v>
      </c>
      <c r="C66">
        <f>IF(表1[[#This Row],[不调整offset]]="x",IFERROR(VLOOKUP(表1[[#This Row],[8:image]],常量!J:N,5,FALSE),0),0)</f>
        <v>3.25</v>
      </c>
      <c r="E66" t="s">
        <v>2587</v>
      </c>
      <c r="F66">
        <v>6</v>
      </c>
      <c r="G66" s="1" t="s">
        <v>73</v>
      </c>
      <c r="H66" s="17" t="s">
        <v>2716</v>
      </c>
      <c r="I66" s="19"/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1400</v>
      </c>
      <c r="P66" s="5"/>
    </row>
    <row r="67" spans="1:16" ht="14.25" customHeight="1">
      <c r="A67">
        <v>66</v>
      </c>
      <c r="B67">
        <f>IF(表1[[#This Row],[不调整offset]]="x",IFERROR(VLOOKUP(表1[[#This Row],[8:image]],常量!J:N,4,FALSE),0),0)</f>
        <v>12.25</v>
      </c>
      <c r="C67">
        <f>IF(表1[[#This Row],[不调整offset]]="x",IFERROR(VLOOKUP(表1[[#This Row],[8:image]],常量!J:N,5,FALSE),0),0)</f>
        <v>3.25</v>
      </c>
      <c r="E67" t="s">
        <v>2587</v>
      </c>
      <c r="F67">
        <v>6</v>
      </c>
      <c r="G67" s="1" t="s">
        <v>74</v>
      </c>
      <c r="H67" s="17" t="s">
        <v>2717</v>
      </c>
      <c r="I67" s="19"/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1400</v>
      </c>
      <c r="P67" s="5"/>
    </row>
    <row r="68" spans="1:16" ht="14.25" customHeight="1">
      <c r="A68">
        <v>67</v>
      </c>
      <c r="B68">
        <f>IF(表1[[#This Row],[不调整offset]]="x",IFERROR(VLOOKUP(表1[[#This Row],[8:image]],常量!J:N,4,FALSE),0),0)</f>
        <v>28.75</v>
      </c>
      <c r="C68">
        <f>IF(表1[[#This Row],[不调整offset]]="x",IFERROR(VLOOKUP(表1[[#This Row],[8:image]],常量!J:N,5,FALSE),0),0)</f>
        <v>3.25</v>
      </c>
      <c r="E68" t="s">
        <v>2587</v>
      </c>
      <c r="F68">
        <v>6</v>
      </c>
      <c r="G68" s="1" t="s">
        <v>75</v>
      </c>
      <c r="H68" s="17" t="s">
        <v>2718</v>
      </c>
      <c r="I68" s="19"/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1400</v>
      </c>
      <c r="P68" s="5"/>
    </row>
    <row r="69" spans="1:16" ht="14.25" customHeight="1">
      <c r="A69">
        <v>68</v>
      </c>
      <c r="B69">
        <f>IF(表1[[#This Row],[不调整offset]]="x",IFERROR(VLOOKUP(表1[[#This Row],[8:image]],常量!J:N,4,FALSE),0),0)</f>
        <v>28.75</v>
      </c>
      <c r="C69">
        <f>IF(表1[[#This Row],[不调整offset]]="x",IFERROR(VLOOKUP(表1[[#This Row],[8:image]],常量!J:N,5,FALSE),0),0)</f>
        <v>3.25</v>
      </c>
      <c r="E69" t="s">
        <v>2587</v>
      </c>
      <c r="F69">
        <v>6</v>
      </c>
      <c r="G69" s="1" t="s">
        <v>76</v>
      </c>
      <c r="H69" s="17" t="s">
        <v>2719</v>
      </c>
      <c r="I69" s="19"/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1400</v>
      </c>
      <c r="P69" s="5"/>
    </row>
    <row r="70" spans="1:16" ht="14.25" customHeight="1">
      <c r="A70">
        <v>69</v>
      </c>
      <c r="B70">
        <f>IF(表1[[#This Row],[不调整offset]]="x",IFERROR(VLOOKUP(表1[[#This Row],[8:image]],常量!J:N,4,FALSE),0),0)</f>
        <v>28.75</v>
      </c>
      <c r="C70">
        <f>IF(表1[[#This Row],[不调整offset]]="x",IFERROR(VLOOKUP(表1[[#This Row],[8:image]],常量!J:N,5,FALSE),0),0)</f>
        <v>3.25</v>
      </c>
      <c r="E70" t="s">
        <v>2587</v>
      </c>
      <c r="F70">
        <v>6</v>
      </c>
      <c r="G70" s="1" t="s">
        <v>77</v>
      </c>
      <c r="H70" s="17" t="s">
        <v>2720</v>
      </c>
      <c r="I70" s="19"/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1400</v>
      </c>
      <c r="P70" s="5"/>
    </row>
    <row r="71" spans="1:16" ht="14.25" customHeight="1">
      <c r="A71">
        <v>70</v>
      </c>
      <c r="B71">
        <f>IF(表1[[#This Row],[不调整offset]]="x",IFERROR(VLOOKUP(表1[[#This Row],[8:image]],常量!J:N,4,FALSE),0),0)</f>
        <v>28.75</v>
      </c>
      <c r="C71">
        <f>IF(表1[[#This Row],[不调整offset]]="x",IFERROR(VLOOKUP(表1[[#This Row],[8:image]],常量!J:N,5,FALSE),0),0)</f>
        <v>3.25</v>
      </c>
      <c r="E71" t="s">
        <v>2587</v>
      </c>
      <c r="F71">
        <v>6</v>
      </c>
      <c r="G71" s="1" t="s">
        <v>78</v>
      </c>
      <c r="H71" s="17" t="s">
        <v>2721</v>
      </c>
      <c r="I71" s="19"/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1400</v>
      </c>
      <c r="P71" s="5"/>
    </row>
    <row r="72" spans="1:16" ht="14.25" customHeight="1">
      <c r="A72">
        <v>71</v>
      </c>
      <c r="B72">
        <f>IF(表1[[#This Row],[不调整offset]]="x",IFERROR(VLOOKUP(表1[[#This Row],[8:image]],常量!J:N,4,FALSE),0),0)</f>
        <v>28.75</v>
      </c>
      <c r="C72">
        <f>IF(表1[[#This Row],[不调整offset]]="x",IFERROR(VLOOKUP(表1[[#This Row],[8:image]],常量!J:N,5,FALSE),0),0)</f>
        <v>3.25</v>
      </c>
      <c r="E72" t="s">
        <v>2587</v>
      </c>
      <c r="F72">
        <v>6</v>
      </c>
      <c r="G72" s="1" t="s">
        <v>79</v>
      </c>
      <c r="H72" s="17" t="s">
        <v>2722</v>
      </c>
      <c r="I72" s="19"/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1400</v>
      </c>
      <c r="P72" s="5"/>
    </row>
    <row r="73" spans="1:16" ht="14.25" customHeight="1">
      <c r="A73">
        <v>72</v>
      </c>
      <c r="B73">
        <f>IF(表1[[#This Row],[不调整offset]]="x",IFERROR(VLOOKUP(表1[[#This Row],[8:image]],常量!J:N,4,FALSE),0),0)</f>
        <v>28.75</v>
      </c>
      <c r="C73">
        <f>IF(表1[[#This Row],[不调整offset]]="x",IFERROR(VLOOKUP(表1[[#This Row],[8:image]],常量!J:N,5,FALSE),0),0)</f>
        <v>3.25</v>
      </c>
      <c r="E73" t="s">
        <v>2587</v>
      </c>
      <c r="F73">
        <v>6</v>
      </c>
      <c r="G73" s="1" t="s">
        <v>80</v>
      </c>
      <c r="H73" s="17" t="s">
        <v>2723</v>
      </c>
      <c r="I73" s="19"/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1400</v>
      </c>
      <c r="P73" s="5"/>
    </row>
    <row r="74" spans="1:16" ht="14.25" customHeight="1">
      <c r="A74">
        <v>73</v>
      </c>
      <c r="B74">
        <f>IF(表1[[#This Row],[不调整offset]]="x",IFERROR(VLOOKUP(表1[[#This Row],[8:image]],常量!J:N,4,FALSE),0),0)</f>
        <v>15.25</v>
      </c>
      <c r="C74">
        <f>IF(表1[[#This Row],[不调整offset]]="x",IFERROR(VLOOKUP(表1[[#This Row],[8:image]],常量!J:N,5,FALSE),0),0)</f>
        <v>3.25</v>
      </c>
      <c r="E74" t="s">
        <v>2587</v>
      </c>
      <c r="F74">
        <v>6</v>
      </c>
      <c r="G74" s="1" t="s">
        <v>81</v>
      </c>
      <c r="H74" s="17" t="s">
        <v>2724</v>
      </c>
      <c r="I74" s="19"/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O74" t="s">
        <v>1400</v>
      </c>
      <c r="P74" s="5"/>
    </row>
    <row r="75" spans="1:16" ht="14.25" customHeight="1">
      <c r="A75">
        <v>74</v>
      </c>
      <c r="B75">
        <f>IF(表1[[#This Row],[不调整offset]]="x",IFERROR(VLOOKUP(表1[[#This Row],[8:image]],常量!J:N,4,FALSE),0),0)</f>
        <v>34.75</v>
      </c>
      <c r="C75">
        <f>IF(表1[[#This Row],[不调整offset]]="x",IFERROR(VLOOKUP(表1[[#This Row],[8:image]],常量!J:N,5,FALSE),0),0)</f>
        <v>3.25</v>
      </c>
      <c r="E75" t="s">
        <v>2587</v>
      </c>
      <c r="F75">
        <v>6</v>
      </c>
      <c r="G75" s="1" t="s">
        <v>82</v>
      </c>
      <c r="H75" s="17" t="s">
        <v>2725</v>
      </c>
      <c r="I75" s="19"/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1400</v>
      </c>
      <c r="P75" s="5"/>
    </row>
    <row r="76" spans="1:16" ht="14.25" customHeight="1">
      <c r="A76">
        <v>75</v>
      </c>
      <c r="B76">
        <f>IF(表1[[#This Row],[不调整offset]]="x",IFERROR(VLOOKUP(表1[[#This Row],[8:image]],常量!J:N,4,FALSE),0),0)</f>
        <v>39.25</v>
      </c>
      <c r="C76">
        <f>IF(表1[[#This Row],[不调整offset]]="x",IFERROR(VLOOKUP(表1[[#This Row],[8:image]],常量!J:N,5,FALSE),0),0)</f>
        <v>3.25</v>
      </c>
      <c r="E76" t="s">
        <v>2587</v>
      </c>
      <c r="F76">
        <v>6</v>
      </c>
      <c r="G76" s="1" t="s">
        <v>83</v>
      </c>
      <c r="H76" s="17" t="s">
        <v>2726</v>
      </c>
      <c r="I76" s="19"/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1400</v>
      </c>
      <c r="P76" s="5"/>
    </row>
    <row r="77" spans="1:16" ht="14.25" customHeight="1">
      <c r="A77">
        <v>76</v>
      </c>
      <c r="B77">
        <f>IF(表1[[#This Row],[不调整offset]]="x",IFERROR(VLOOKUP(表1[[#This Row],[8:image]],常量!J:N,4,FALSE),0),0)</f>
        <v>9.25</v>
      </c>
      <c r="C77">
        <f>IF(表1[[#This Row],[不调整offset]]="x",IFERROR(VLOOKUP(表1[[#This Row],[8:image]],常量!J:N,5,FALSE),0),0)</f>
        <v>3.25</v>
      </c>
      <c r="E77" t="s">
        <v>2587</v>
      </c>
      <c r="F77">
        <v>6</v>
      </c>
      <c r="G77" s="1" t="s">
        <v>1380</v>
      </c>
      <c r="H77" s="17" t="s">
        <v>2727</v>
      </c>
      <c r="I77" s="19"/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1400</v>
      </c>
      <c r="P77" s="5"/>
    </row>
    <row r="78" spans="1:16" ht="14.25" customHeight="1">
      <c r="A78">
        <v>77</v>
      </c>
      <c r="B78">
        <f>IF(表1[[#This Row],[不调整offset]]="x",IFERROR(VLOOKUP(表1[[#This Row],[8:image]],常量!J:N,4,FALSE),0),0)</f>
        <v>12.25</v>
      </c>
      <c r="C78">
        <f>IF(表1[[#This Row],[不调整offset]]="x",IFERROR(VLOOKUP(表1[[#This Row],[8:image]],常量!J:N,5,FALSE),0),0)</f>
        <v>3.25</v>
      </c>
      <c r="E78" t="s">
        <v>2587</v>
      </c>
      <c r="F78">
        <v>6</v>
      </c>
      <c r="G78" s="1" t="s">
        <v>84</v>
      </c>
      <c r="H78" s="17" t="s">
        <v>2728</v>
      </c>
      <c r="I78" s="19"/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1400</v>
      </c>
      <c r="P78" s="5"/>
    </row>
    <row r="79" spans="1:16" ht="14.25" customHeight="1">
      <c r="A79">
        <v>78</v>
      </c>
      <c r="B79">
        <f>IF(表1[[#This Row],[不调整offset]]="x",IFERROR(VLOOKUP(表1[[#This Row],[8:image]],常量!J:N,4,FALSE),0),0)</f>
        <v>33.25</v>
      </c>
      <c r="C79">
        <f>IF(表1[[#This Row],[不调整offset]]="x",IFERROR(VLOOKUP(表1[[#This Row],[8:image]],常量!J:N,5,FALSE),0),0)</f>
        <v>3.25</v>
      </c>
      <c r="E79" t="s">
        <v>2587</v>
      </c>
      <c r="F79">
        <v>6</v>
      </c>
      <c r="G79" s="1" t="s">
        <v>85</v>
      </c>
      <c r="H79" s="17" t="s">
        <v>2729</v>
      </c>
      <c r="I79" s="19"/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1400</v>
      </c>
      <c r="P79" s="5"/>
    </row>
    <row r="80" spans="1:16" ht="14.25" customHeight="1">
      <c r="A80">
        <v>79</v>
      </c>
      <c r="B80">
        <f>IF(表1[[#This Row],[不调整offset]]="x",IFERROR(VLOOKUP(表1[[#This Row],[8:image]],常量!J:N,4,FALSE),0),0)</f>
        <v>0</v>
      </c>
      <c r="C80">
        <f>IF(表1[[#This Row],[不调整offset]]="x",IFERROR(VLOOKUP(表1[[#This Row],[8:image]],常量!J:N,5,FALSE),0),0)</f>
        <v>0</v>
      </c>
      <c r="E80" t="s">
        <v>2587</v>
      </c>
      <c r="F80">
        <v>6</v>
      </c>
      <c r="G80" s="8" t="s">
        <v>86</v>
      </c>
      <c r="H80" s="16" t="s">
        <v>2730</v>
      </c>
      <c r="I80" s="19"/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customHeight="1">
      <c r="A81">
        <v>80</v>
      </c>
      <c r="B81">
        <f>IF(表1[[#This Row],[不调整offset]]="x",IFERROR(VLOOKUP(表1[[#This Row],[8:image]],常量!J:N,4,FALSE),0),0)</f>
        <v>0</v>
      </c>
      <c r="C81">
        <f>IF(表1[[#This Row],[不调整offset]]="x",IFERROR(VLOOKUP(表1[[#This Row],[8:image]],常量!J:N,5,FALSE),0),0)</f>
        <v>0</v>
      </c>
      <c r="E81" t="s">
        <v>2587</v>
      </c>
      <c r="F81">
        <v>6</v>
      </c>
      <c r="G81" s="8" t="s">
        <v>87</v>
      </c>
      <c r="H81" s="16" t="s">
        <v>2731</v>
      </c>
      <c r="I81" s="19"/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customHeight="1">
      <c r="A82">
        <v>81</v>
      </c>
      <c r="B82">
        <f>IF(表1[[#This Row],[不调整offset]]="x",IFERROR(VLOOKUP(表1[[#This Row],[8:image]],常量!J:N,4,FALSE),0),0)</f>
        <v>12.25</v>
      </c>
      <c r="C82">
        <f>IF(表1[[#This Row],[不调整offset]]="x",IFERROR(VLOOKUP(表1[[#This Row],[8:image]],常量!J:N,5,FALSE),0),0)</f>
        <v>3.25</v>
      </c>
      <c r="E82" t="s">
        <v>2587</v>
      </c>
      <c r="F82">
        <v>6</v>
      </c>
      <c r="G82" s="1" t="s">
        <v>88</v>
      </c>
      <c r="H82" s="17" t="s">
        <v>2732</v>
      </c>
      <c r="I82" s="19"/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1400</v>
      </c>
      <c r="P82" s="5"/>
    </row>
    <row r="83" spans="1:16" ht="14.25" customHeight="1">
      <c r="A83">
        <v>82</v>
      </c>
      <c r="B83">
        <f>IF(表1[[#This Row],[不调整offset]]="x",IFERROR(VLOOKUP(表1[[#This Row],[8:image]],常量!J:N,4,FALSE),0),0)</f>
        <v>28.75</v>
      </c>
      <c r="C83">
        <f>IF(表1[[#This Row],[不调整offset]]="x",IFERROR(VLOOKUP(表1[[#This Row],[8:image]],常量!J:N,5,FALSE),0),0)</f>
        <v>3.25</v>
      </c>
      <c r="E83" t="s">
        <v>2587</v>
      </c>
      <c r="F83">
        <v>6</v>
      </c>
      <c r="G83" s="1" t="s">
        <v>89</v>
      </c>
      <c r="H83" s="17" t="s">
        <v>2733</v>
      </c>
      <c r="I83" s="19"/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customHeight="1">
      <c r="A84">
        <v>83</v>
      </c>
      <c r="B84">
        <f>IF(表1[[#This Row],[不调整offset]]="x",IFERROR(VLOOKUP(表1[[#This Row],[8:image]],常量!J:N,4,FALSE),0),0)</f>
        <v>0</v>
      </c>
      <c r="C84">
        <f>IF(表1[[#This Row],[不调整offset]]="x",IFERROR(VLOOKUP(表1[[#This Row],[8:image]],常量!J:N,5,FALSE),0),0)</f>
        <v>0</v>
      </c>
      <c r="E84" t="s">
        <v>2587</v>
      </c>
      <c r="F84">
        <v>6</v>
      </c>
      <c r="G84" s="1" t="s">
        <v>90</v>
      </c>
      <c r="H84" s="16" t="s">
        <v>2734</v>
      </c>
      <c r="I84" s="19"/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customHeight="1">
      <c r="A85">
        <v>84</v>
      </c>
      <c r="B85">
        <f>IF(表1[[#This Row],[不调整offset]]="x",IFERROR(VLOOKUP(表1[[#This Row],[8:image]],常量!J:N,4,FALSE),0),0)</f>
        <v>6.25</v>
      </c>
      <c r="C85">
        <f>IF(表1[[#This Row],[不调整offset]]="x",IFERROR(VLOOKUP(表1[[#This Row],[8:image]],常量!J:N,5,FALSE),0),0)</f>
        <v>3.25</v>
      </c>
      <c r="E85" t="s">
        <v>2587</v>
      </c>
      <c r="F85">
        <v>6</v>
      </c>
      <c r="G85" s="1" t="s">
        <v>91</v>
      </c>
      <c r="H85" s="17" t="s">
        <v>2735</v>
      </c>
      <c r="I85" s="19"/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1400</v>
      </c>
      <c r="P85" s="5"/>
    </row>
    <row r="86" spans="1:16" ht="14.25" customHeight="1">
      <c r="A86">
        <v>85</v>
      </c>
      <c r="B86">
        <f>IF(表1[[#This Row],[不调整offset]]="x",IFERROR(VLOOKUP(表1[[#This Row],[8:image]],常量!J:N,4,FALSE),0),0)</f>
        <v>6.25</v>
      </c>
      <c r="C86">
        <f>IF(表1[[#This Row],[不调整offset]]="x",IFERROR(VLOOKUP(表1[[#This Row],[8:image]],常量!J:N,5,FALSE),0),0)</f>
        <v>3.25</v>
      </c>
      <c r="E86" t="s">
        <v>2587</v>
      </c>
      <c r="F86">
        <v>6</v>
      </c>
      <c r="G86" s="1" t="s">
        <v>92</v>
      </c>
      <c r="H86" s="17" t="s">
        <v>2736</v>
      </c>
      <c r="I86" s="19"/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1400</v>
      </c>
      <c r="P86" s="5"/>
    </row>
    <row r="87" spans="1:16" ht="14.25" customHeight="1">
      <c r="A87">
        <v>86</v>
      </c>
      <c r="B87">
        <f>IF(表1[[#This Row],[不调整offset]]="x",IFERROR(VLOOKUP(表1[[#This Row],[8:image]],常量!J:N,4,FALSE),0),0)</f>
        <v>6.25</v>
      </c>
      <c r="C87">
        <f>IF(表1[[#This Row],[不调整offset]]="x",IFERROR(VLOOKUP(表1[[#This Row],[8:image]],常量!J:N,5,FALSE),0),0)</f>
        <v>3.25</v>
      </c>
      <c r="E87" t="s">
        <v>2587</v>
      </c>
      <c r="F87">
        <v>6</v>
      </c>
      <c r="G87" s="1" t="s">
        <v>93</v>
      </c>
      <c r="H87" s="17" t="s">
        <v>2737</v>
      </c>
      <c r="I87" s="19"/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1400</v>
      </c>
      <c r="P87" s="5"/>
    </row>
    <row r="88" spans="1:16" ht="14.25" customHeight="1">
      <c r="A88">
        <v>87</v>
      </c>
      <c r="B88">
        <f>IF(表1[[#This Row],[不调整offset]]="x",IFERROR(VLOOKUP(表1[[#This Row],[8:image]],常量!J:N,4,FALSE),0),0)</f>
        <v>6.25</v>
      </c>
      <c r="C88">
        <f>IF(表1[[#This Row],[不调整offset]]="x",IFERROR(VLOOKUP(表1[[#This Row],[8:image]],常量!J:N,5,FALSE),0),0)</f>
        <v>3.25</v>
      </c>
      <c r="E88" t="s">
        <v>2587</v>
      </c>
      <c r="F88">
        <v>6</v>
      </c>
      <c r="G88" s="1" t="s">
        <v>94</v>
      </c>
      <c r="H88" s="17" t="s">
        <v>2738</v>
      </c>
      <c r="I88" s="19"/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1400</v>
      </c>
      <c r="P88" s="5"/>
    </row>
    <row r="89" spans="1:16" ht="14.25" customHeight="1">
      <c r="A89">
        <v>88</v>
      </c>
      <c r="B89">
        <f>IF(表1[[#This Row],[不调整offset]]="x",IFERROR(VLOOKUP(表1[[#This Row],[8:image]],常量!J:N,4,FALSE),0),0)</f>
        <v>9.25</v>
      </c>
      <c r="C89">
        <f>IF(表1[[#This Row],[不调整offset]]="x",IFERROR(VLOOKUP(表1[[#This Row],[8:image]],常量!J:N,5,FALSE),0),0)</f>
        <v>3.25</v>
      </c>
      <c r="E89" t="s">
        <v>2587</v>
      </c>
      <c r="F89">
        <v>6</v>
      </c>
      <c r="G89" s="1" t="s">
        <v>95</v>
      </c>
      <c r="H89" s="17" t="s">
        <v>2739</v>
      </c>
      <c r="I89" s="19"/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1400</v>
      </c>
      <c r="P89" s="5"/>
    </row>
    <row r="90" spans="1:16" ht="14.25" customHeight="1">
      <c r="A90">
        <v>89</v>
      </c>
      <c r="B90">
        <f>IF(表1[[#This Row],[不调整offset]]="x",IFERROR(VLOOKUP(表1[[#This Row],[8:image]],常量!J:N,4,FALSE),0),0)</f>
        <v>6.25</v>
      </c>
      <c r="C90">
        <f>IF(表1[[#This Row],[不调整offset]]="x",IFERROR(VLOOKUP(表1[[#This Row],[8:image]],常量!J:N,5,FALSE),0),0)</f>
        <v>3.25</v>
      </c>
      <c r="E90" t="s">
        <v>2587</v>
      </c>
      <c r="F90">
        <v>6</v>
      </c>
      <c r="G90" s="1" t="s">
        <v>96</v>
      </c>
      <c r="H90" s="17" t="s">
        <v>2740</v>
      </c>
      <c r="I90" s="19"/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1400</v>
      </c>
      <c r="P90" s="5"/>
    </row>
    <row r="91" spans="1:16" ht="14.25" customHeight="1">
      <c r="A91">
        <v>90</v>
      </c>
      <c r="B91">
        <f>IF(表1[[#This Row],[不调整offset]]="x",IFERROR(VLOOKUP(表1[[#This Row],[8:image]],常量!J:N,4,FALSE),0),0)</f>
        <v>6.25</v>
      </c>
      <c r="C91">
        <f>IF(表1[[#This Row],[不调整offset]]="x",IFERROR(VLOOKUP(表1[[#This Row],[8:image]],常量!J:N,5,FALSE),0),0)</f>
        <v>3.25</v>
      </c>
      <c r="E91" t="s">
        <v>2587</v>
      </c>
      <c r="F91">
        <v>6</v>
      </c>
      <c r="G91" s="1" t="s">
        <v>97</v>
      </c>
      <c r="H91" s="17" t="s">
        <v>2741</v>
      </c>
      <c r="I91" s="19"/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1400</v>
      </c>
      <c r="P91" s="5"/>
    </row>
    <row r="92" spans="1:16" ht="14.25" customHeight="1">
      <c r="A92">
        <v>91</v>
      </c>
      <c r="B92">
        <f>IF(表1[[#This Row],[不调整offset]]="x",IFERROR(VLOOKUP(表1[[#This Row],[8:image]],常量!J:N,4,FALSE),0),0)</f>
        <v>24.25</v>
      </c>
      <c r="C92">
        <f>IF(表1[[#This Row],[不调整offset]]="x",IFERROR(VLOOKUP(表1[[#This Row],[8:image]],常量!J:N,5,FALSE),0),0)</f>
        <v>3.25</v>
      </c>
      <c r="E92" t="s">
        <v>2587</v>
      </c>
      <c r="F92">
        <v>6</v>
      </c>
      <c r="G92" s="1" t="s">
        <v>98</v>
      </c>
      <c r="H92" s="17" t="s">
        <v>2742</v>
      </c>
      <c r="I92" s="19"/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1400</v>
      </c>
      <c r="P92" s="5"/>
    </row>
    <row r="93" spans="1:16" ht="14.25" customHeight="1">
      <c r="A93">
        <v>92</v>
      </c>
      <c r="B93">
        <f>IF(表1[[#This Row],[不调整offset]]="x",IFERROR(VLOOKUP(表1[[#This Row],[8:image]],常量!J:N,4,FALSE),0),0)</f>
        <v>12.25</v>
      </c>
      <c r="C93">
        <f>IF(表1[[#This Row],[不调整offset]]="x",IFERROR(VLOOKUP(表1[[#This Row],[8:image]],常量!J:N,5,FALSE),0),0)</f>
        <v>3.25</v>
      </c>
      <c r="E93" t="s">
        <v>2587</v>
      </c>
      <c r="F93">
        <v>6</v>
      </c>
      <c r="G93" s="1" t="s">
        <v>99</v>
      </c>
      <c r="H93" s="17" t="s">
        <v>2743</v>
      </c>
      <c r="I93" s="19"/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1400</v>
      </c>
      <c r="P93" s="5"/>
    </row>
    <row r="94" spans="1:16" ht="14.25" customHeight="1">
      <c r="A94">
        <v>93</v>
      </c>
      <c r="B94">
        <f>IF(表1[[#This Row],[不调整offset]]="x",IFERROR(VLOOKUP(表1[[#This Row],[8:image]],常量!J:N,4,FALSE),0),0)</f>
        <v>12.25</v>
      </c>
      <c r="C94">
        <f>IF(表1[[#This Row],[不调整offset]]="x",IFERROR(VLOOKUP(表1[[#This Row],[8:image]],常量!J:N,5,FALSE),0),0)</f>
        <v>3.25</v>
      </c>
      <c r="E94" t="s">
        <v>2587</v>
      </c>
      <c r="F94">
        <v>6</v>
      </c>
      <c r="G94" s="1" t="s">
        <v>1384</v>
      </c>
      <c r="H94" s="17" t="s">
        <v>2744</v>
      </c>
      <c r="I94" s="19"/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customHeight="1">
      <c r="A95">
        <v>94</v>
      </c>
      <c r="B95">
        <f>IF(表1[[#This Row],[不调整offset]]="x",IFERROR(VLOOKUP(表1[[#This Row],[8:image]],常量!J:N,4,FALSE),0),0)</f>
        <v>12.25</v>
      </c>
      <c r="C95">
        <f>IF(表1[[#This Row],[不调整offset]]="x",IFERROR(VLOOKUP(表1[[#This Row],[8:image]],常量!J:N,5,FALSE),0),0)</f>
        <v>3.25</v>
      </c>
      <c r="E95" t="s">
        <v>2587</v>
      </c>
      <c r="F95">
        <v>6</v>
      </c>
      <c r="G95" s="1" t="s">
        <v>100</v>
      </c>
      <c r="H95" s="17" t="s">
        <v>2745</v>
      </c>
      <c r="I95" s="19"/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customHeight="1">
      <c r="A96">
        <v>95</v>
      </c>
      <c r="B96">
        <f>IF(表1[[#This Row],[不调整offset]]="x",IFERROR(VLOOKUP(表1[[#This Row],[8:image]],常量!J:N,4,FALSE),0),0)</f>
        <v>21.25</v>
      </c>
      <c r="C96">
        <f>IF(表1[[#This Row],[不调整offset]]="x",IFERROR(VLOOKUP(表1[[#This Row],[8:image]],常量!J:N,5,FALSE),0),0)</f>
        <v>3.25</v>
      </c>
      <c r="E96" t="s">
        <v>2587</v>
      </c>
      <c r="F96">
        <v>6</v>
      </c>
      <c r="G96" s="1" t="s">
        <v>101</v>
      </c>
      <c r="H96" s="17" t="s">
        <v>2746</v>
      </c>
      <c r="I96" s="19"/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1400</v>
      </c>
      <c r="P96" s="5"/>
    </row>
    <row r="97" spans="1:16" ht="14.25" customHeight="1">
      <c r="A97">
        <v>96</v>
      </c>
      <c r="B97">
        <f>IF(表1[[#This Row],[不调整offset]]="x",IFERROR(VLOOKUP(表1[[#This Row],[8:image]],常量!J:N,4,FALSE),0),0)</f>
        <v>9.25</v>
      </c>
      <c r="C97">
        <f>IF(表1[[#This Row],[不调整offset]]="x",IFERROR(VLOOKUP(表1[[#This Row],[8:image]],常量!J:N,5,FALSE),0),0)</f>
        <v>3.25</v>
      </c>
      <c r="E97" t="s">
        <v>2587</v>
      </c>
      <c r="F97">
        <v>6</v>
      </c>
      <c r="G97" s="1" t="s">
        <v>102</v>
      </c>
      <c r="H97" s="17" t="s">
        <v>2747</v>
      </c>
      <c r="I97" s="19"/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customHeight="1">
      <c r="A98">
        <v>97</v>
      </c>
      <c r="B98">
        <f>IF(表1[[#This Row],[不调整offset]]="x",IFERROR(VLOOKUP(表1[[#This Row],[8:image]],常量!J:N,4,FALSE),0),0)</f>
        <v>9.25</v>
      </c>
      <c r="C98">
        <f>IF(表1[[#This Row],[不调整offset]]="x",IFERROR(VLOOKUP(表1[[#This Row],[8:image]],常量!J:N,5,FALSE),0),0)</f>
        <v>3.25</v>
      </c>
      <c r="E98" t="s">
        <v>2587</v>
      </c>
      <c r="F98">
        <v>6</v>
      </c>
      <c r="G98" s="1" t="s">
        <v>103</v>
      </c>
      <c r="H98" s="17" t="s">
        <v>2748</v>
      </c>
      <c r="I98" s="19"/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1400</v>
      </c>
      <c r="P98" s="5"/>
    </row>
    <row r="99" spans="1:16" ht="14.25" customHeight="1">
      <c r="A99">
        <v>98</v>
      </c>
      <c r="B99">
        <f>IF(表1[[#This Row],[不调整offset]]="x",IFERROR(VLOOKUP(表1[[#This Row],[8:image]],常量!J:N,4,FALSE),0),0)</f>
        <v>39.25</v>
      </c>
      <c r="C99">
        <f>IF(表1[[#This Row],[不调整offset]]="x",IFERROR(VLOOKUP(表1[[#This Row],[8:image]],常量!J:N,5,FALSE),0),0)</f>
        <v>3.25</v>
      </c>
      <c r="E99" t="s">
        <v>2587</v>
      </c>
      <c r="F99">
        <v>6</v>
      </c>
      <c r="G99" s="1" t="s">
        <v>104</v>
      </c>
      <c r="H99" s="17" t="s">
        <v>2749</v>
      </c>
      <c r="I99" s="19"/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1400</v>
      </c>
      <c r="P99" s="5"/>
    </row>
    <row r="100" spans="1:16" ht="14.25" customHeight="1">
      <c r="A100">
        <v>99</v>
      </c>
      <c r="B100">
        <f>IF(表1[[#This Row],[不调整offset]]="x",IFERROR(VLOOKUP(表1[[#This Row],[8:image]],常量!J:N,4,FALSE),0),0)</f>
        <v>30.25</v>
      </c>
      <c r="C100">
        <f>IF(表1[[#This Row],[不调整offset]]="x",IFERROR(VLOOKUP(表1[[#This Row],[8:image]],常量!J:N,5,FALSE),0),0)</f>
        <v>3.25</v>
      </c>
      <c r="E100" t="s">
        <v>2587</v>
      </c>
      <c r="F100">
        <v>6</v>
      </c>
      <c r="G100" s="1" t="s">
        <v>105</v>
      </c>
      <c r="H100" s="17" t="s">
        <v>2750</v>
      </c>
      <c r="I100" s="19"/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1400</v>
      </c>
      <c r="P100" s="5"/>
    </row>
    <row r="101" spans="1:16" ht="14.25" customHeight="1">
      <c r="A101">
        <v>100</v>
      </c>
      <c r="B101">
        <f>IF(表1[[#This Row],[不调整offset]]="x",IFERROR(VLOOKUP(表1[[#This Row],[8:image]],常量!J:N,4,FALSE),0),0)</f>
        <v>12.25</v>
      </c>
      <c r="C101">
        <f>IF(表1[[#This Row],[不调整offset]]="x",IFERROR(VLOOKUP(表1[[#This Row],[8:image]],常量!J:N,5,FALSE),0),0)</f>
        <v>3.25</v>
      </c>
      <c r="E101" t="s">
        <v>2587</v>
      </c>
      <c r="F101">
        <v>6</v>
      </c>
      <c r="G101" s="1" t="s">
        <v>106</v>
      </c>
      <c r="H101" s="17" t="s">
        <v>2751</v>
      </c>
      <c r="I101" s="19"/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1400</v>
      </c>
      <c r="P101" s="5"/>
    </row>
    <row r="102" spans="1:16" ht="14.25" customHeight="1">
      <c r="A102">
        <v>101</v>
      </c>
      <c r="B102">
        <f>IF(表1[[#This Row],[不调整offset]]="x",IFERROR(VLOOKUP(表1[[#This Row],[8:image]],常量!J:N,4,FALSE),0),0)</f>
        <v>34.75</v>
      </c>
      <c r="C102">
        <f>IF(表1[[#This Row],[不调整offset]]="x",IFERROR(VLOOKUP(表1[[#This Row],[8:image]],常量!J:N,5,FALSE),0),0)</f>
        <v>3.25</v>
      </c>
      <c r="E102" t="s">
        <v>2587</v>
      </c>
      <c r="F102">
        <v>6</v>
      </c>
      <c r="G102" s="1" t="s">
        <v>107</v>
      </c>
      <c r="H102" s="17" t="s">
        <v>2752</v>
      </c>
      <c r="I102" s="19"/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customHeight="1">
      <c r="A103">
        <v>102</v>
      </c>
      <c r="B103">
        <f>IF(表1[[#This Row],[不调整offset]]="x",IFERROR(VLOOKUP(表1[[#This Row],[8:image]],常量!J:N,4,FALSE),0),0)</f>
        <v>0</v>
      </c>
      <c r="C103">
        <f>IF(表1[[#This Row],[不调整offset]]="x",IFERROR(VLOOKUP(表1[[#This Row],[8:image]],常量!J:N,5,FALSE),0),0)</f>
        <v>0</v>
      </c>
      <c r="E103" t="s">
        <v>2587</v>
      </c>
      <c r="F103">
        <v>6</v>
      </c>
      <c r="G103" s="1" t="s">
        <v>108</v>
      </c>
      <c r="H103" s="16" t="s">
        <v>2753</v>
      </c>
      <c r="I103" s="19"/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3" t="s">
        <v>1400</v>
      </c>
      <c r="P103" s="5"/>
    </row>
    <row r="104" spans="1:16" ht="14.25" customHeight="1">
      <c r="A104">
        <v>103</v>
      </c>
      <c r="B104">
        <f>IF(表1[[#This Row],[不调整offset]]="x",IFERROR(VLOOKUP(表1[[#This Row],[8:image]],常量!J:N,4,FALSE),0),0)</f>
        <v>0</v>
      </c>
      <c r="C104">
        <f>IF(表1[[#This Row],[不调整offset]]="x",IFERROR(VLOOKUP(表1[[#This Row],[8:image]],常量!J:N,5,FALSE),0),0)</f>
        <v>0</v>
      </c>
      <c r="E104" t="s">
        <v>2587</v>
      </c>
      <c r="F104">
        <v>6</v>
      </c>
      <c r="G104" s="1" t="s">
        <v>109</v>
      </c>
      <c r="H104" s="16" t="s">
        <v>2754</v>
      </c>
      <c r="I104" s="19"/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4" t="s">
        <v>1400</v>
      </c>
      <c r="P104" s="5"/>
    </row>
    <row r="105" spans="1:16" ht="14.25" customHeight="1">
      <c r="A105">
        <v>104</v>
      </c>
      <c r="B105">
        <f>IF(表1[[#This Row],[不调整offset]]="x",IFERROR(VLOOKUP(表1[[#This Row],[8:image]],常量!J:N,4,FALSE),0),0)</f>
        <v>18.25</v>
      </c>
      <c r="C105">
        <f>IF(表1[[#This Row],[不调整offset]]="x",IFERROR(VLOOKUP(表1[[#This Row],[8:image]],常量!J:N,5,FALSE),0),0)</f>
        <v>3.25</v>
      </c>
      <c r="E105" t="s">
        <v>2587</v>
      </c>
      <c r="F105">
        <v>6</v>
      </c>
      <c r="G105" s="1" t="s">
        <v>110</v>
      </c>
      <c r="H105" s="17" t="s">
        <v>2755</v>
      </c>
      <c r="I105" s="19"/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1400</v>
      </c>
      <c r="P105" s="5"/>
    </row>
    <row r="106" spans="1:16" ht="14.25" customHeight="1">
      <c r="A106">
        <v>105</v>
      </c>
      <c r="B106">
        <f>IF(表1[[#This Row],[不调整offset]]="x",IFERROR(VLOOKUP(表1[[#This Row],[8:image]],常量!J:N,4,FALSE),0),0)</f>
        <v>0</v>
      </c>
      <c r="C106">
        <f>IF(表1[[#This Row],[不调整offset]]="x",IFERROR(VLOOKUP(表1[[#This Row],[8:image]],常量!J:N,5,FALSE),0),0)</f>
        <v>0</v>
      </c>
      <c r="E106" t="s">
        <v>2587</v>
      </c>
      <c r="F106">
        <v>6</v>
      </c>
      <c r="G106" s="13" t="s">
        <v>64</v>
      </c>
      <c r="H106" s="16" t="s">
        <v>2756</v>
      </c>
      <c r="I106" s="19"/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1400</v>
      </c>
      <c r="P106" s="5"/>
    </row>
    <row r="107" spans="1:16" ht="14.25" customHeight="1">
      <c r="A107">
        <v>106</v>
      </c>
      <c r="B107">
        <f>IF(表1[[#This Row],[不调整offset]]="x",IFERROR(VLOOKUP(表1[[#This Row],[8:image]],常量!J:N,4,FALSE),0),0)</f>
        <v>15.25</v>
      </c>
      <c r="C107">
        <f>IF(表1[[#This Row],[不调整offset]]="x",IFERROR(VLOOKUP(表1[[#This Row],[8:image]],常量!J:N,5,FALSE),0),0)</f>
        <v>3.25</v>
      </c>
      <c r="E107" t="s">
        <v>2587</v>
      </c>
      <c r="F107">
        <v>6</v>
      </c>
      <c r="G107" s="1" t="s">
        <v>111</v>
      </c>
      <c r="H107" s="17" t="s">
        <v>2757</v>
      </c>
      <c r="I107" s="19"/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1400</v>
      </c>
      <c r="P107" s="5"/>
    </row>
    <row r="108" spans="1:16" ht="14.25" customHeight="1">
      <c r="A108">
        <v>107</v>
      </c>
      <c r="B108">
        <f>IF(表1[[#This Row],[不调整offset]]="x",IFERROR(VLOOKUP(表1[[#This Row],[8:image]],常量!J:N,4,FALSE),0),0)</f>
        <v>15.25</v>
      </c>
      <c r="C108">
        <f>IF(表1[[#This Row],[不调整offset]]="x",IFERROR(VLOOKUP(表1[[#This Row],[8:image]],常量!J:N,5,FALSE),0),0)</f>
        <v>3.25</v>
      </c>
      <c r="E108" t="s">
        <v>2587</v>
      </c>
      <c r="F108">
        <v>6</v>
      </c>
      <c r="G108" s="1" t="s">
        <v>112</v>
      </c>
      <c r="H108" s="17" t="s">
        <v>2758</v>
      </c>
      <c r="I108" s="19"/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1400</v>
      </c>
      <c r="P108" s="5"/>
    </row>
    <row r="109" spans="1:16" ht="14.25" customHeight="1">
      <c r="A109">
        <v>108</v>
      </c>
      <c r="B109">
        <f>IF(表1[[#This Row],[不调整offset]]="x",IFERROR(VLOOKUP(表1[[#This Row],[8:image]],常量!J:N,4,FALSE),0),0)</f>
        <v>12.25</v>
      </c>
      <c r="C109">
        <f>IF(表1[[#This Row],[不调整offset]]="x",IFERROR(VLOOKUP(表1[[#This Row],[8:image]],常量!J:N,5,FALSE),0),0)</f>
        <v>3.25</v>
      </c>
      <c r="E109" t="s">
        <v>2587</v>
      </c>
      <c r="F109">
        <v>6</v>
      </c>
      <c r="G109" s="1" t="s">
        <v>113</v>
      </c>
      <c r="H109" s="17" t="s">
        <v>2759</v>
      </c>
      <c r="I109" s="19"/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1400</v>
      </c>
      <c r="P109" s="5"/>
    </row>
    <row r="110" spans="1:16" ht="14.25" customHeight="1">
      <c r="A110">
        <v>109</v>
      </c>
      <c r="B110">
        <f>IF(表1[[#This Row],[不调整offset]]="x",IFERROR(VLOOKUP(表1[[#This Row],[8:image]],常量!J:N,4,FALSE),0),0)</f>
        <v>0</v>
      </c>
      <c r="C110">
        <f>IF(表1[[#This Row],[不调整offset]]="x",IFERROR(VLOOKUP(表1[[#This Row],[8:image]],常量!J:N,5,FALSE),0),0)</f>
        <v>0</v>
      </c>
      <c r="E110" t="s">
        <v>2587</v>
      </c>
      <c r="F110">
        <v>6</v>
      </c>
      <c r="G110" s="13" t="s">
        <v>66</v>
      </c>
      <c r="H110" s="16" t="s">
        <v>2760</v>
      </c>
      <c r="I110" s="19"/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1400</v>
      </c>
      <c r="P110" s="5"/>
    </row>
    <row r="111" spans="1:16" ht="14.25" customHeight="1">
      <c r="A111">
        <v>110</v>
      </c>
      <c r="B111">
        <f>IF(表1[[#This Row],[不调整offset]]="x",IFERROR(VLOOKUP(表1[[#This Row],[8:image]],常量!J:N,4,FALSE),0),0)</f>
        <v>12.25</v>
      </c>
      <c r="C111">
        <f>IF(表1[[#This Row],[不调整offset]]="x",IFERROR(VLOOKUP(表1[[#This Row],[8:image]],常量!J:N,5,FALSE),0),0)</f>
        <v>3.25</v>
      </c>
      <c r="E111" t="s">
        <v>2587</v>
      </c>
      <c r="F111">
        <v>6</v>
      </c>
      <c r="G111" s="1" t="s">
        <v>114</v>
      </c>
      <c r="H111" s="17" t="s">
        <v>2761</v>
      </c>
      <c r="I111" s="19"/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1400</v>
      </c>
      <c r="P111" s="5"/>
    </row>
    <row r="112" spans="1:16" ht="14.25" customHeight="1">
      <c r="A112">
        <v>111</v>
      </c>
      <c r="B112">
        <f>IF(表1[[#This Row],[不调整offset]]="x",IFERROR(VLOOKUP(表1[[#This Row],[8:image]],常量!J:N,4,FALSE),0),0)</f>
        <v>0</v>
      </c>
      <c r="C112">
        <f>IF(表1[[#This Row],[不调整offset]]="x",IFERROR(VLOOKUP(表1[[#This Row],[8:image]],常量!J:N,5,FALSE),0),0)</f>
        <v>0</v>
      </c>
      <c r="E112" t="s">
        <v>2587</v>
      </c>
      <c r="F112">
        <v>6</v>
      </c>
      <c r="G112" s="13" t="s">
        <v>66</v>
      </c>
      <c r="H112" s="16" t="s">
        <v>2762</v>
      </c>
      <c r="I112" s="19"/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1400</v>
      </c>
      <c r="P112" s="5"/>
    </row>
    <row r="113" spans="1:16" ht="14.25" customHeight="1">
      <c r="A113">
        <v>112</v>
      </c>
      <c r="B113">
        <f>IF(表1[[#This Row],[不调整offset]]="x",IFERROR(VLOOKUP(表1[[#This Row],[8:image]],常量!J:N,4,FALSE),0),0)</f>
        <v>34.75</v>
      </c>
      <c r="C113">
        <f>IF(表1[[#This Row],[不调整offset]]="x",IFERROR(VLOOKUP(表1[[#This Row],[8:image]],常量!J:N,5,FALSE),0),0)</f>
        <v>3.25</v>
      </c>
      <c r="E113" t="s">
        <v>2587</v>
      </c>
      <c r="F113">
        <v>6</v>
      </c>
      <c r="G113" s="1" t="s">
        <v>115</v>
      </c>
      <c r="H113" s="17" t="s">
        <v>2763</v>
      </c>
      <c r="I113" s="19"/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customHeight="1">
      <c r="A114">
        <v>113</v>
      </c>
      <c r="B114">
        <f>IF(表1[[#This Row],[不调整offset]]="x",IFERROR(VLOOKUP(表1[[#This Row],[8:image]],常量!J:N,4,FALSE),0),0)</f>
        <v>57.25</v>
      </c>
      <c r="C114">
        <f>IF(表1[[#This Row],[不调整offset]]="x",IFERROR(VLOOKUP(表1[[#This Row],[8:image]],常量!J:N,5,FALSE),0),0)</f>
        <v>3.25</v>
      </c>
      <c r="E114" t="s">
        <v>2587</v>
      </c>
      <c r="F114">
        <v>6</v>
      </c>
      <c r="G114" s="1" t="s">
        <v>1381</v>
      </c>
      <c r="H114" s="17" t="s">
        <v>2764</v>
      </c>
      <c r="I114" s="19"/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1400</v>
      </c>
      <c r="P114" s="5"/>
    </row>
    <row r="115" spans="1:16" ht="14.25" customHeight="1">
      <c r="A115">
        <v>114</v>
      </c>
      <c r="B115">
        <f>IF(表1[[#This Row],[不调整offset]]="x",IFERROR(VLOOKUP(表1[[#This Row],[8:image]],常量!J:N,4,FALSE),0),0)</f>
        <v>27.25</v>
      </c>
      <c r="C115">
        <f>IF(表1[[#This Row],[不调整offset]]="x",IFERROR(VLOOKUP(表1[[#This Row],[8:image]],常量!J:N,5,FALSE),0),0)</f>
        <v>3.25</v>
      </c>
      <c r="E115" t="s">
        <v>2587</v>
      </c>
      <c r="F115">
        <v>6</v>
      </c>
      <c r="G115" s="1" t="s">
        <v>116</v>
      </c>
      <c r="H115" s="17" t="s">
        <v>2765</v>
      </c>
      <c r="I115" s="19"/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1400</v>
      </c>
      <c r="P115" s="5"/>
    </row>
    <row r="116" spans="1:16" ht="14.25" customHeight="1">
      <c r="A116">
        <v>115</v>
      </c>
      <c r="B116">
        <f>IF(表1[[#This Row],[不调整offset]]="x",IFERROR(VLOOKUP(表1[[#This Row],[8:image]],常量!J:N,4,FALSE),0),0)</f>
        <v>18.25</v>
      </c>
      <c r="C116">
        <f>IF(表1[[#This Row],[不调整offset]]="x",IFERROR(VLOOKUP(表1[[#This Row],[8:image]],常量!J:N,5,FALSE),0),0)</f>
        <v>3.25</v>
      </c>
      <c r="E116" t="s">
        <v>2587</v>
      </c>
      <c r="F116">
        <v>6</v>
      </c>
      <c r="G116" s="1" t="s">
        <v>117</v>
      </c>
      <c r="H116" s="17" t="s">
        <v>2766</v>
      </c>
      <c r="I116" s="19"/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customHeight="1">
      <c r="A117">
        <v>116</v>
      </c>
      <c r="B117">
        <f>IF(表1[[#This Row],[不调整offset]]="x",IFERROR(VLOOKUP(表1[[#This Row],[8:image]],常量!J:N,4,FALSE),0),0)</f>
        <v>39.25</v>
      </c>
      <c r="C117">
        <f>IF(表1[[#This Row],[不调整offset]]="x",IFERROR(VLOOKUP(表1[[#This Row],[8:image]],常量!J:N,5,FALSE),0),0)</f>
        <v>3.25</v>
      </c>
      <c r="E117" t="s">
        <v>2587</v>
      </c>
      <c r="F117">
        <v>6</v>
      </c>
      <c r="G117" s="1" t="s">
        <v>1382</v>
      </c>
      <c r="H117" s="17" t="s">
        <v>2767</v>
      </c>
      <c r="I117" s="19"/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1400</v>
      </c>
      <c r="P117" s="5"/>
    </row>
    <row r="118" spans="1:16" ht="14.25" customHeight="1">
      <c r="A118">
        <v>117</v>
      </c>
      <c r="B118">
        <f>IF(表1[[#This Row],[不调整offset]]="x",IFERROR(VLOOKUP(表1[[#This Row],[8:image]],常量!J:N,4,FALSE),0),0)</f>
        <v>12.25</v>
      </c>
      <c r="C118">
        <f>IF(表1[[#This Row],[不调整offset]]="x",IFERROR(VLOOKUP(表1[[#This Row],[8:image]],常量!J:N,5,FALSE),0),0)</f>
        <v>3.25</v>
      </c>
      <c r="E118" t="s">
        <v>2587</v>
      </c>
      <c r="F118">
        <v>6</v>
      </c>
      <c r="G118" s="1" t="s">
        <v>118</v>
      </c>
      <c r="H118" s="17" t="s">
        <v>2768</v>
      </c>
      <c r="I118" s="19"/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1400</v>
      </c>
      <c r="P118" s="5"/>
    </row>
    <row r="119" spans="1:16" ht="14.25" customHeight="1">
      <c r="A119">
        <v>118</v>
      </c>
      <c r="B119">
        <f>IF(表1[[#This Row],[不调整offset]]="x",IFERROR(VLOOKUP(表1[[#This Row],[8:image]],常量!J:N,4,FALSE),0),0)</f>
        <v>36.25</v>
      </c>
      <c r="C119">
        <f>IF(表1[[#This Row],[不调整offset]]="x",IFERROR(VLOOKUP(表1[[#This Row],[8:image]],常量!J:N,5,FALSE),0),0)</f>
        <v>3.25</v>
      </c>
      <c r="E119" t="s">
        <v>2587</v>
      </c>
      <c r="F119">
        <v>6</v>
      </c>
      <c r="G119" s="1" t="s">
        <v>119</v>
      </c>
      <c r="H119" s="17" t="s">
        <v>2769</v>
      </c>
      <c r="I119" s="19"/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1400</v>
      </c>
      <c r="P119" s="5"/>
    </row>
    <row r="120" spans="1:16" ht="14.25" customHeight="1">
      <c r="A120">
        <v>119</v>
      </c>
      <c r="B120">
        <f>IF(表1[[#This Row],[不调整offset]]="x",IFERROR(VLOOKUP(表1[[#This Row],[8:image]],常量!J:N,4,FALSE),0),0)</f>
        <v>30.25</v>
      </c>
      <c r="C120">
        <f>IF(表1[[#This Row],[不调整offset]]="x",IFERROR(VLOOKUP(表1[[#This Row],[8:image]],常量!J:N,5,FALSE),0),0)</f>
        <v>3.25</v>
      </c>
      <c r="E120" t="s">
        <v>2587</v>
      </c>
      <c r="F120">
        <v>6</v>
      </c>
      <c r="G120" s="1" t="s">
        <v>120</v>
      </c>
      <c r="H120" s="17" t="s">
        <v>2770</v>
      </c>
      <c r="I120" s="19"/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1400</v>
      </c>
      <c r="P120" s="5"/>
    </row>
    <row r="121" spans="1:16" ht="14.25" customHeight="1">
      <c r="A121">
        <v>120</v>
      </c>
      <c r="B121">
        <f>IF(表1[[#This Row],[不调整offset]]="x",IFERROR(VLOOKUP(表1[[#This Row],[8:image]],常量!J:N,4,FALSE),0),0)</f>
        <v>12.25</v>
      </c>
      <c r="C121">
        <f>IF(表1[[#This Row],[不调整offset]]="x",IFERROR(VLOOKUP(表1[[#This Row],[8:image]],常量!J:N,5,FALSE),0),0)</f>
        <v>3.25</v>
      </c>
      <c r="E121" t="s">
        <v>2587</v>
      </c>
      <c r="F121">
        <v>6</v>
      </c>
      <c r="G121" s="1" t="s">
        <v>121</v>
      </c>
      <c r="H121" s="17" t="s">
        <v>2771</v>
      </c>
      <c r="I121" s="19"/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1400</v>
      </c>
      <c r="P121" s="5"/>
    </row>
    <row r="122" spans="1:16" ht="14.25" customHeight="1">
      <c r="A122">
        <v>121</v>
      </c>
      <c r="B122">
        <f>IF(表1[[#This Row],[不调整offset]]="x",IFERROR(VLOOKUP(表1[[#This Row],[8:image]],常量!J:N,4,FALSE),0),0)</f>
        <v>27.25</v>
      </c>
      <c r="C122">
        <f>IF(表1[[#This Row],[不调整offset]]="x",IFERROR(VLOOKUP(表1[[#This Row],[8:image]],常量!J:N,5,FALSE),0),0)</f>
        <v>3.25</v>
      </c>
      <c r="E122" t="s">
        <v>2587</v>
      </c>
      <c r="F122">
        <v>6</v>
      </c>
      <c r="G122" s="1" t="s">
        <v>122</v>
      </c>
      <c r="H122" s="17" t="s">
        <v>2772</v>
      </c>
      <c r="I122" s="19"/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1400</v>
      </c>
      <c r="P122" s="5"/>
    </row>
    <row r="123" spans="1:16" ht="14.25" customHeight="1">
      <c r="A123">
        <v>122</v>
      </c>
      <c r="B123">
        <f>IF(表1[[#This Row],[不调整offset]]="x",IFERROR(VLOOKUP(表1[[#This Row],[8:image]],常量!J:N,4,FALSE),0),0)</f>
        <v>27.25</v>
      </c>
      <c r="C123">
        <f>IF(表1[[#This Row],[不调整offset]]="x",IFERROR(VLOOKUP(表1[[#This Row],[8:image]],常量!J:N,5,FALSE),0),0)</f>
        <v>3.25</v>
      </c>
      <c r="E123" t="s">
        <v>2587</v>
      </c>
      <c r="F123">
        <v>6</v>
      </c>
      <c r="G123" s="1" t="s">
        <v>123</v>
      </c>
      <c r="H123" s="17" t="s">
        <v>2773</v>
      </c>
      <c r="I123" s="19"/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1400</v>
      </c>
      <c r="P123" s="5"/>
    </row>
    <row r="124" spans="1:16" ht="14.25" customHeight="1">
      <c r="A124">
        <v>123</v>
      </c>
      <c r="B124">
        <f>IF(表1[[#This Row],[不调整offset]]="x",IFERROR(VLOOKUP(表1[[#This Row],[8:image]],常量!J:N,4,FALSE),0),0)</f>
        <v>15.25</v>
      </c>
      <c r="C124">
        <f>IF(表1[[#This Row],[不调整offset]]="x",IFERROR(VLOOKUP(表1[[#This Row],[8:image]],常量!J:N,5,FALSE),0),0)</f>
        <v>3.25</v>
      </c>
      <c r="E124" t="s">
        <v>2587</v>
      </c>
      <c r="F124">
        <v>6</v>
      </c>
      <c r="G124" s="1" t="s">
        <v>1383</v>
      </c>
      <c r="H124" s="17" t="s">
        <v>2774</v>
      </c>
      <c r="I124" s="19"/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1400</v>
      </c>
      <c r="P124" s="5"/>
    </row>
    <row r="125" spans="1:16" ht="14.25" customHeight="1">
      <c r="A125">
        <v>124</v>
      </c>
      <c r="B125">
        <f>IF(表1[[#This Row],[不调整offset]]="x",IFERROR(VLOOKUP(表1[[#This Row],[8:image]],常量!J:N,4,FALSE),0),0)</f>
        <v>15.25</v>
      </c>
      <c r="C125">
        <f>IF(表1[[#This Row],[不调整offset]]="x",IFERROR(VLOOKUP(表1[[#This Row],[8:image]],常量!J:N,5,FALSE),0),0)</f>
        <v>3.25</v>
      </c>
      <c r="E125" t="s">
        <v>2587</v>
      </c>
      <c r="F125">
        <v>6</v>
      </c>
      <c r="G125" s="1" t="s">
        <v>124</v>
      </c>
      <c r="H125" s="17" t="s">
        <v>2775</v>
      </c>
      <c r="I125" s="19"/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1400</v>
      </c>
      <c r="P125" s="5"/>
    </row>
    <row r="126" spans="1:16" ht="14.25" customHeight="1">
      <c r="A126">
        <v>125</v>
      </c>
      <c r="B126">
        <f>IF(表1[[#This Row],[不调整offset]]="x",IFERROR(VLOOKUP(表1[[#This Row],[8:image]],常量!J:N,4,FALSE),0),0)</f>
        <v>36.25</v>
      </c>
      <c r="C126">
        <f>IF(表1[[#This Row],[不调整offset]]="x",IFERROR(VLOOKUP(表1[[#This Row],[8:image]],常量!J:N,5,FALSE),0),0)</f>
        <v>3.25</v>
      </c>
      <c r="E126" t="s">
        <v>2587</v>
      </c>
      <c r="F126">
        <v>6</v>
      </c>
      <c r="G126" s="1" t="s">
        <v>125</v>
      </c>
      <c r="H126" s="17" t="s">
        <v>2776</v>
      </c>
      <c r="I126" s="19"/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1400</v>
      </c>
      <c r="P126" s="5"/>
    </row>
    <row r="127" spans="1:16" ht="14.25" customHeight="1">
      <c r="A127">
        <v>126</v>
      </c>
      <c r="B127">
        <f>IF(表1[[#This Row],[不调整offset]]="x",IFERROR(VLOOKUP(表1[[#This Row],[8:image]],常量!J:N,4,FALSE),0),0)</f>
        <v>21.25</v>
      </c>
      <c r="C127">
        <f>IF(表1[[#This Row],[不调整offset]]="x",IFERROR(VLOOKUP(表1[[#This Row],[8:image]],常量!J:N,5,FALSE),0),0)</f>
        <v>3.25</v>
      </c>
      <c r="E127" t="s">
        <v>2587</v>
      </c>
      <c r="F127">
        <v>6</v>
      </c>
      <c r="G127" s="1" t="s">
        <v>126</v>
      </c>
      <c r="H127" s="17" t="s">
        <v>2777</v>
      </c>
      <c r="I127" s="19"/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1400</v>
      </c>
      <c r="P127" s="5"/>
    </row>
    <row r="128" spans="1:16" ht="14.25" customHeight="1">
      <c r="A128">
        <v>127</v>
      </c>
      <c r="B128">
        <f>IF(表1[[#This Row],[不调整offset]]="x",IFERROR(VLOOKUP(表1[[#This Row],[8:image]],常量!J:N,4,FALSE),0),0)</f>
        <v>36.25</v>
      </c>
      <c r="C128">
        <f>IF(表1[[#This Row],[不调整offset]]="x",IFERROR(VLOOKUP(表1[[#This Row],[8:image]],常量!J:N,5,FALSE),0),0)</f>
        <v>3.25</v>
      </c>
      <c r="E128" t="s">
        <v>2587</v>
      </c>
      <c r="F128">
        <v>6</v>
      </c>
      <c r="G128" s="1" t="s">
        <v>127</v>
      </c>
      <c r="H128" s="17" t="s">
        <v>2778</v>
      </c>
      <c r="I128" s="19"/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1400</v>
      </c>
      <c r="P128" s="5"/>
    </row>
    <row r="129" spans="1:16" ht="14.25" customHeight="1">
      <c r="A129">
        <v>128</v>
      </c>
      <c r="B129">
        <f>IF(表1[[#This Row],[不调整offset]]="x",IFERROR(VLOOKUP(表1[[#This Row],[8:image]],常量!J:N,4,FALSE),0),0)</f>
        <v>15.25</v>
      </c>
      <c r="C129">
        <f>IF(表1[[#This Row],[不调整offset]]="x",IFERROR(VLOOKUP(表1[[#This Row],[8:image]],常量!J:N,5,FALSE),0),0)</f>
        <v>3.25</v>
      </c>
      <c r="E129" t="s">
        <v>2587</v>
      </c>
      <c r="F129">
        <v>6</v>
      </c>
      <c r="G129" s="1" t="s">
        <v>128</v>
      </c>
      <c r="H129" s="17" t="s">
        <v>2779</v>
      </c>
      <c r="I129" s="19"/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1400</v>
      </c>
      <c r="P129" s="5"/>
    </row>
    <row r="130" spans="1:16" ht="14.25" customHeight="1">
      <c r="A130">
        <v>129</v>
      </c>
      <c r="B130">
        <f>IF(表1[[#This Row],[不调整offset]]="x",IFERROR(VLOOKUP(表1[[#This Row],[8:image]],常量!J:N,4,FALSE),0),0)</f>
        <v>42.25</v>
      </c>
      <c r="C130">
        <f>IF(表1[[#This Row],[不调整offset]]="x",IFERROR(VLOOKUP(表1[[#This Row],[8:image]],常量!J:N,5,FALSE),0),0)</f>
        <v>3.25</v>
      </c>
      <c r="E130" t="s">
        <v>2587</v>
      </c>
      <c r="F130">
        <v>6</v>
      </c>
      <c r="G130" s="1" t="s">
        <v>129</v>
      </c>
      <c r="H130" s="17" t="s">
        <v>2780</v>
      </c>
      <c r="I130" s="19"/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1400</v>
      </c>
      <c r="P130" s="5"/>
    </row>
    <row r="131" spans="1:16" ht="14.25" customHeight="1">
      <c r="A131">
        <v>130</v>
      </c>
      <c r="B131">
        <f>IF(表1[[#This Row],[不调整offset]]="x",IFERROR(VLOOKUP(表1[[#This Row],[8:image]],常量!J:N,4,FALSE),0),0)</f>
        <v>30.25</v>
      </c>
      <c r="C131">
        <f>IF(表1[[#This Row],[不调整offset]]="x",IFERROR(VLOOKUP(表1[[#This Row],[8:image]],常量!J:N,5,FALSE),0),0)</f>
        <v>3.25</v>
      </c>
      <c r="E131" t="s">
        <v>2587</v>
      </c>
      <c r="F131">
        <v>6</v>
      </c>
      <c r="G131" s="1" t="s">
        <v>130</v>
      </c>
      <c r="H131" s="17" t="s">
        <v>2781</v>
      </c>
      <c r="I131" s="19"/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1400</v>
      </c>
      <c r="P131" s="5"/>
    </row>
    <row r="132" spans="1:16" ht="14.25" customHeight="1">
      <c r="A132">
        <v>131</v>
      </c>
      <c r="B132">
        <f>IF(表1[[#This Row],[不调整offset]]="x",IFERROR(VLOOKUP(表1[[#This Row],[8:image]],常量!J:N,4,FALSE),0),0)</f>
        <v>18.25</v>
      </c>
      <c r="C132">
        <f>IF(表1[[#This Row],[不调整offset]]="x",IFERROR(VLOOKUP(表1[[#This Row],[8:image]],常量!J:N,5,FALSE),0),0)</f>
        <v>3.25</v>
      </c>
      <c r="E132" t="s">
        <v>2587</v>
      </c>
      <c r="F132">
        <v>6</v>
      </c>
      <c r="G132" s="1" t="s">
        <v>131</v>
      </c>
      <c r="H132" s="17" t="s">
        <v>2782</v>
      </c>
      <c r="I132" s="19"/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1400</v>
      </c>
      <c r="P132" s="5"/>
    </row>
    <row r="133" spans="1:16" ht="14.25" customHeight="1">
      <c r="A133">
        <v>132</v>
      </c>
      <c r="B133">
        <f>IF(表1[[#This Row],[不调整offset]]="x",IFERROR(VLOOKUP(表1[[#This Row],[8:image]],常量!J:N,4,FALSE),0),0)</f>
        <v>30.25</v>
      </c>
      <c r="C133">
        <f>IF(表1[[#This Row],[不调整offset]]="x",IFERROR(VLOOKUP(表1[[#This Row],[8:image]],常量!J:N,5,FALSE),0),0)</f>
        <v>3.25</v>
      </c>
      <c r="E133" t="s">
        <v>2587</v>
      </c>
      <c r="F133">
        <v>6</v>
      </c>
      <c r="G133" s="1" t="s">
        <v>132</v>
      </c>
      <c r="H133" s="17" t="s">
        <v>2783</v>
      </c>
      <c r="I133" s="19"/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1400</v>
      </c>
      <c r="P133" s="5"/>
    </row>
    <row r="134" spans="1:16" ht="14.25" customHeight="1">
      <c r="A134">
        <v>133</v>
      </c>
      <c r="B134">
        <f>IF(表1[[#This Row],[不调整offset]]="x",IFERROR(VLOOKUP(表1[[#This Row],[8:image]],常量!J:N,4,FALSE),0),0)</f>
        <v>12.25</v>
      </c>
      <c r="C134">
        <f>IF(表1[[#This Row],[不调整offset]]="x",IFERROR(VLOOKUP(表1[[#This Row],[8:image]],常量!J:N,5,FALSE),0),0)</f>
        <v>3.25</v>
      </c>
      <c r="E134" t="s">
        <v>2587</v>
      </c>
      <c r="F134">
        <v>6</v>
      </c>
      <c r="G134" s="1" t="s">
        <v>133</v>
      </c>
      <c r="H134" s="17" t="s">
        <v>2784</v>
      </c>
      <c r="I134" s="19"/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1400</v>
      </c>
      <c r="P134" s="5"/>
    </row>
    <row r="135" spans="1:16" ht="14.25" customHeight="1">
      <c r="A135">
        <v>134</v>
      </c>
      <c r="B135">
        <f>IF(表1[[#This Row],[不调整offset]]="x",IFERROR(VLOOKUP(表1[[#This Row],[8:image]],常量!J:N,4,FALSE),0),0)</f>
        <v>15.25</v>
      </c>
      <c r="C135">
        <f>IF(表1[[#This Row],[不调整offset]]="x",IFERROR(VLOOKUP(表1[[#This Row],[8:image]],常量!J:N,5,FALSE),0),0)</f>
        <v>3.25</v>
      </c>
      <c r="E135" t="s">
        <v>2587</v>
      </c>
      <c r="F135">
        <v>6</v>
      </c>
      <c r="G135" s="1" t="s">
        <v>134</v>
      </c>
      <c r="H135" s="17" t="s">
        <v>2785</v>
      </c>
      <c r="I135" s="19"/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1400</v>
      </c>
      <c r="P135" s="5"/>
    </row>
    <row r="136" spans="1:16" ht="14.25" customHeight="1">
      <c r="A136">
        <v>135</v>
      </c>
      <c r="B136">
        <f>IF(表1[[#This Row],[不调整offset]]="x",IFERROR(VLOOKUP(表1[[#This Row],[8:image]],常量!J:N,4,FALSE),0),0)</f>
        <v>43.75</v>
      </c>
      <c r="C136">
        <f>IF(表1[[#This Row],[不调整offset]]="x",IFERROR(VLOOKUP(表1[[#This Row],[8:image]],常量!J:N,5,FALSE),0),0)</f>
        <v>3.25</v>
      </c>
      <c r="E136" t="s">
        <v>2587</v>
      </c>
      <c r="F136">
        <v>6</v>
      </c>
      <c r="G136" s="1" t="s">
        <v>135</v>
      </c>
      <c r="H136" s="17" t="s">
        <v>2786</v>
      </c>
      <c r="I136" s="19"/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1400</v>
      </c>
      <c r="P136" s="5"/>
    </row>
    <row r="137" spans="1:16" ht="14.25" customHeight="1">
      <c r="A137">
        <v>136</v>
      </c>
      <c r="B137">
        <f>IF(表1[[#This Row],[不调整offset]]="x",IFERROR(VLOOKUP(表1[[#This Row],[8:image]],常量!J:N,4,FALSE),0),0)</f>
        <v>12.25</v>
      </c>
      <c r="C137">
        <f>IF(表1[[#This Row],[不调整offset]]="x",IFERROR(VLOOKUP(表1[[#This Row],[8:image]],常量!J:N,5,FALSE),0),0)</f>
        <v>3.25</v>
      </c>
      <c r="E137" t="s">
        <v>2587</v>
      </c>
      <c r="F137">
        <v>6</v>
      </c>
      <c r="G137" s="1" t="s">
        <v>136</v>
      </c>
      <c r="H137" s="17" t="s">
        <v>2787</v>
      </c>
      <c r="I137" s="19"/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1400</v>
      </c>
      <c r="P137" s="5"/>
    </row>
    <row r="138" spans="1:16" ht="14.25" customHeight="1">
      <c r="A138">
        <v>137</v>
      </c>
      <c r="B138">
        <f>IF(表1[[#This Row],[不调整offset]]="x",IFERROR(VLOOKUP(表1[[#This Row],[8:image]],常量!J:N,4,FALSE),0),0)</f>
        <v>30.25</v>
      </c>
      <c r="C138">
        <f>IF(表1[[#This Row],[不调整offset]]="x",IFERROR(VLOOKUP(表1[[#This Row],[8:image]],常量!J:N,5,FALSE),0),0)</f>
        <v>3.25</v>
      </c>
      <c r="E138" t="s">
        <v>2587</v>
      </c>
      <c r="F138">
        <v>6</v>
      </c>
      <c r="G138" s="1" t="s">
        <v>137</v>
      </c>
      <c r="H138" s="17" t="s">
        <v>2788</v>
      </c>
      <c r="I138" s="19"/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1400</v>
      </c>
      <c r="P138" s="5"/>
    </row>
    <row r="139" spans="1:16" ht="14.25" customHeight="1">
      <c r="A139">
        <v>138</v>
      </c>
      <c r="B139">
        <f>IF(表1[[#This Row],[不调整offset]]="x",IFERROR(VLOOKUP(表1[[#This Row],[8:image]],常量!J:N,4,FALSE),0),0)</f>
        <v>27.25</v>
      </c>
      <c r="C139">
        <f>IF(表1[[#This Row],[不调整offset]]="x",IFERROR(VLOOKUP(表1[[#This Row],[8:image]],常量!J:N,5,FALSE),0),0)</f>
        <v>3.25</v>
      </c>
      <c r="E139" t="s">
        <v>2587</v>
      </c>
      <c r="F139">
        <v>6</v>
      </c>
      <c r="G139" s="1" t="s">
        <v>138</v>
      </c>
      <c r="H139" s="17" t="s">
        <v>2789</v>
      </c>
      <c r="I139" s="19"/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1400</v>
      </c>
      <c r="P139" s="5"/>
    </row>
    <row r="140" spans="1:16" ht="14.25" customHeight="1">
      <c r="A140">
        <v>139</v>
      </c>
      <c r="B140">
        <f>IF(表1[[#This Row],[不调整offset]]="x",IFERROR(VLOOKUP(表1[[#This Row],[8:image]],常量!J:N,4,FALSE),0),0)</f>
        <v>27.25</v>
      </c>
      <c r="C140">
        <f>IF(表1[[#This Row],[不调整offset]]="x",IFERROR(VLOOKUP(表1[[#This Row],[8:image]],常量!J:N,5,FALSE),0),0)</f>
        <v>3.25</v>
      </c>
      <c r="E140" t="s">
        <v>2587</v>
      </c>
      <c r="F140">
        <v>6</v>
      </c>
      <c r="G140" s="1" t="s">
        <v>139</v>
      </c>
      <c r="H140" s="17" t="s">
        <v>2790</v>
      </c>
      <c r="I140" s="19"/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1400</v>
      </c>
      <c r="P140" s="5"/>
    </row>
    <row r="141" spans="1:16" ht="14.25" customHeight="1">
      <c r="A141">
        <v>140</v>
      </c>
      <c r="B141">
        <f>IF(表1[[#This Row],[不调整offset]]="x",IFERROR(VLOOKUP(表1[[#This Row],[8:image]],常量!J:N,4,FALSE),0),0)</f>
        <v>24.25</v>
      </c>
      <c r="C141">
        <f>IF(表1[[#This Row],[不调整offset]]="x",IFERROR(VLOOKUP(表1[[#This Row],[8:image]],常量!J:N,5,FALSE),0),0)</f>
        <v>3.25</v>
      </c>
      <c r="E141" t="s">
        <v>2587</v>
      </c>
      <c r="F141">
        <v>6</v>
      </c>
      <c r="G141" s="1" t="s">
        <v>140</v>
      </c>
      <c r="H141" s="17" t="s">
        <v>2791</v>
      </c>
      <c r="I141" s="19"/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1400</v>
      </c>
      <c r="P141" s="5"/>
    </row>
    <row r="142" spans="1:16" ht="14.25" customHeight="1">
      <c r="A142">
        <v>141</v>
      </c>
      <c r="B142">
        <f>IF(表1[[#This Row],[不调整offset]]="x",IFERROR(VLOOKUP(表1[[#This Row],[8:image]],常量!J:N,4,FALSE),0),0)</f>
        <v>42.25</v>
      </c>
      <c r="C142">
        <f>IF(表1[[#This Row],[不调整offset]]="x",IFERROR(VLOOKUP(表1[[#This Row],[8:image]],常量!J:N,5,FALSE),0),0)</f>
        <v>3.25</v>
      </c>
      <c r="E142" t="s">
        <v>2587</v>
      </c>
      <c r="F142">
        <v>6</v>
      </c>
      <c r="G142" s="1" t="s">
        <v>141</v>
      </c>
      <c r="H142" s="17" t="s">
        <v>2792</v>
      </c>
      <c r="I142" s="19"/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1400</v>
      </c>
      <c r="P142" s="5"/>
    </row>
    <row r="143" spans="1:16" ht="14.25" customHeight="1">
      <c r="A143">
        <v>142</v>
      </c>
      <c r="B143">
        <f>IF(表1[[#This Row],[不调整offset]]="x",IFERROR(VLOOKUP(表1[[#This Row],[8:image]],常量!J:N,4,FALSE),0),0)</f>
        <v>31.75</v>
      </c>
      <c r="C143">
        <f>IF(表1[[#This Row],[不调整offset]]="x",IFERROR(VLOOKUP(表1[[#This Row],[8:image]],常量!J:N,5,FALSE),0),0)</f>
        <v>3.25</v>
      </c>
      <c r="E143" t="s">
        <v>2587</v>
      </c>
      <c r="F143">
        <v>6</v>
      </c>
      <c r="G143" s="1" t="s">
        <v>142</v>
      </c>
      <c r="H143" s="17" t="s">
        <v>2793</v>
      </c>
      <c r="I143" s="19"/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1400</v>
      </c>
      <c r="P143" s="5"/>
    </row>
    <row r="144" spans="1:16" ht="14.25" customHeight="1">
      <c r="A144">
        <v>143</v>
      </c>
      <c r="B144">
        <f>IF(表1[[#This Row],[不调整offset]]="x",IFERROR(VLOOKUP(表1[[#This Row],[8:image]],常量!J:N,4,FALSE),0),0)</f>
        <v>0</v>
      </c>
      <c r="C144">
        <f>IF(表1[[#This Row],[不调整offset]]="x",IFERROR(VLOOKUP(表1[[#This Row],[8:image]],常量!J:N,5,FALSE),0),0)</f>
        <v>0</v>
      </c>
      <c r="E144" t="s">
        <v>2587</v>
      </c>
      <c r="F144">
        <v>6</v>
      </c>
      <c r="G144" s="8" t="s">
        <v>143</v>
      </c>
      <c r="H144" s="16" t="s">
        <v>2794</v>
      </c>
      <c r="I144" s="19"/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customHeight="1">
      <c r="A145">
        <v>144</v>
      </c>
      <c r="B145">
        <f>IF(表1[[#This Row],[不调整offset]]="x",IFERROR(VLOOKUP(表1[[#This Row],[8:image]],常量!J:N,4,FALSE),0),0)</f>
        <v>0</v>
      </c>
      <c r="C145">
        <f>IF(表1[[#This Row],[不调整offset]]="x",IFERROR(VLOOKUP(表1[[#This Row],[8:image]],常量!J:N,5,FALSE),0),0)</f>
        <v>0</v>
      </c>
      <c r="E145" t="s">
        <v>2587</v>
      </c>
      <c r="F145">
        <v>6</v>
      </c>
      <c r="G145" s="8" t="s">
        <v>144</v>
      </c>
      <c r="H145" s="16" t="s">
        <v>2795</v>
      </c>
      <c r="I145" s="19"/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customHeight="1">
      <c r="A146">
        <v>145</v>
      </c>
      <c r="B146">
        <f>IF(表1[[#This Row],[不调整offset]]="x",IFERROR(VLOOKUP(表1[[#This Row],[8:image]],常量!J:N,4,FALSE),0),0)</f>
        <v>0</v>
      </c>
      <c r="C146">
        <f>IF(表1[[#This Row],[不调整offset]]="x",IFERROR(VLOOKUP(表1[[#This Row],[8:image]],常量!J:N,5,FALSE),0),0)</f>
        <v>0</v>
      </c>
      <c r="E146" t="s">
        <v>2587</v>
      </c>
      <c r="F146">
        <v>6</v>
      </c>
      <c r="G146" s="8" t="s">
        <v>145</v>
      </c>
      <c r="H146" s="16" t="s">
        <v>2796</v>
      </c>
      <c r="I146" s="19"/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customHeight="1">
      <c r="A147">
        <v>146</v>
      </c>
      <c r="B147">
        <f>IF(表1[[#This Row],[不调整offset]]="x",IFERROR(VLOOKUP(表1[[#This Row],[8:image]],常量!J:N,4,FALSE),0),0)</f>
        <v>0</v>
      </c>
      <c r="C147">
        <f>IF(表1[[#This Row],[不调整offset]]="x",IFERROR(VLOOKUP(表1[[#This Row],[8:image]],常量!J:N,5,FALSE),0),0)</f>
        <v>0</v>
      </c>
      <c r="E147" t="s">
        <v>2587</v>
      </c>
      <c r="F147">
        <v>6</v>
      </c>
      <c r="G147" s="8" t="s">
        <v>146</v>
      </c>
      <c r="H147" s="16" t="s">
        <v>2797</v>
      </c>
      <c r="I147" s="19"/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customHeight="1">
      <c r="A148">
        <v>147</v>
      </c>
      <c r="B148">
        <f>IF(表1[[#This Row],[不调整offset]]="x",IFERROR(VLOOKUP(表1[[#This Row],[8:image]],常量!J:N,4,FALSE),0),0)</f>
        <v>33.25</v>
      </c>
      <c r="C148">
        <f>IF(表1[[#This Row],[不调整offset]]="x",IFERROR(VLOOKUP(表1[[#This Row],[8:image]],常量!J:N,5,FALSE),0),0)</f>
        <v>3.25</v>
      </c>
      <c r="E148" t="s">
        <v>2587</v>
      </c>
      <c r="F148">
        <v>6</v>
      </c>
      <c r="G148" s="1" t="s">
        <v>147</v>
      </c>
      <c r="H148" s="17" t="s">
        <v>2798</v>
      </c>
      <c r="I148" s="19"/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1400</v>
      </c>
      <c r="P148" s="5"/>
    </row>
    <row r="149" spans="1:16" ht="14.25" customHeight="1">
      <c r="A149">
        <v>148</v>
      </c>
      <c r="B149">
        <f>IF(表1[[#This Row],[不调整offset]]="x",IFERROR(VLOOKUP(表1[[#This Row],[8:image]],常量!J:N,4,FALSE),0),0)</f>
        <v>0</v>
      </c>
      <c r="C149">
        <f>IF(表1[[#This Row],[不调整offset]]="x",IFERROR(VLOOKUP(表1[[#This Row],[8:image]],常量!J:N,5,FALSE),0),0)</f>
        <v>0</v>
      </c>
      <c r="E149" t="s">
        <v>2587</v>
      </c>
      <c r="F149">
        <v>6</v>
      </c>
      <c r="G149" s="8" t="s">
        <v>149</v>
      </c>
      <c r="H149" s="16" t="s">
        <v>2799</v>
      </c>
      <c r="I149" s="16" t="s">
        <v>4290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customHeight="1">
      <c r="A150">
        <v>149</v>
      </c>
      <c r="B150">
        <f>IF(表1[[#This Row],[不调整offset]]="x",IFERROR(VLOOKUP(表1[[#This Row],[8:image]],常量!J:N,4,FALSE),0),0)</f>
        <v>0</v>
      </c>
      <c r="C150">
        <f>IF(表1[[#This Row],[不调整offset]]="x",IFERROR(VLOOKUP(表1[[#This Row],[8:image]],常量!J:N,5,FALSE),0),0)</f>
        <v>0</v>
      </c>
      <c r="E150" t="s">
        <v>2587</v>
      </c>
      <c r="F150">
        <v>6</v>
      </c>
      <c r="G150" s="8" t="s">
        <v>150</v>
      </c>
      <c r="H150" s="16" t="s">
        <v>2800</v>
      </c>
      <c r="I150" s="16" t="s">
        <v>4291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customHeight="1">
      <c r="A151">
        <v>150</v>
      </c>
      <c r="B151">
        <f>IF(表1[[#This Row],[不调整offset]]="x",IFERROR(VLOOKUP(表1[[#This Row],[8:image]],常量!J:N,4,FALSE),0),0)</f>
        <v>0</v>
      </c>
      <c r="C151">
        <f>IF(表1[[#This Row],[不调整offset]]="x",IFERROR(VLOOKUP(表1[[#This Row],[8:image]],常量!J:N,5,FALSE),0),0)</f>
        <v>0</v>
      </c>
      <c r="E151" t="s">
        <v>2587</v>
      </c>
      <c r="F151">
        <v>6</v>
      </c>
      <c r="G151" s="8" t="s">
        <v>151</v>
      </c>
      <c r="H151" s="16" t="s">
        <v>2801</v>
      </c>
      <c r="I151" s="16" t="s">
        <v>4292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customHeight="1">
      <c r="A152">
        <v>151</v>
      </c>
      <c r="B152">
        <f>IF(表1[[#This Row],[不调整offset]]="x",IFERROR(VLOOKUP(表1[[#This Row],[8:image]],常量!J:N,4,FALSE),0),0)</f>
        <v>0</v>
      </c>
      <c r="C152">
        <f>IF(表1[[#This Row],[不调整offset]]="x",IFERROR(VLOOKUP(表1[[#This Row],[8:image]],常量!J:N,5,FALSE),0),0)</f>
        <v>0</v>
      </c>
      <c r="E152" t="s">
        <v>2587</v>
      </c>
      <c r="F152">
        <v>6</v>
      </c>
      <c r="G152" s="8" t="s">
        <v>152</v>
      </c>
      <c r="H152" s="16" t="s">
        <v>2802</v>
      </c>
      <c r="I152" s="16" t="s">
        <v>4293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customHeight="1">
      <c r="A153">
        <v>152</v>
      </c>
      <c r="B153">
        <f>IF(表1[[#This Row],[不调整offset]]="x",IFERROR(VLOOKUP(表1[[#This Row],[8:image]],常量!J:N,4,FALSE),0),0)</f>
        <v>0</v>
      </c>
      <c r="C153">
        <f>IF(表1[[#This Row],[不调整offset]]="x",IFERROR(VLOOKUP(表1[[#This Row],[8:image]],常量!J:N,5,FALSE),0),0)</f>
        <v>0</v>
      </c>
      <c r="E153" t="s">
        <v>2587</v>
      </c>
      <c r="F153">
        <v>6</v>
      </c>
      <c r="G153" s="8" t="s">
        <v>153</v>
      </c>
      <c r="H153" s="16" t="s">
        <v>2803</v>
      </c>
      <c r="I153" s="16" t="s">
        <v>4294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customHeight="1">
      <c r="A154">
        <v>153</v>
      </c>
      <c r="B154">
        <f>IF(表1[[#This Row],[不调整offset]]="x",IFERROR(VLOOKUP(表1[[#This Row],[8:image]],常量!J:N,4,FALSE),0),0)</f>
        <v>0</v>
      </c>
      <c r="C154">
        <f>IF(表1[[#This Row],[不调整offset]]="x",IFERROR(VLOOKUP(表1[[#This Row],[8:image]],常量!J:N,5,FALSE),0),0)</f>
        <v>0</v>
      </c>
      <c r="E154" t="s">
        <v>2587</v>
      </c>
      <c r="F154">
        <v>6</v>
      </c>
      <c r="G154" s="8" t="s">
        <v>154</v>
      </c>
      <c r="H154" s="16" t="s">
        <v>2804</v>
      </c>
      <c r="I154" s="16" t="s">
        <v>4295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customHeight="1">
      <c r="A155">
        <v>154</v>
      </c>
      <c r="B155">
        <f>IF(表1[[#This Row],[不调整offset]]="x",IFERROR(VLOOKUP(表1[[#This Row],[8:image]],常量!J:N,4,FALSE),0),0)</f>
        <v>0</v>
      </c>
      <c r="C155">
        <f>IF(表1[[#This Row],[不调整offset]]="x",IFERROR(VLOOKUP(表1[[#This Row],[8:image]],常量!J:N,5,FALSE),0),0)</f>
        <v>0</v>
      </c>
      <c r="E155" t="s">
        <v>2587</v>
      </c>
      <c r="F155">
        <v>6</v>
      </c>
      <c r="G155" s="8" t="s">
        <v>155</v>
      </c>
      <c r="H155" s="16" t="s">
        <v>2805</v>
      </c>
      <c r="I155" s="16" t="s">
        <v>4296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customHeight="1">
      <c r="A156">
        <v>155</v>
      </c>
      <c r="B156">
        <f>IF(表1[[#This Row],[不调整offset]]="x",IFERROR(VLOOKUP(表1[[#This Row],[8:image]],常量!J:N,4,FALSE),0),0)</f>
        <v>0</v>
      </c>
      <c r="C156">
        <f>IF(表1[[#This Row],[不调整offset]]="x",IFERROR(VLOOKUP(表1[[#This Row],[8:image]],常量!J:N,5,FALSE),0),0)</f>
        <v>0</v>
      </c>
      <c r="E156" t="s">
        <v>2587</v>
      </c>
      <c r="F156">
        <v>6</v>
      </c>
      <c r="G156" s="8" t="s">
        <v>156</v>
      </c>
      <c r="H156" s="16" t="s">
        <v>2806</v>
      </c>
      <c r="I156" s="16" t="s">
        <v>4297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customHeight="1">
      <c r="A157">
        <v>156</v>
      </c>
      <c r="B157">
        <f>IF(表1[[#This Row],[不调整offset]]="x",IFERROR(VLOOKUP(表1[[#This Row],[8:image]],常量!J:N,4,FALSE),0),0)</f>
        <v>0</v>
      </c>
      <c r="C157">
        <f>IF(表1[[#This Row],[不调整offset]]="x",IFERROR(VLOOKUP(表1[[#This Row],[8:image]],常量!J:N,5,FALSE),0),0)</f>
        <v>0</v>
      </c>
      <c r="E157" t="s">
        <v>2587</v>
      </c>
      <c r="F157">
        <v>6</v>
      </c>
      <c r="G157" s="8" t="s">
        <v>157</v>
      </c>
      <c r="H157" s="16" t="s">
        <v>2807</v>
      </c>
      <c r="I157" s="16" t="s">
        <v>4298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customHeight="1">
      <c r="A158">
        <v>157</v>
      </c>
      <c r="B158">
        <f>IF(表1[[#This Row],[不调整offset]]="x",IFERROR(VLOOKUP(表1[[#This Row],[8:image]],常量!J:N,4,FALSE),0),0)</f>
        <v>0</v>
      </c>
      <c r="C158">
        <f>IF(表1[[#This Row],[不调整offset]]="x",IFERROR(VLOOKUP(表1[[#This Row],[8:image]],常量!J:N,5,FALSE),0),0)</f>
        <v>0</v>
      </c>
      <c r="E158" t="s">
        <v>2587</v>
      </c>
      <c r="F158">
        <v>6</v>
      </c>
      <c r="G158" s="8" t="s">
        <v>158</v>
      </c>
      <c r="H158" s="16" t="s">
        <v>2808</v>
      </c>
      <c r="I158" s="16" t="s">
        <v>4299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customHeight="1">
      <c r="A159">
        <v>158</v>
      </c>
      <c r="B159">
        <f>IF(表1[[#This Row],[不调整offset]]="x",IFERROR(VLOOKUP(表1[[#This Row],[8:image]],常量!J:N,4,FALSE),0),0)</f>
        <v>0</v>
      </c>
      <c r="C159">
        <f>IF(表1[[#This Row],[不调整offset]]="x",IFERROR(VLOOKUP(表1[[#This Row],[8:image]],常量!J:N,5,FALSE),0),0)</f>
        <v>0</v>
      </c>
      <c r="E159" t="s">
        <v>2587</v>
      </c>
      <c r="F159">
        <v>6</v>
      </c>
      <c r="G159" s="8" t="s">
        <v>159</v>
      </c>
      <c r="H159" s="16" t="s">
        <v>2809</v>
      </c>
      <c r="I159" s="16" t="s">
        <v>4300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customHeight="1">
      <c r="A160">
        <v>159</v>
      </c>
      <c r="B160">
        <f>IF(表1[[#This Row],[不调整offset]]="x",IFERROR(VLOOKUP(表1[[#This Row],[8:image]],常量!J:N,4,FALSE),0),0)</f>
        <v>0</v>
      </c>
      <c r="C160">
        <f>IF(表1[[#This Row],[不调整offset]]="x",IFERROR(VLOOKUP(表1[[#This Row],[8:image]],常量!J:N,5,FALSE),0),0)</f>
        <v>0</v>
      </c>
      <c r="E160" t="s">
        <v>2587</v>
      </c>
      <c r="F160">
        <v>6</v>
      </c>
      <c r="G160" s="8" t="s">
        <v>160</v>
      </c>
      <c r="H160" s="16" t="s">
        <v>2810</v>
      </c>
      <c r="I160" s="16" t="s">
        <v>4301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customHeight="1">
      <c r="A161">
        <v>160</v>
      </c>
      <c r="B161">
        <f>IF(表1[[#This Row],[不调整offset]]="x",IFERROR(VLOOKUP(表1[[#This Row],[8:image]],常量!J:N,4,FALSE),0),0)</f>
        <v>0</v>
      </c>
      <c r="C161">
        <f>IF(表1[[#This Row],[不调整offset]]="x",IFERROR(VLOOKUP(表1[[#This Row],[8:image]],常量!J:N,5,FALSE),0),0)</f>
        <v>0</v>
      </c>
      <c r="E161" t="s">
        <v>2587</v>
      </c>
      <c r="F161">
        <v>6</v>
      </c>
      <c r="G161" s="8" t="s">
        <v>161</v>
      </c>
      <c r="H161" s="16" t="s">
        <v>2811</v>
      </c>
      <c r="I161" s="16" t="s">
        <v>4302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customHeight="1">
      <c r="A162">
        <v>161</v>
      </c>
      <c r="B162">
        <f>IF(表1[[#This Row],[不调整offset]]="x",IFERROR(VLOOKUP(表1[[#This Row],[8:image]],常量!J:N,4,FALSE),0),0)</f>
        <v>9.25</v>
      </c>
      <c r="C162">
        <f>IF(表1[[#This Row],[不调整offset]]="x",IFERROR(VLOOKUP(表1[[#This Row],[8:image]],常量!J:N,5,FALSE),0),0)</f>
        <v>3.25</v>
      </c>
      <c r="E162" t="s">
        <v>2587</v>
      </c>
      <c r="F162">
        <v>6</v>
      </c>
      <c r="G162" s="1" t="s">
        <v>162</v>
      </c>
      <c r="H162" s="17" t="s">
        <v>2812</v>
      </c>
      <c r="I162" s="19"/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1400</v>
      </c>
      <c r="P162" s="5"/>
    </row>
    <row r="163" spans="1:16" ht="14.25" customHeight="1">
      <c r="A163">
        <v>162</v>
      </c>
      <c r="B163">
        <f>IF(表1[[#This Row],[不调整offset]]="x",IFERROR(VLOOKUP(表1[[#This Row],[8:image]],常量!J:N,4,FALSE),0),0)</f>
        <v>12.25</v>
      </c>
      <c r="C163">
        <f>IF(表1[[#This Row],[不调整offset]]="x",IFERROR(VLOOKUP(表1[[#This Row],[8:image]],常量!J:N,5,FALSE),0),0)</f>
        <v>3.25</v>
      </c>
      <c r="E163" t="s">
        <v>2587</v>
      </c>
      <c r="F163">
        <v>6</v>
      </c>
      <c r="G163" s="1" t="s">
        <v>163</v>
      </c>
      <c r="H163" s="17" t="s">
        <v>2813</v>
      </c>
      <c r="I163" s="19"/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1400</v>
      </c>
      <c r="P163" s="5"/>
    </row>
    <row r="164" spans="1:16" ht="14.25" customHeight="1">
      <c r="A164">
        <v>163</v>
      </c>
      <c r="B164">
        <f>IF(表1[[#This Row],[不调整offset]]="x",IFERROR(VLOOKUP(表1[[#This Row],[8:image]],常量!J:N,4,FALSE),0),0)</f>
        <v>0</v>
      </c>
      <c r="C164">
        <f>IF(表1[[#This Row],[不调整offset]]="x",IFERROR(VLOOKUP(表1[[#This Row],[8:image]],常量!J:N,5,FALSE),0),0)</f>
        <v>0</v>
      </c>
      <c r="E164">
        <v>1</v>
      </c>
      <c r="F164">
        <v>12</v>
      </c>
      <c r="G164" s="8" t="s">
        <v>149</v>
      </c>
      <c r="H164" s="16" t="s">
        <v>2814</v>
      </c>
      <c r="I164" s="19"/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IF(表1[[#This Row],[不调整offset]]="x",IFERROR(VLOOKUP(表1[[#This Row],[8:image]],常量!J:N,4,FALSE),0),0)</f>
        <v>0</v>
      </c>
      <c r="C165">
        <f>IF(表1[[#This Row],[不调整offset]]="x",IFERROR(VLOOKUP(表1[[#This Row],[8:image]],常量!J:N,5,FALSE),0),0)</f>
        <v>0</v>
      </c>
      <c r="E165">
        <v>1</v>
      </c>
      <c r="F165">
        <v>12</v>
      </c>
      <c r="G165" s="8" t="s">
        <v>150</v>
      </c>
      <c r="H165" s="16" t="s">
        <v>2815</v>
      </c>
      <c r="I165" s="19"/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IF(表1[[#This Row],[不调整offset]]="x",IFERROR(VLOOKUP(表1[[#This Row],[8:image]],常量!J:N,4,FALSE),0),0)</f>
        <v>0</v>
      </c>
      <c r="C166">
        <f>IF(表1[[#This Row],[不调整offset]]="x",IFERROR(VLOOKUP(表1[[#This Row],[8:image]],常量!J:N,5,FALSE),0),0)</f>
        <v>0</v>
      </c>
      <c r="E166">
        <v>1</v>
      </c>
      <c r="F166">
        <v>12</v>
      </c>
      <c r="G166" s="8" t="s">
        <v>151</v>
      </c>
      <c r="H166" s="16" t="s">
        <v>2816</v>
      </c>
      <c r="I166" s="19"/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IF(表1[[#This Row],[不调整offset]]="x",IFERROR(VLOOKUP(表1[[#This Row],[8:image]],常量!J:N,4,FALSE),0),0)</f>
        <v>0</v>
      </c>
      <c r="C167">
        <f>IF(表1[[#This Row],[不调整offset]]="x",IFERROR(VLOOKUP(表1[[#This Row],[8:image]],常量!J:N,5,FALSE),0),0)</f>
        <v>0</v>
      </c>
      <c r="E167">
        <v>1</v>
      </c>
      <c r="F167">
        <v>12</v>
      </c>
      <c r="G167" s="8" t="s">
        <v>152</v>
      </c>
      <c r="H167" s="16" t="s">
        <v>2817</v>
      </c>
      <c r="I167" s="19"/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IF(表1[[#This Row],[不调整offset]]="x",IFERROR(VLOOKUP(表1[[#This Row],[8:image]],常量!J:N,4,FALSE),0),0)</f>
        <v>0</v>
      </c>
      <c r="C168">
        <f>IF(表1[[#This Row],[不调整offset]]="x",IFERROR(VLOOKUP(表1[[#This Row],[8:image]],常量!J:N,5,FALSE),0),0)</f>
        <v>0</v>
      </c>
      <c r="E168">
        <v>1</v>
      </c>
      <c r="F168">
        <v>12</v>
      </c>
      <c r="G168" s="8" t="s">
        <v>153</v>
      </c>
      <c r="H168" s="16" t="s">
        <v>2818</v>
      </c>
      <c r="I168" s="19"/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IF(表1[[#This Row],[不调整offset]]="x",IFERROR(VLOOKUP(表1[[#This Row],[8:image]],常量!J:N,4,FALSE),0),0)</f>
        <v>0</v>
      </c>
      <c r="C169">
        <f>IF(表1[[#This Row],[不调整offset]]="x",IFERROR(VLOOKUP(表1[[#This Row],[8:image]],常量!J:N,5,FALSE),0),0)</f>
        <v>0</v>
      </c>
      <c r="E169">
        <v>1</v>
      </c>
      <c r="F169">
        <v>12</v>
      </c>
      <c r="G169" s="8" t="s">
        <v>154</v>
      </c>
      <c r="H169" s="16" t="s">
        <v>2819</v>
      </c>
      <c r="I169" s="19"/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IF(表1[[#This Row],[不调整offset]]="x",IFERROR(VLOOKUP(表1[[#This Row],[8:image]],常量!J:N,4,FALSE),0),0)</f>
        <v>0</v>
      </c>
      <c r="C170">
        <f>IF(表1[[#This Row],[不调整offset]]="x",IFERROR(VLOOKUP(表1[[#This Row],[8:image]],常量!J:N,5,FALSE),0),0)</f>
        <v>0</v>
      </c>
      <c r="E170">
        <v>1</v>
      </c>
      <c r="F170">
        <v>12</v>
      </c>
      <c r="G170" s="8" t="s">
        <v>155</v>
      </c>
      <c r="H170" s="16" t="s">
        <v>2820</v>
      </c>
      <c r="I170" s="19"/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IF(表1[[#This Row],[不调整offset]]="x",IFERROR(VLOOKUP(表1[[#This Row],[8:image]],常量!J:N,4,FALSE),0),0)</f>
        <v>0</v>
      </c>
      <c r="C171">
        <f>IF(表1[[#This Row],[不调整offset]]="x",IFERROR(VLOOKUP(表1[[#This Row],[8:image]],常量!J:N,5,FALSE),0),0)</f>
        <v>0</v>
      </c>
      <c r="E171">
        <v>1</v>
      </c>
      <c r="F171">
        <v>12</v>
      </c>
      <c r="G171" s="8" t="s">
        <v>156</v>
      </c>
      <c r="H171" s="16" t="s">
        <v>2821</v>
      </c>
      <c r="I171" s="19"/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IF(表1[[#This Row],[不调整offset]]="x",IFERROR(VLOOKUP(表1[[#This Row],[8:image]],常量!J:N,4,FALSE),0),0)</f>
        <v>0</v>
      </c>
      <c r="C172">
        <f>IF(表1[[#This Row],[不调整offset]]="x",IFERROR(VLOOKUP(表1[[#This Row],[8:image]],常量!J:N,5,FALSE),0),0)</f>
        <v>0</v>
      </c>
      <c r="E172">
        <v>1</v>
      </c>
      <c r="F172">
        <v>12</v>
      </c>
      <c r="G172" s="8" t="s">
        <v>157</v>
      </c>
      <c r="H172" s="16" t="s">
        <v>2822</v>
      </c>
      <c r="I172" s="19"/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IF(表1[[#This Row],[不调整offset]]="x",IFERROR(VLOOKUP(表1[[#This Row],[8:image]],常量!J:N,4,FALSE),0),0)</f>
        <v>0</v>
      </c>
      <c r="C173">
        <f>IF(表1[[#This Row],[不调整offset]]="x",IFERROR(VLOOKUP(表1[[#This Row],[8:image]],常量!J:N,5,FALSE),0),0)</f>
        <v>0</v>
      </c>
      <c r="E173">
        <v>1</v>
      </c>
      <c r="F173">
        <v>12</v>
      </c>
      <c r="G173" s="8" t="s">
        <v>158</v>
      </c>
      <c r="H173" s="16" t="s">
        <v>2823</v>
      </c>
      <c r="I173" s="19"/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IF(表1[[#This Row],[不调整offset]]="x",IFERROR(VLOOKUP(表1[[#This Row],[8:image]],常量!J:N,4,FALSE),0),0)</f>
        <v>0</v>
      </c>
      <c r="C174">
        <f>IF(表1[[#This Row],[不调整offset]]="x",IFERROR(VLOOKUP(表1[[#This Row],[8:image]],常量!J:N,5,FALSE),0),0)</f>
        <v>0</v>
      </c>
      <c r="E174">
        <v>1</v>
      </c>
      <c r="F174">
        <v>12</v>
      </c>
      <c r="G174" s="8" t="s">
        <v>159</v>
      </c>
      <c r="H174" s="16" t="s">
        <v>2824</v>
      </c>
      <c r="I174" s="19"/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IF(表1[[#This Row],[不调整offset]]="x",IFERROR(VLOOKUP(表1[[#This Row],[8:image]],常量!J:N,4,FALSE),0),0)</f>
        <v>0</v>
      </c>
      <c r="C175">
        <f>IF(表1[[#This Row],[不调整offset]]="x",IFERROR(VLOOKUP(表1[[#This Row],[8:image]],常量!J:N,5,FALSE),0),0)</f>
        <v>0</v>
      </c>
      <c r="E175">
        <v>1</v>
      </c>
      <c r="F175">
        <v>12</v>
      </c>
      <c r="G175" s="8" t="s">
        <v>160</v>
      </c>
      <c r="H175" s="16" t="s">
        <v>2825</v>
      </c>
      <c r="I175" s="19"/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IF(表1[[#This Row],[不调整offset]]="x",IFERROR(VLOOKUP(表1[[#This Row],[8:image]],常量!J:N,4,FALSE),0),0)</f>
        <v>0</v>
      </c>
      <c r="C176">
        <f>IF(表1[[#This Row],[不调整offset]]="x",IFERROR(VLOOKUP(表1[[#This Row],[8:image]],常量!J:N,5,FALSE),0),0)</f>
        <v>0</v>
      </c>
      <c r="E176">
        <v>1</v>
      </c>
      <c r="F176">
        <v>12</v>
      </c>
      <c r="G176" s="8" t="s">
        <v>161</v>
      </c>
      <c r="H176" s="16" t="s">
        <v>2826</v>
      </c>
      <c r="I176" s="19"/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IF(表1[[#This Row],[不调整offset]]="x",IFERROR(VLOOKUP(表1[[#This Row],[8:image]],常量!J:N,4,FALSE),0),0)</f>
        <v>0</v>
      </c>
      <c r="C177">
        <f>IF(表1[[#This Row],[不调整offset]]="x",IFERROR(VLOOKUP(表1[[#This Row],[8:image]],常量!J:N,5,FALSE),0),0)</f>
        <v>0</v>
      </c>
      <c r="E177">
        <v>1</v>
      </c>
      <c r="F177">
        <v>12</v>
      </c>
      <c r="G177" s="1" t="s">
        <v>162</v>
      </c>
      <c r="H177" s="17" t="s">
        <v>2827</v>
      </c>
      <c r="I177" s="19"/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customHeight="1">
      <c r="A178">
        <v>177</v>
      </c>
      <c r="B178">
        <f>IF(表1[[#This Row],[不调整offset]]="x",IFERROR(VLOOKUP(表1[[#This Row],[8:image]],常量!J:N,4,FALSE),0),0)</f>
        <v>0</v>
      </c>
      <c r="C178">
        <f>IF(表1[[#This Row],[不调整offset]]="x",IFERROR(VLOOKUP(表1[[#This Row],[8:image]],常量!J:N,5,FALSE),0),0)</f>
        <v>0</v>
      </c>
      <c r="E178">
        <v>1</v>
      </c>
      <c r="F178">
        <v>12</v>
      </c>
      <c r="G178" s="1" t="s">
        <v>163</v>
      </c>
      <c r="H178" s="17" t="s">
        <v>2828</v>
      </c>
      <c r="I178" s="19"/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f>IF(表1[[#This Row],[不调整offset]]="x",IFERROR(VLOOKUP(表1[[#This Row],[8:image]],常量!J:N,4,FALSE),0),0)</f>
        <v>12.25</v>
      </c>
      <c r="C179">
        <f>IF(表1[[#This Row],[不调整offset]]="x",IFERROR(VLOOKUP(表1[[#This Row],[8:image]],常量!J:N,5,FALSE),0),0)</f>
        <v>3.25</v>
      </c>
      <c r="E179" t="s">
        <v>2587</v>
      </c>
      <c r="F179">
        <v>6</v>
      </c>
      <c r="G179" s="1" t="s">
        <v>166</v>
      </c>
      <c r="H179" s="17" t="s">
        <v>2829</v>
      </c>
      <c r="I179" s="19"/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1400</v>
      </c>
      <c r="P179" s="5"/>
    </row>
    <row r="180" spans="1:16" ht="14.25" customHeight="1">
      <c r="A180">
        <v>181</v>
      </c>
      <c r="B180">
        <f>IF(表1[[#This Row],[不调整offset]]="x",IFERROR(VLOOKUP(表1[[#This Row],[8:image]],常量!J:N,4,FALSE),0),0)</f>
        <v>28.75</v>
      </c>
      <c r="C180">
        <f>IF(表1[[#This Row],[不调整offset]]="x",IFERROR(VLOOKUP(表1[[#This Row],[8:image]],常量!J:N,5,FALSE),0),0)</f>
        <v>3.25</v>
      </c>
      <c r="E180" t="s">
        <v>2587</v>
      </c>
      <c r="F180">
        <v>6</v>
      </c>
      <c r="G180" s="1" t="s">
        <v>167</v>
      </c>
      <c r="H180" s="17" t="s">
        <v>2830</v>
      </c>
      <c r="I180" s="19"/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1400</v>
      </c>
      <c r="P180" s="5"/>
    </row>
    <row r="181" spans="1:16" ht="14.25" customHeight="1">
      <c r="A181">
        <v>182</v>
      </c>
      <c r="B181">
        <f>IF(表1[[#This Row],[不调整offset]]="x",IFERROR(VLOOKUP(表1[[#This Row],[8:image]],常量!J:N,4,FALSE),0),0)</f>
        <v>28.75</v>
      </c>
      <c r="C181">
        <f>IF(表1[[#This Row],[不调整offset]]="x",IFERROR(VLOOKUP(表1[[#This Row],[8:image]],常量!J:N,5,FALSE),0),0)</f>
        <v>3.25</v>
      </c>
      <c r="E181" t="s">
        <v>2587</v>
      </c>
      <c r="F181">
        <v>6</v>
      </c>
      <c r="G181" s="1" t="s">
        <v>168</v>
      </c>
      <c r="H181" s="17" t="s">
        <v>2831</v>
      </c>
      <c r="I181" s="19"/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1400</v>
      </c>
      <c r="P181" s="5"/>
    </row>
    <row r="182" spans="1:16" ht="14.25" customHeight="1">
      <c r="A182">
        <v>183</v>
      </c>
      <c r="B182">
        <f>IF(表1[[#This Row],[不调整offset]]="x",IFERROR(VLOOKUP(表1[[#This Row],[8:image]],常量!J:N,4,FALSE),0),0)</f>
        <v>28.75</v>
      </c>
      <c r="C182">
        <f>IF(表1[[#This Row],[不调整offset]]="x",IFERROR(VLOOKUP(表1[[#This Row],[8:image]],常量!J:N,5,FALSE),0),0)</f>
        <v>3.25</v>
      </c>
      <c r="E182" t="s">
        <v>2587</v>
      </c>
      <c r="F182">
        <v>6</v>
      </c>
      <c r="G182" s="1" t="s">
        <v>169</v>
      </c>
      <c r="H182" s="17" t="s">
        <v>2832</v>
      </c>
      <c r="I182" s="19"/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1400</v>
      </c>
      <c r="P182" s="5"/>
    </row>
    <row r="183" spans="1:16" ht="14.25" customHeight="1">
      <c r="A183">
        <v>184</v>
      </c>
      <c r="B183">
        <f>IF(表1[[#This Row],[不调整offset]]="x",IFERROR(VLOOKUP(表1[[#This Row],[8:image]],常量!J:N,4,FALSE),0),0)</f>
        <v>28.75</v>
      </c>
      <c r="C183">
        <f>IF(表1[[#This Row],[不调整offset]]="x",IFERROR(VLOOKUP(表1[[#This Row],[8:image]],常量!J:N,5,FALSE),0),0)</f>
        <v>3.25</v>
      </c>
      <c r="E183" t="s">
        <v>2587</v>
      </c>
      <c r="F183">
        <v>6</v>
      </c>
      <c r="G183" s="1" t="s">
        <v>170</v>
      </c>
      <c r="H183" s="17" t="s">
        <v>2833</v>
      </c>
      <c r="I183" s="19"/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1400</v>
      </c>
      <c r="P183" s="5"/>
    </row>
    <row r="184" spans="1:16" ht="14.25" customHeight="1">
      <c r="A184">
        <v>185</v>
      </c>
      <c r="B184">
        <f>IF(表1[[#This Row],[不调整offset]]="x",IFERROR(VLOOKUP(表1[[#This Row],[8:image]],常量!J:N,4,FALSE),0),0)</f>
        <v>36.25</v>
      </c>
      <c r="C184">
        <f>IF(表1[[#This Row],[不调整offset]]="x",IFERROR(VLOOKUP(表1[[#This Row],[8:image]],常量!J:N,5,FALSE),0),0)</f>
        <v>3.25</v>
      </c>
      <c r="E184" t="s">
        <v>2587</v>
      </c>
      <c r="F184">
        <v>6</v>
      </c>
      <c r="G184" s="1" t="s">
        <v>171</v>
      </c>
      <c r="H184" s="17" t="s">
        <v>2834</v>
      </c>
      <c r="I184" s="19"/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1400</v>
      </c>
      <c r="P184" s="5"/>
    </row>
    <row r="185" spans="1:16" ht="14.25" customHeight="1">
      <c r="A185">
        <v>186</v>
      </c>
      <c r="B185">
        <f>IF(表1[[#This Row],[不调整offset]]="x",IFERROR(VLOOKUP(表1[[#This Row],[8:image]],常量!J:N,4,FALSE),0),0)</f>
        <v>42.25</v>
      </c>
      <c r="C185">
        <f>IF(表1[[#This Row],[不调整offset]]="x",IFERROR(VLOOKUP(表1[[#This Row],[8:image]],常量!J:N,5,FALSE),0),0)</f>
        <v>3.25</v>
      </c>
      <c r="E185" t="s">
        <v>2587</v>
      </c>
      <c r="F185">
        <v>6</v>
      </c>
      <c r="G185" s="1" t="s">
        <v>172</v>
      </c>
      <c r="H185" s="17" t="s">
        <v>2835</v>
      </c>
      <c r="I185" s="19"/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1400</v>
      </c>
      <c r="P185" s="5"/>
    </row>
    <row r="186" spans="1:16" ht="14.25" customHeight="1">
      <c r="A186">
        <v>187</v>
      </c>
      <c r="B186">
        <f>IF(表1[[#This Row],[不调整offset]]="x",IFERROR(VLOOKUP(表1[[#This Row],[8:image]],常量!J:N,4,FALSE),0),0)</f>
        <v>42.25</v>
      </c>
      <c r="C186">
        <f>IF(表1[[#This Row],[不调整offset]]="x",IFERROR(VLOOKUP(表1[[#This Row],[8:image]],常量!J:N,5,FALSE),0),0)</f>
        <v>3.25</v>
      </c>
      <c r="E186" t="s">
        <v>2587</v>
      </c>
      <c r="F186">
        <v>6</v>
      </c>
      <c r="G186" s="1" t="s">
        <v>173</v>
      </c>
      <c r="H186" s="17" t="s">
        <v>2836</v>
      </c>
      <c r="I186" s="19"/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1400</v>
      </c>
      <c r="P186" s="5"/>
    </row>
    <row r="187" spans="1:16" ht="14.25" customHeight="1">
      <c r="A187">
        <v>188</v>
      </c>
      <c r="B187">
        <f>IF(表1[[#This Row],[不调整offset]]="x",IFERROR(VLOOKUP(表1[[#This Row],[8:image]],常量!J:N,4,FALSE),0),0)</f>
        <v>33.25</v>
      </c>
      <c r="C187">
        <f>IF(表1[[#This Row],[不调整offset]]="x",IFERROR(VLOOKUP(表1[[#This Row],[8:image]],常量!J:N,5,FALSE),0),0)</f>
        <v>3.25</v>
      </c>
      <c r="E187" t="s">
        <v>2587</v>
      </c>
      <c r="F187">
        <v>6</v>
      </c>
      <c r="G187" s="1" t="s">
        <v>174</v>
      </c>
      <c r="H187" s="17" t="s">
        <v>2837</v>
      </c>
      <c r="I187" s="19"/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1400</v>
      </c>
      <c r="P187" s="5"/>
    </row>
    <row r="188" spans="1:16" ht="14.25" customHeight="1">
      <c r="A188">
        <v>189</v>
      </c>
      <c r="B188">
        <f>IF(表1[[#This Row],[不调整offset]]="x",IFERROR(VLOOKUP(表1[[#This Row],[8:image]],常量!J:N,4,FALSE),0),0)</f>
        <v>36.25</v>
      </c>
      <c r="C188">
        <f>IF(表1[[#This Row],[不调整offset]]="x",IFERROR(VLOOKUP(表1[[#This Row],[8:image]],常量!J:N,5,FALSE),0),0)</f>
        <v>3.25</v>
      </c>
      <c r="E188" t="s">
        <v>2587</v>
      </c>
      <c r="F188">
        <v>6</v>
      </c>
      <c r="G188" s="1" t="s">
        <v>175</v>
      </c>
      <c r="H188" s="17" t="s">
        <v>2838</v>
      </c>
      <c r="I188" s="19"/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1400</v>
      </c>
      <c r="P188" s="5"/>
    </row>
    <row r="189" spans="1:16" ht="14.25" customHeight="1">
      <c r="A189">
        <v>190</v>
      </c>
      <c r="B189">
        <f>IF(表1[[#This Row],[不调整offset]]="x",IFERROR(VLOOKUP(表1[[#This Row],[8:image]],常量!J:N,4,FALSE),0),0)</f>
        <v>45.25</v>
      </c>
      <c r="C189">
        <f>IF(表1[[#This Row],[不调整offset]]="x",IFERROR(VLOOKUP(表1[[#This Row],[8:image]],常量!J:N,5,FALSE),0),0)</f>
        <v>3.25</v>
      </c>
      <c r="E189" t="s">
        <v>2587</v>
      </c>
      <c r="F189">
        <v>6</v>
      </c>
      <c r="G189" s="1" t="s">
        <v>176</v>
      </c>
      <c r="H189" s="17" t="s">
        <v>2839</v>
      </c>
      <c r="I189" s="19"/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1400</v>
      </c>
      <c r="P189" s="5"/>
    </row>
    <row r="190" spans="1:16" ht="14.25" customHeight="1">
      <c r="A190">
        <v>191</v>
      </c>
      <c r="B190">
        <f>IF(表1[[#This Row],[不调整offset]]="x",IFERROR(VLOOKUP(表1[[#This Row],[8:image]],常量!J:N,4,FALSE),0),0)</f>
        <v>37.75</v>
      </c>
      <c r="C190">
        <f>IF(表1[[#This Row],[不调整offset]]="x",IFERROR(VLOOKUP(表1[[#This Row],[8:image]],常量!J:N,5,FALSE),0),0)</f>
        <v>3.25</v>
      </c>
      <c r="E190" t="s">
        <v>2587</v>
      </c>
      <c r="F190">
        <v>6</v>
      </c>
      <c r="G190" s="1" t="s">
        <v>177</v>
      </c>
      <c r="H190" s="17" t="s">
        <v>2840</v>
      </c>
      <c r="I190" s="19"/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1400</v>
      </c>
      <c r="P190" s="5"/>
    </row>
    <row r="191" spans="1:16" ht="14.25" customHeight="1">
      <c r="A191">
        <v>192</v>
      </c>
      <c r="B191">
        <f>IF(表1[[#This Row],[不调整offset]]="x",IFERROR(VLOOKUP(表1[[#This Row],[8:image]],常量!J:N,4,FALSE),0),0)</f>
        <v>60.25</v>
      </c>
      <c r="C191">
        <f>IF(表1[[#This Row],[不调整offset]]="x",IFERROR(VLOOKUP(表1[[#This Row],[8:image]],常量!J:N,5,FALSE),0),0)</f>
        <v>3.25</v>
      </c>
      <c r="E191" t="s">
        <v>2587</v>
      </c>
      <c r="F191">
        <v>6</v>
      </c>
      <c r="G191" s="1" t="s">
        <v>178</v>
      </c>
      <c r="H191" s="17" t="s">
        <v>2841</v>
      </c>
      <c r="I191" s="19"/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1400</v>
      </c>
      <c r="P191" s="5"/>
    </row>
    <row r="192" spans="1:16" ht="14.25" customHeight="1">
      <c r="A192">
        <v>193</v>
      </c>
      <c r="B192">
        <f>IF(表1[[#This Row],[不调整offset]]="x",IFERROR(VLOOKUP(表1[[#This Row],[8:image]],常量!J:N,4,FALSE),0),0)</f>
        <v>33.25</v>
      </c>
      <c r="C192">
        <f>IF(表1[[#This Row],[不调整offset]]="x",IFERROR(VLOOKUP(表1[[#This Row],[8:image]],常量!J:N,5,FALSE),0),0)</f>
        <v>3.25</v>
      </c>
      <c r="E192" t="s">
        <v>2587</v>
      </c>
      <c r="F192">
        <v>6</v>
      </c>
      <c r="G192" s="1" t="s">
        <v>179</v>
      </c>
      <c r="H192" s="17" t="s">
        <v>2842</v>
      </c>
      <c r="I192" s="19"/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1400</v>
      </c>
      <c r="P192" s="5"/>
    </row>
    <row r="193" spans="1:16" ht="14.25" customHeight="1">
      <c r="A193">
        <v>194</v>
      </c>
      <c r="B193">
        <f>IF(表1[[#This Row],[不调整offset]]="x",IFERROR(VLOOKUP(表1[[#This Row],[8:image]],常量!J:N,4,FALSE),0),0)</f>
        <v>15.25</v>
      </c>
      <c r="C193">
        <f>IF(表1[[#This Row],[不调整offset]]="x",IFERROR(VLOOKUP(表1[[#This Row],[8:image]],常量!J:N,5,FALSE),0),0)</f>
        <v>3.25</v>
      </c>
      <c r="E193" t="s">
        <v>2587</v>
      </c>
      <c r="F193">
        <v>6</v>
      </c>
      <c r="G193" s="1" t="s">
        <v>180</v>
      </c>
      <c r="H193" s="17" t="s">
        <v>2843</v>
      </c>
      <c r="I193" s="19"/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1400</v>
      </c>
      <c r="P193" s="5"/>
    </row>
    <row r="194" spans="1:16" ht="14.25" customHeight="1">
      <c r="A194">
        <v>195</v>
      </c>
      <c r="B194">
        <f>IF(表1[[#This Row],[不调整offset]]="x",IFERROR(VLOOKUP(表1[[#This Row],[8:image]],常量!J:N,4,FALSE),0),0)</f>
        <v>22.75</v>
      </c>
      <c r="C194">
        <f>IF(表1[[#This Row],[不调整offset]]="x",IFERROR(VLOOKUP(表1[[#This Row],[8:image]],常量!J:N,5,FALSE),0),0)</f>
        <v>3.25</v>
      </c>
      <c r="E194" t="s">
        <v>2587</v>
      </c>
      <c r="F194">
        <v>6</v>
      </c>
      <c r="G194" s="1" t="s">
        <v>181</v>
      </c>
      <c r="H194" s="17" t="s">
        <v>2844</v>
      </c>
      <c r="I194" s="19"/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1400</v>
      </c>
      <c r="P194" s="5"/>
    </row>
    <row r="195" spans="1:16" ht="14.25" customHeight="1">
      <c r="A195">
        <v>196</v>
      </c>
      <c r="B195">
        <f>IF(表1[[#This Row],[不调整offset]]="x",IFERROR(VLOOKUP(表1[[#This Row],[8:image]],常量!J:N,4,FALSE),0),0)</f>
        <v>21.25</v>
      </c>
      <c r="C195">
        <f>IF(表1[[#This Row],[不调整offset]]="x",IFERROR(VLOOKUP(表1[[#This Row],[8:image]],常量!J:N,5,FALSE),0),0)</f>
        <v>3.25</v>
      </c>
      <c r="E195" t="s">
        <v>2587</v>
      </c>
      <c r="F195">
        <v>6</v>
      </c>
      <c r="G195" s="1" t="s">
        <v>182</v>
      </c>
      <c r="H195" s="17" t="s">
        <v>2845</v>
      </c>
      <c r="I195" s="19"/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1400</v>
      </c>
      <c r="P195" s="5"/>
    </row>
    <row r="196" spans="1:16" ht="14.25" customHeight="1">
      <c r="A196">
        <v>197</v>
      </c>
      <c r="B196">
        <f>IF(表1[[#This Row],[不调整offset]]="x",IFERROR(VLOOKUP(表1[[#This Row],[8:image]],常量!J:N,4,FALSE),0),0)</f>
        <v>18.25</v>
      </c>
      <c r="C196">
        <f>IF(表1[[#This Row],[不调整offset]]="x",IFERROR(VLOOKUP(表1[[#This Row],[8:image]],常量!J:N,5,FALSE),0),0)</f>
        <v>3.25</v>
      </c>
      <c r="E196" t="s">
        <v>2587</v>
      </c>
      <c r="F196">
        <v>6</v>
      </c>
      <c r="G196" s="1" t="s">
        <v>183</v>
      </c>
      <c r="H196" s="17" t="s">
        <v>2846</v>
      </c>
      <c r="I196" s="19"/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1400</v>
      </c>
      <c r="P196" s="5"/>
    </row>
    <row r="197" spans="1:16" ht="14.25" customHeight="1">
      <c r="A197">
        <v>198</v>
      </c>
      <c r="B197">
        <f>IF(表1[[#This Row],[不调整offset]]="x",IFERROR(VLOOKUP(表1[[#This Row],[8:image]],常量!J:N,4,FALSE),0),0)</f>
        <v>18.25</v>
      </c>
      <c r="C197">
        <f>IF(表1[[#This Row],[不调整offset]]="x",IFERROR(VLOOKUP(表1[[#This Row],[8:image]],常量!J:N,5,FALSE),0),0)</f>
        <v>3.25</v>
      </c>
      <c r="E197" t="s">
        <v>2587</v>
      </c>
      <c r="F197">
        <v>6</v>
      </c>
      <c r="G197" s="1" t="s">
        <v>184</v>
      </c>
      <c r="H197" s="17" t="s">
        <v>2847</v>
      </c>
      <c r="I197" s="19"/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1400</v>
      </c>
      <c r="P197" s="5"/>
    </row>
    <row r="198" spans="1:16" ht="14.25" customHeight="1">
      <c r="A198">
        <v>200</v>
      </c>
      <c r="B198">
        <f>IF(表1[[#This Row],[不调整offset]]="x",IFERROR(VLOOKUP(表1[[#This Row],[8:image]],常量!J:N,4,FALSE),0),0)</f>
        <v>9.25</v>
      </c>
      <c r="C198">
        <f>IF(表1[[#This Row],[不调整offset]]="x",IFERROR(VLOOKUP(表1[[#This Row],[8:image]],常量!J:N,5,FALSE),0),0)</f>
        <v>3.25</v>
      </c>
      <c r="E198" t="s">
        <v>2587</v>
      </c>
      <c r="F198">
        <v>6</v>
      </c>
      <c r="G198" s="1" t="s">
        <v>185</v>
      </c>
      <c r="H198" s="17" t="s">
        <v>2848</v>
      </c>
      <c r="I198" s="19"/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1400</v>
      </c>
      <c r="P198" s="5"/>
    </row>
    <row r="199" spans="1:16" ht="14.25" customHeight="1">
      <c r="A199">
        <v>201</v>
      </c>
      <c r="B199">
        <f>IF(表1[[#This Row],[不调整offset]]="x",IFERROR(VLOOKUP(表1[[#This Row],[8:image]],常量!J:N,4,FALSE),0),0)</f>
        <v>9.25</v>
      </c>
      <c r="C199">
        <f>IF(表1[[#This Row],[不调整offset]]="x",IFERROR(VLOOKUP(表1[[#This Row],[8:image]],常量!J:N,5,FALSE),0),0)</f>
        <v>3.25</v>
      </c>
      <c r="E199" t="s">
        <v>2587</v>
      </c>
      <c r="F199">
        <v>6</v>
      </c>
      <c r="G199" s="1" t="s">
        <v>186</v>
      </c>
      <c r="H199" s="17" t="s">
        <v>2849</v>
      </c>
      <c r="I199" s="19"/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1400</v>
      </c>
      <c r="P199" s="5"/>
    </row>
    <row r="200" spans="1:16" ht="14.25" customHeight="1">
      <c r="A200">
        <v>202</v>
      </c>
      <c r="B200">
        <f>IF(表1[[#This Row],[不调整offset]]="x",IFERROR(VLOOKUP(表1[[#This Row],[8:image]],常量!J:N,4,FALSE),0),0)</f>
        <v>18.25</v>
      </c>
      <c r="C200">
        <f>IF(表1[[#This Row],[不调整offset]]="x",IFERROR(VLOOKUP(表1[[#This Row],[8:image]],常量!J:N,5,FALSE),0),0)</f>
        <v>3.25</v>
      </c>
      <c r="E200" t="s">
        <v>2587</v>
      </c>
      <c r="F200">
        <v>6</v>
      </c>
      <c r="G200" s="1" t="s">
        <v>187</v>
      </c>
      <c r="H200" s="17" t="s">
        <v>2850</v>
      </c>
      <c r="I200" s="19"/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1400</v>
      </c>
      <c r="P200" s="5"/>
    </row>
    <row r="201" spans="1:16" ht="14.25" customHeight="1">
      <c r="A201">
        <v>203</v>
      </c>
      <c r="B201">
        <f>IF(表1[[#This Row],[不调整offset]]="x",IFERROR(VLOOKUP(表1[[#This Row],[8:image]],常量!J:N,4,FALSE),0),0)</f>
        <v>9.25</v>
      </c>
      <c r="C201">
        <f>IF(表1[[#This Row],[不调整offset]]="x",IFERROR(VLOOKUP(表1[[#This Row],[8:image]],常量!J:N,5,FALSE),0),0)</f>
        <v>3.25</v>
      </c>
      <c r="E201" t="s">
        <v>2587</v>
      </c>
      <c r="F201">
        <v>6</v>
      </c>
      <c r="G201" s="1" t="s">
        <v>188</v>
      </c>
      <c r="H201" s="17" t="s">
        <v>2851</v>
      </c>
      <c r="I201" s="19"/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1400</v>
      </c>
      <c r="P201" s="5"/>
    </row>
    <row r="202" spans="1:16" ht="14.25" customHeight="1">
      <c r="A202">
        <v>204</v>
      </c>
      <c r="B202">
        <f>IF(表1[[#This Row],[不调整offset]]="x",IFERROR(VLOOKUP(表1[[#This Row],[8:image]],常量!J:N,4,FALSE),0),0)</f>
        <v>9.25</v>
      </c>
      <c r="C202">
        <f>IF(表1[[#This Row],[不调整offset]]="x",IFERROR(VLOOKUP(表1[[#This Row],[8:image]],常量!J:N,5,FALSE),0),0)</f>
        <v>3.25</v>
      </c>
      <c r="E202" t="s">
        <v>2587</v>
      </c>
      <c r="F202">
        <v>6</v>
      </c>
      <c r="G202" s="1" t="s">
        <v>189</v>
      </c>
      <c r="H202" s="17" t="s">
        <v>2852</v>
      </c>
      <c r="I202" s="19"/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O202" t="s">
        <v>1400</v>
      </c>
      <c r="P202" s="5"/>
    </row>
    <row r="203" spans="1:16" ht="14.25" customHeight="1">
      <c r="A203">
        <v>205</v>
      </c>
      <c r="B203">
        <f>IF(表1[[#This Row],[不调整offset]]="x",IFERROR(VLOOKUP(表1[[#This Row],[8:image]],常量!J:N,4,FALSE),0),0)</f>
        <v>9.25</v>
      </c>
      <c r="C203">
        <f>IF(表1[[#This Row],[不调整offset]]="x",IFERROR(VLOOKUP(表1[[#This Row],[8:image]],常量!J:N,5,FALSE),0),0)</f>
        <v>3.25</v>
      </c>
      <c r="E203" t="s">
        <v>2587</v>
      </c>
      <c r="F203">
        <v>6</v>
      </c>
      <c r="G203" s="1" t="s">
        <v>190</v>
      </c>
      <c r="H203" s="17" t="s">
        <v>2853</v>
      </c>
      <c r="I203" s="19"/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1400</v>
      </c>
      <c r="P203" s="5"/>
    </row>
    <row r="204" spans="1:16" ht="14.25" customHeight="1">
      <c r="A204">
        <v>206</v>
      </c>
      <c r="B204">
        <f>IF(表1[[#This Row],[不调整offset]]="x",IFERROR(VLOOKUP(表1[[#This Row],[8:image]],常量!J:N,4,FALSE),0),0)</f>
        <v>27.25</v>
      </c>
      <c r="C204">
        <f>IF(表1[[#This Row],[不调整offset]]="x",IFERROR(VLOOKUP(表1[[#This Row],[8:image]],常量!J:N,5,FALSE),0),0)</f>
        <v>3.25</v>
      </c>
      <c r="E204" t="s">
        <v>2587</v>
      </c>
      <c r="F204">
        <v>6</v>
      </c>
      <c r="G204" s="1" t="s">
        <v>191</v>
      </c>
      <c r="H204" s="17" t="s">
        <v>2854</v>
      </c>
      <c r="I204" s="19"/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1400</v>
      </c>
      <c r="P204" s="5"/>
    </row>
    <row r="205" spans="1:16" ht="14.25" customHeight="1">
      <c r="A205">
        <v>207</v>
      </c>
      <c r="B205">
        <f>IF(表1[[#This Row],[不调整offset]]="x",IFERROR(VLOOKUP(表1[[#This Row],[8:image]],常量!J:N,4,FALSE),0),0)</f>
        <v>9.25</v>
      </c>
      <c r="C205">
        <f>IF(表1[[#This Row],[不调整offset]]="x",IFERROR(VLOOKUP(表1[[#This Row],[8:image]],常量!J:N,5,FALSE),0),0)</f>
        <v>3.25</v>
      </c>
      <c r="E205" t="s">
        <v>2587</v>
      </c>
      <c r="F205">
        <v>6</v>
      </c>
      <c r="G205" s="1" t="s">
        <v>186</v>
      </c>
      <c r="H205" s="17" t="s">
        <v>2855</v>
      </c>
      <c r="I205" s="19"/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1400</v>
      </c>
      <c r="P205" s="5"/>
    </row>
    <row r="206" spans="1:16" ht="14.25" customHeight="1">
      <c r="A206">
        <v>208</v>
      </c>
      <c r="B206">
        <f>IF(表1[[#This Row],[不调整offset]]="x",IFERROR(VLOOKUP(表1[[#This Row],[8:image]],常量!J:N,4,FALSE),0),0)</f>
        <v>12.25</v>
      </c>
      <c r="C206">
        <f>IF(表1[[#This Row],[不调整offset]]="x",IFERROR(VLOOKUP(表1[[#This Row],[8:image]],常量!J:N,5,FALSE),0),0)</f>
        <v>3.25</v>
      </c>
      <c r="E206" t="s">
        <v>2587</v>
      </c>
      <c r="F206">
        <v>6</v>
      </c>
      <c r="G206" s="1" t="s">
        <v>192</v>
      </c>
      <c r="H206" s="17" t="s">
        <v>2856</v>
      </c>
      <c r="I206" s="19"/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1400</v>
      </c>
      <c r="P206" s="5"/>
    </row>
    <row r="207" spans="1:16" ht="14.25" customHeight="1">
      <c r="A207">
        <v>209</v>
      </c>
      <c r="B207">
        <f>IF(表1[[#This Row],[不调整offset]]="x",IFERROR(VLOOKUP(表1[[#This Row],[8:image]],常量!J:N,4,FALSE),0),0)</f>
        <v>12.25</v>
      </c>
      <c r="C207">
        <f>IF(表1[[#This Row],[不调整offset]]="x",IFERROR(VLOOKUP(表1[[#This Row],[8:image]],常量!J:N,5,FALSE),0),0)</f>
        <v>3.25</v>
      </c>
      <c r="E207" t="s">
        <v>2587</v>
      </c>
      <c r="F207">
        <v>6</v>
      </c>
      <c r="G207" s="1" t="s">
        <v>193</v>
      </c>
      <c r="H207" s="17" t="s">
        <v>2857</v>
      </c>
      <c r="I207" s="19"/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1400</v>
      </c>
      <c r="P207" s="5"/>
    </row>
    <row r="208" spans="1:16" ht="14.25" customHeight="1">
      <c r="A208">
        <v>210</v>
      </c>
      <c r="B208">
        <f>IF(表1[[#This Row],[不调整offset]]="x",IFERROR(VLOOKUP(表1[[#This Row],[8:image]],常量!J:N,4,FALSE),0),0)</f>
        <v>9.25</v>
      </c>
      <c r="C208">
        <f>IF(表1[[#This Row],[不调整offset]]="x",IFERROR(VLOOKUP(表1[[#This Row],[8:image]],常量!J:N,5,FALSE),0),0)</f>
        <v>3.25</v>
      </c>
      <c r="E208" t="s">
        <v>2587</v>
      </c>
      <c r="F208">
        <v>6</v>
      </c>
      <c r="G208" s="1" t="s">
        <v>194</v>
      </c>
      <c r="H208" s="17" t="s">
        <v>2858</v>
      </c>
      <c r="I208" s="19"/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1400</v>
      </c>
      <c r="P208" s="5"/>
    </row>
    <row r="209" spans="1:16" ht="14.25" customHeight="1">
      <c r="A209">
        <v>211</v>
      </c>
      <c r="B209">
        <f>IF(表1[[#This Row],[不调整offset]]="x",IFERROR(VLOOKUP(表1[[#This Row],[8:image]],常量!J:N,4,FALSE),0),0)</f>
        <v>9.25</v>
      </c>
      <c r="C209">
        <f>IF(表1[[#This Row],[不调整offset]]="x",IFERROR(VLOOKUP(表1[[#This Row],[8:image]],常量!J:N,5,FALSE),0),0)</f>
        <v>3.25</v>
      </c>
      <c r="E209" t="s">
        <v>2587</v>
      </c>
      <c r="F209">
        <v>6</v>
      </c>
      <c r="G209" s="1" t="s">
        <v>195</v>
      </c>
      <c r="H209" s="17" t="s">
        <v>2859</v>
      </c>
      <c r="I209" s="19"/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1400</v>
      </c>
      <c r="P209" s="5"/>
    </row>
    <row r="210" spans="1:16" ht="14.25" customHeight="1">
      <c r="A210">
        <v>212</v>
      </c>
      <c r="B210">
        <f>IF(表1[[#This Row],[不调整offset]]="x",IFERROR(VLOOKUP(表1[[#This Row],[8:image]],常量!J:N,4,FALSE),0),0)</f>
        <v>12.25</v>
      </c>
      <c r="C210">
        <f>IF(表1[[#This Row],[不调整offset]]="x",IFERROR(VLOOKUP(表1[[#This Row],[8:image]],常量!J:N,5,FALSE),0),0)</f>
        <v>3.25</v>
      </c>
      <c r="E210" t="s">
        <v>2587</v>
      </c>
      <c r="F210">
        <v>6</v>
      </c>
      <c r="G210" s="1" t="s">
        <v>196</v>
      </c>
      <c r="H210" s="17" t="s">
        <v>2860</v>
      </c>
      <c r="I210" s="19"/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1400</v>
      </c>
      <c r="P210" s="5"/>
    </row>
    <row r="211" spans="1:16" ht="14.25" customHeight="1">
      <c r="A211">
        <v>213</v>
      </c>
      <c r="B211">
        <f>IF(表1[[#This Row],[不调整offset]]="x",IFERROR(VLOOKUP(表1[[#This Row],[8:image]],常量!J:N,4,FALSE),0),0)</f>
        <v>18.25</v>
      </c>
      <c r="C211">
        <f>IF(表1[[#This Row],[不调整offset]]="x",IFERROR(VLOOKUP(表1[[#This Row],[8:image]],常量!J:N,5,FALSE),0),0)</f>
        <v>3.25</v>
      </c>
      <c r="E211" t="s">
        <v>2587</v>
      </c>
      <c r="F211">
        <v>6</v>
      </c>
      <c r="G211" s="1" t="s">
        <v>197</v>
      </c>
      <c r="H211" s="17" t="s">
        <v>2861</v>
      </c>
      <c r="I211" s="19"/>
      <c r="J211" t="str">
        <f>IF(LEN(VLOOKUP(表1[[#This Row],[id]],数据引用!A:C,3,FALSE))&gt;0,VLOOKUP(表1[[#This Row],[id]],数据引用!A:C,3,FALSE),"")</f>
        <v>去挖金钥匙！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font-size:12;"&gt;去挖金钥匙！&lt;/text&gt;&lt;text transform="matrix(1 0 0 1 0 10.3205)" style="fill:#FFFFFF; font-family:'FZXS12--GB1-0'; font-size:12;"&gt;去挖金钥匙！&lt;/text&gt;&lt;/svg&gt;</v>
      </c>
      <c r="O211" t="s">
        <v>1400</v>
      </c>
      <c r="P211" s="5"/>
    </row>
    <row r="212" spans="1:16" ht="14.25" customHeight="1">
      <c r="A212">
        <v>214</v>
      </c>
      <c r="B212">
        <f>IF(表1[[#This Row],[不调整offset]]="x",IFERROR(VLOOKUP(表1[[#This Row],[8:image]],常量!J:N,4,FALSE),0),0)</f>
        <v>30.25</v>
      </c>
      <c r="C212">
        <f>IF(表1[[#This Row],[不调整offset]]="x",IFERROR(VLOOKUP(表1[[#This Row],[8:image]],常量!J:N,5,FALSE),0),0)</f>
        <v>3.25</v>
      </c>
      <c r="E212" t="s">
        <v>2587</v>
      </c>
      <c r="F212">
        <v>6</v>
      </c>
      <c r="G212" s="1" t="s">
        <v>198</v>
      </c>
      <c r="H212" s="17" t="s">
        <v>2862</v>
      </c>
      <c r="I212" s="19"/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1400</v>
      </c>
      <c r="P212" s="5"/>
    </row>
    <row r="213" spans="1:16" ht="14.25" customHeight="1">
      <c r="A213">
        <v>215</v>
      </c>
      <c r="B213">
        <f>IF(表1[[#This Row],[不调整offset]]="x",IFERROR(VLOOKUP(表1[[#This Row],[8:image]],常量!J:N,4,FALSE),0),0)</f>
        <v>18.25</v>
      </c>
      <c r="C213">
        <f>IF(表1[[#This Row],[不调整offset]]="x",IFERROR(VLOOKUP(表1[[#This Row],[8:image]],常量!J:N,5,FALSE),0),0)</f>
        <v>3.25</v>
      </c>
      <c r="E213" t="s">
        <v>2587</v>
      </c>
      <c r="F213">
        <v>6</v>
      </c>
      <c r="G213" s="1" t="s">
        <v>199</v>
      </c>
      <c r="H213" s="17" t="s">
        <v>2863</v>
      </c>
      <c r="I213" s="19"/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1400</v>
      </c>
      <c r="P213" s="5"/>
    </row>
    <row r="214" spans="1:16" ht="14.25" customHeight="1">
      <c r="A214">
        <v>216</v>
      </c>
      <c r="B214">
        <f>IF(表1[[#This Row],[不调整offset]]="x",IFERROR(VLOOKUP(表1[[#This Row],[8:image]],常量!J:N,4,FALSE),0),0)</f>
        <v>9.25</v>
      </c>
      <c r="C214">
        <f>IF(表1[[#This Row],[不调整offset]]="x",IFERROR(VLOOKUP(表1[[#This Row],[8:image]],常量!J:N,5,FALSE),0),0)</f>
        <v>3.25</v>
      </c>
      <c r="E214" t="s">
        <v>2587</v>
      </c>
      <c r="F214">
        <v>6</v>
      </c>
      <c r="G214" s="1" t="s">
        <v>200</v>
      </c>
      <c r="H214" s="17" t="s">
        <v>2864</v>
      </c>
      <c r="I214" s="19"/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1400</v>
      </c>
      <c r="P214" s="5"/>
    </row>
    <row r="215" spans="1:16" ht="14.25" customHeight="1">
      <c r="A215">
        <v>217</v>
      </c>
      <c r="B215">
        <f>IF(表1[[#This Row],[不调整offset]]="x",IFERROR(VLOOKUP(表1[[#This Row],[8:image]],常量!J:N,4,FALSE),0),0)</f>
        <v>12.25</v>
      </c>
      <c r="C215">
        <f>IF(表1[[#This Row],[不调整offset]]="x",IFERROR(VLOOKUP(表1[[#This Row],[8:image]],常量!J:N,5,FALSE),0),0)</f>
        <v>3.25</v>
      </c>
      <c r="E215" t="s">
        <v>2587</v>
      </c>
      <c r="F215">
        <v>6</v>
      </c>
      <c r="G215" s="1" t="s">
        <v>201</v>
      </c>
      <c r="H215" s="17" t="s">
        <v>2865</v>
      </c>
      <c r="I215" s="19"/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1400</v>
      </c>
      <c r="P215" s="5"/>
    </row>
    <row r="216" spans="1:16" ht="14.25" customHeight="1">
      <c r="A216">
        <v>218</v>
      </c>
      <c r="B216">
        <f>IF(表1[[#This Row],[不调整offset]]="x",IFERROR(VLOOKUP(表1[[#This Row],[8:image]],常量!J:N,4,FALSE),0),0)</f>
        <v>12.25</v>
      </c>
      <c r="C216">
        <f>IF(表1[[#This Row],[不调整offset]]="x",IFERROR(VLOOKUP(表1[[#This Row],[8:image]],常量!J:N,5,FALSE),0),0)</f>
        <v>3.25</v>
      </c>
      <c r="E216" t="s">
        <v>2587</v>
      </c>
      <c r="F216">
        <v>6</v>
      </c>
      <c r="G216" s="1" t="s">
        <v>202</v>
      </c>
      <c r="H216" s="17" t="s">
        <v>2866</v>
      </c>
      <c r="I216" s="19"/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1400</v>
      </c>
      <c r="P216" s="5"/>
    </row>
    <row r="217" spans="1:16" ht="14.25" customHeight="1">
      <c r="A217">
        <v>219</v>
      </c>
      <c r="B217">
        <f>IF(表1[[#This Row],[不调整offset]]="x",IFERROR(VLOOKUP(表1[[#This Row],[8:image]],常量!J:N,4,FALSE),0),0)</f>
        <v>12.25</v>
      </c>
      <c r="C217">
        <f>IF(表1[[#This Row],[不调整offset]]="x",IFERROR(VLOOKUP(表1[[#This Row],[8:image]],常量!J:N,5,FALSE),0),0)</f>
        <v>3.25</v>
      </c>
      <c r="E217" t="s">
        <v>2587</v>
      </c>
      <c r="F217">
        <v>6</v>
      </c>
      <c r="G217" s="1" t="s">
        <v>203</v>
      </c>
      <c r="H217" s="17" t="s">
        <v>2867</v>
      </c>
      <c r="I217" s="19"/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1400</v>
      </c>
      <c r="P217" s="5"/>
    </row>
    <row r="218" spans="1:16" ht="14.25" customHeight="1">
      <c r="A218">
        <v>220</v>
      </c>
      <c r="B218">
        <f>IF(表1[[#This Row],[不调整offset]]="x",IFERROR(VLOOKUP(表1[[#This Row],[8:image]],常量!J:N,4,FALSE),0),0)</f>
        <v>12.25</v>
      </c>
      <c r="C218">
        <f>IF(表1[[#This Row],[不调整offset]]="x",IFERROR(VLOOKUP(表1[[#This Row],[8:image]],常量!J:N,5,FALSE),0),0)</f>
        <v>3.25</v>
      </c>
      <c r="E218" t="s">
        <v>2587</v>
      </c>
      <c r="F218">
        <v>6</v>
      </c>
      <c r="G218" s="1" t="s">
        <v>204</v>
      </c>
      <c r="H218" s="17" t="s">
        <v>2868</v>
      </c>
      <c r="I218" s="19"/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1400</v>
      </c>
      <c r="P218" s="5"/>
    </row>
    <row r="219" spans="1:16" ht="14.25" customHeight="1">
      <c r="A219">
        <v>221</v>
      </c>
      <c r="B219">
        <f>IF(表1[[#This Row],[不调整offset]]="x",IFERROR(VLOOKUP(表1[[#This Row],[8:image]],常量!J:N,4,FALSE),0),0)</f>
        <v>12.25</v>
      </c>
      <c r="C219">
        <f>IF(表1[[#This Row],[不调整offset]]="x",IFERROR(VLOOKUP(表1[[#This Row],[8:image]],常量!J:N,5,FALSE),0),0)</f>
        <v>3.25</v>
      </c>
      <c r="E219" t="s">
        <v>2587</v>
      </c>
      <c r="F219">
        <v>6</v>
      </c>
      <c r="G219" s="1" t="s">
        <v>205</v>
      </c>
      <c r="H219" s="17" t="s">
        <v>2869</v>
      </c>
      <c r="I219" s="19"/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1400</v>
      </c>
      <c r="P219" s="5"/>
    </row>
    <row r="220" spans="1:16" ht="14.25" customHeight="1">
      <c r="A220">
        <v>222</v>
      </c>
      <c r="B220">
        <f>IF(表1[[#This Row],[不调整offset]]="x",IFERROR(VLOOKUP(表1[[#This Row],[8:image]],常量!J:N,4,FALSE),0),0)</f>
        <v>12.25</v>
      </c>
      <c r="C220">
        <f>IF(表1[[#This Row],[不调整offset]]="x",IFERROR(VLOOKUP(表1[[#This Row],[8:image]],常量!J:N,5,FALSE),0),0)</f>
        <v>3.25</v>
      </c>
      <c r="E220" t="s">
        <v>2587</v>
      </c>
      <c r="F220">
        <v>6</v>
      </c>
      <c r="G220" s="1" t="s">
        <v>206</v>
      </c>
      <c r="H220" s="17" t="s">
        <v>2870</v>
      </c>
      <c r="I220" s="19"/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1400</v>
      </c>
      <c r="P220" s="5"/>
    </row>
    <row r="221" spans="1:16" ht="14.25" customHeight="1">
      <c r="A221">
        <v>223</v>
      </c>
      <c r="B221">
        <f>IF(表1[[#This Row],[不调整offset]]="x",IFERROR(VLOOKUP(表1[[#This Row],[8:image]],常量!J:N,4,FALSE),0),0)</f>
        <v>12.25</v>
      </c>
      <c r="C221">
        <f>IF(表1[[#This Row],[不调整offset]]="x",IFERROR(VLOOKUP(表1[[#This Row],[8:image]],常量!J:N,5,FALSE),0),0)</f>
        <v>3.25</v>
      </c>
      <c r="E221" t="s">
        <v>2587</v>
      </c>
      <c r="F221">
        <v>6</v>
      </c>
      <c r="G221" s="1" t="s">
        <v>207</v>
      </c>
      <c r="H221" s="17" t="s">
        <v>2871</v>
      </c>
      <c r="I221" s="19"/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1400</v>
      </c>
      <c r="P221" s="5"/>
    </row>
    <row r="222" spans="1:16" ht="14.25" customHeight="1">
      <c r="A222">
        <v>224</v>
      </c>
      <c r="B222">
        <f>IF(表1[[#This Row],[不调整offset]]="x",IFERROR(VLOOKUP(表1[[#This Row],[8:image]],常量!J:N,4,FALSE),0),0)</f>
        <v>12.25</v>
      </c>
      <c r="C222">
        <f>IF(表1[[#This Row],[不调整offset]]="x",IFERROR(VLOOKUP(表1[[#This Row],[8:image]],常量!J:N,5,FALSE),0),0)</f>
        <v>3.25</v>
      </c>
      <c r="E222" t="s">
        <v>2587</v>
      </c>
      <c r="F222">
        <v>6</v>
      </c>
      <c r="G222" s="1" t="s">
        <v>208</v>
      </c>
      <c r="H222" s="17" t="s">
        <v>2872</v>
      </c>
      <c r="I222" s="19"/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1400</v>
      </c>
      <c r="P222" s="5"/>
    </row>
    <row r="223" spans="1:16" ht="14.25" customHeight="1">
      <c r="A223">
        <v>225</v>
      </c>
      <c r="B223">
        <f>IF(表1[[#This Row],[不调整offset]]="x",IFERROR(VLOOKUP(表1[[#This Row],[8:image]],常量!J:N,4,FALSE),0),0)</f>
        <v>12.25</v>
      </c>
      <c r="C223">
        <f>IF(表1[[#This Row],[不调整offset]]="x",IFERROR(VLOOKUP(表1[[#This Row],[8:image]],常量!J:N,5,FALSE),0),0)</f>
        <v>3.25</v>
      </c>
      <c r="E223" t="s">
        <v>2587</v>
      </c>
      <c r="F223">
        <v>6</v>
      </c>
      <c r="G223" s="1" t="s">
        <v>209</v>
      </c>
      <c r="H223" s="17" t="s">
        <v>2873</v>
      </c>
      <c r="I223" s="19"/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1400</v>
      </c>
      <c r="P223" s="5"/>
    </row>
    <row r="224" spans="1:16" ht="14.25" customHeight="1">
      <c r="A224">
        <v>226</v>
      </c>
      <c r="B224">
        <f>IF(表1[[#This Row],[不调整offset]]="x",IFERROR(VLOOKUP(表1[[#This Row],[8:image]],常量!J:N,4,FALSE),0),0)</f>
        <v>12.25</v>
      </c>
      <c r="C224">
        <f>IF(表1[[#This Row],[不调整offset]]="x",IFERROR(VLOOKUP(表1[[#This Row],[8:image]],常量!J:N,5,FALSE),0),0)</f>
        <v>3.25</v>
      </c>
      <c r="E224" t="s">
        <v>2587</v>
      </c>
      <c r="F224">
        <v>6</v>
      </c>
      <c r="G224" s="1" t="s">
        <v>210</v>
      </c>
      <c r="H224" s="17" t="s">
        <v>2874</v>
      </c>
      <c r="I224" s="19"/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1400</v>
      </c>
      <c r="P224" s="5"/>
    </row>
    <row r="225" spans="1:16" ht="14.25" customHeight="1">
      <c r="A225">
        <v>227</v>
      </c>
      <c r="B225">
        <f>IF(表1[[#This Row],[不调整offset]]="x",IFERROR(VLOOKUP(表1[[#This Row],[8:image]],常量!J:N,4,FALSE),0),0)</f>
        <v>12.25</v>
      </c>
      <c r="C225">
        <f>IF(表1[[#This Row],[不调整offset]]="x",IFERROR(VLOOKUP(表1[[#This Row],[8:image]],常量!J:N,5,FALSE),0),0)</f>
        <v>3.25</v>
      </c>
      <c r="E225" t="s">
        <v>2587</v>
      </c>
      <c r="F225">
        <v>6</v>
      </c>
      <c r="G225" s="1" t="s">
        <v>211</v>
      </c>
      <c r="H225" s="17" t="s">
        <v>2875</v>
      </c>
      <c r="I225" s="19"/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1400</v>
      </c>
      <c r="P225" s="5"/>
    </row>
    <row r="226" spans="1:16" ht="14.25" customHeight="1">
      <c r="A226">
        <v>228</v>
      </c>
      <c r="B226">
        <f>IF(表1[[#This Row],[不调整offset]]="x",IFERROR(VLOOKUP(表1[[#This Row],[8:image]],常量!J:N,4,FALSE),0),0)</f>
        <v>12.25</v>
      </c>
      <c r="C226">
        <f>IF(表1[[#This Row],[不调整offset]]="x",IFERROR(VLOOKUP(表1[[#This Row],[8:image]],常量!J:N,5,FALSE),0),0)</f>
        <v>3.25</v>
      </c>
      <c r="E226" t="s">
        <v>2587</v>
      </c>
      <c r="F226">
        <v>6</v>
      </c>
      <c r="G226" s="1" t="s">
        <v>212</v>
      </c>
      <c r="H226" s="17" t="s">
        <v>2876</v>
      </c>
      <c r="I226" s="19"/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1400</v>
      </c>
      <c r="P226" s="5"/>
    </row>
    <row r="227" spans="1:16" ht="14.25" customHeight="1">
      <c r="A227">
        <v>229</v>
      </c>
      <c r="B227">
        <f>IF(表1[[#This Row],[不调整offset]]="x",IFERROR(VLOOKUP(表1[[#This Row],[8:image]],常量!J:N,4,FALSE),0),0)</f>
        <v>12.25</v>
      </c>
      <c r="C227">
        <f>IF(表1[[#This Row],[不调整offset]]="x",IFERROR(VLOOKUP(表1[[#This Row],[8:image]],常量!J:N,5,FALSE),0),0)</f>
        <v>3.25</v>
      </c>
      <c r="E227" t="s">
        <v>2587</v>
      </c>
      <c r="F227">
        <v>6</v>
      </c>
      <c r="G227" s="1" t="s">
        <v>213</v>
      </c>
      <c r="H227" s="17" t="s">
        <v>2877</v>
      </c>
      <c r="I227" s="19"/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1400</v>
      </c>
      <c r="P227" s="5"/>
    </row>
    <row r="228" spans="1:16" ht="14.25" customHeight="1">
      <c r="A228">
        <v>230</v>
      </c>
      <c r="B228">
        <f>IF(表1[[#This Row],[不调整offset]]="x",IFERROR(VLOOKUP(表1[[#This Row],[8:image]],常量!J:N,4,FALSE),0),0)</f>
        <v>15.25</v>
      </c>
      <c r="C228">
        <f>IF(表1[[#This Row],[不调整offset]]="x",IFERROR(VLOOKUP(表1[[#This Row],[8:image]],常量!J:N,5,FALSE),0),0)</f>
        <v>3.25</v>
      </c>
      <c r="E228" t="s">
        <v>2587</v>
      </c>
      <c r="F228">
        <v>6</v>
      </c>
      <c r="G228" s="1" t="s">
        <v>214</v>
      </c>
      <c r="H228" s="17" t="s">
        <v>2878</v>
      </c>
      <c r="I228" s="19"/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1400</v>
      </c>
      <c r="P228" s="5"/>
    </row>
    <row r="229" spans="1:16" ht="14.25" customHeight="1">
      <c r="A229">
        <v>231</v>
      </c>
      <c r="B229">
        <f>IF(表1[[#This Row],[不调整offset]]="x",IFERROR(VLOOKUP(表1[[#This Row],[8:image]],常量!J:N,4,FALSE),0),0)</f>
        <v>30.25</v>
      </c>
      <c r="C229">
        <f>IF(表1[[#This Row],[不调整offset]]="x",IFERROR(VLOOKUP(表1[[#This Row],[8:image]],常量!J:N,5,FALSE),0),0)</f>
        <v>3.25</v>
      </c>
      <c r="E229" t="s">
        <v>2587</v>
      </c>
      <c r="F229">
        <v>6</v>
      </c>
      <c r="G229" s="1" t="s">
        <v>215</v>
      </c>
      <c r="H229" s="17" t="s">
        <v>2879</v>
      </c>
      <c r="I229" s="19"/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1400</v>
      </c>
      <c r="P229" s="5"/>
    </row>
    <row r="230" spans="1:16" ht="14.25" customHeight="1">
      <c r="A230">
        <v>232</v>
      </c>
      <c r="B230">
        <f>IF(表1[[#This Row],[不调整offset]]="x",IFERROR(VLOOKUP(表1[[#This Row],[8:image]],常量!J:N,4,FALSE),0),0)</f>
        <v>6.25</v>
      </c>
      <c r="C230">
        <f>IF(表1[[#This Row],[不调整offset]]="x",IFERROR(VLOOKUP(表1[[#This Row],[8:image]],常量!J:N,5,FALSE),0),0)</f>
        <v>3.25</v>
      </c>
      <c r="E230" t="s">
        <v>2587</v>
      </c>
      <c r="F230">
        <v>6</v>
      </c>
      <c r="G230" s="1" t="s">
        <v>216</v>
      </c>
      <c r="H230" s="17" t="s">
        <v>2880</v>
      </c>
      <c r="I230" s="19"/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1400</v>
      </c>
      <c r="P230" s="5"/>
    </row>
    <row r="231" spans="1:16" ht="14.25" customHeight="1">
      <c r="A231">
        <v>233</v>
      </c>
      <c r="B231">
        <f>IF(表1[[#This Row],[不调整offset]]="x",IFERROR(VLOOKUP(表1[[#This Row],[8:image]],常量!J:N,4,FALSE),0),0)</f>
        <v>6.25</v>
      </c>
      <c r="C231">
        <f>IF(表1[[#This Row],[不调整offset]]="x",IFERROR(VLOOKUP(表1[[#This Row],[8:image]],常量!J:N,5,FALSE),0),0)</f>
        <v>3.25</v>
      </c>
      <c r="E231" t="s">
        <v>2587</v>
      </c>
      <c r="F231">
        <v>6</v>
      </c>
      <c r="G231" s="1" t="s">
        <v>217</v>
      </c>
      <c r="H231" s="17" t="s">
        <v>2881</v>
      </c>
      <c r="I231" s="19"/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1400</v>
      </c>
      <c r="P231" s="5"/>
    </row>
    <row r="232" spans="1:16" ht="14.25" customHeight="1">
      <c r="A232">
        <v>234</v>
      </c>
      <c r="B232">
        <f>IF(表1[[#This Row],[不调整offset]]="x",IFERROR(VLOOKUP(表1[[#This Row],[8:image]],常量!J:N,4,FALSE),0),0)</f>
        <v>15.25</v>
      </c>
      <c r="C232">
        <f>IF(表1[[#This Row],[不调整offset]]="x",IFERROR(VLOOKUP(表1[[#This Row],[8:image]],常量!J:N,5,FALSE),0),0)</f>
        <v>3.25</v>
      </c>
      <c r="E232" t="s">
        <v>2587</v>
      </c>
      <c r="F232">
        <v>6</v>
      </c>
      <c r="G232" s="1" t="s">
        <v>218</v>
      </c>
      <c r="H232" s="17" t="s">
        <v>2882</v>
      </c>
      <c r="I232" s="19"/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1400</v>
      </c>
      <c r="P232" s="5"/>
    </row>
    <row r="233" spans="1:16" ht="14.25" customHeight="1">
      <c r="A233">
        <v>235</v>
      </c>
      <c r="B233">
        <f>IF(表1[[#This Row],[不调整offset]]="x",IFERROR(VLOOKUP(表1[[#This Row],[8:image]],常量!J:N,4,FALSE),0),0)</f>
        <v>30.25</v>
      </c>
      <c r="C233">
        <f>IF(表1[[#This Row],[不调整offset]]="x",IFERROR(VLOOKUP(表1[[#This Row],[8:image]],常量!J:N,5,FALSE),0),0)</f>
        <v>3.25</v>
      </c>
      <c r="E233" t="s">
        <v>2587</v>
      </c>
      <c r="F233">
        <v>6</v>
      </c>
      <c r="G233" s="1" t="s">
        <v>219</v>
      </c>
      <c r="H233" s="17" t="s">
        <v>2883</v>
      </c>
      <c r="I233" s="19"/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1400</v>
      </c>
      <c r="P233" s="5"/>
    </row>
    <row r="234" spans="1:16" ht="14.25" customHeight="1">
      <c r="A234">
        <v>236</v>
      </c>
      <c r="B234">
        <f>IF(表1[[#This Row],[不调整offset]]="x",IFERROR(VLOOKUP(表1[[#This Row],[8:image]],常量!J:N,4,FALSE),0),0)</f>
        <v>6.25</v>
      </c>
      <c r="C234">
        <f>IF(表1[[#This Row],[不调整offset]]="x",IFERROR(VLOOKUP(表1[[#This Row],[8:image]],常量!J:N,5,FALSE),0),0)</f>
        <v>3.25</v>
      </c>
      <c r="E234" t="s">
        <v>2587</v>
      </c>
      <c r="F234">
        <v>6</v>
      </c>
      <c r="G234" s="1" t="s">
        <v>220</v>
      </c>
      <c r="H234" s="17" t="s">
        <v>2884</v>
      </c>
      <c r="I234" s="19"/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1400</v>
      </c>
      <c r="P234" s="5"/>
    </row>
    <row r="235" spans="1:16" ht="14.25" customHeight="1">
      <c r="A235">
        <v>237</v>
      </c>
      <c r="B235">
        <f>IF(表1[[#This Row],[不调整offset]]="x",IFERROR(VLOOKUP(表1[[#This Row],[8:image]],常量!J:N,4,FALSE),0),0)</f>
        <v>6.25</v>
      </c>
      <c r="C235">
        <f>IF(表1[[#This Row],[不调整offset]]="x",IFERROR(VLOOKUP(表1[[#This Row],[8:image]],常量!J:N,5,FALSE),0),0)</f>
        <v>3.25</v>
      </c>
      <c r="E235" t="s">
        <v>2587</v>
      </c>
      <c r="F235">
        <v>6</v>
      </c>
      <c r="G235" s="1" t="s">
        <v>56</v>
      </c>
      <c r="H235" s="17" t="s">
        <v>2885</v>
      </c>
      <c r="I235" s="19"/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1400</v>
      </c>
      <c r="P235" s="5"/>
    </row>
    <row r="236" spans="1:16" ht="14.25" customHeight="1">
      <c r="A236">
        <v>238</v>
      </c>
      <c r="B236">
        <f>IF(表1[[#This Row],[不调整offset]]="x",IFERROR(VLOOKUP(表1[[#This Row],[8:image]],常量!J:N,4,FALSE),0),0)</f>
        <v>12.25</v>
      </c>
      <c r="C236">
        <f>IF(表1[[#This Row],[不调整offset]]="x",IFERROR(VLOOKUP(表1[[#This Row],[8:image]],常量!J:N,5,FALSE),0),0)</f>
        <v>3.25</v>
      </c>
      <c r="E236" t="s">
        <v>2587</v>
      </c>
      <c r="F236">
        <v>6</v>
      </c>
      <c r="G236" s="1" t="s">
        <v>221</v>
      </c>
      <c r="H236" s="17" t="s">
        <v>2886</v>
      </c>
      <c r="I236" s="19"/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1400</v>
      </c>
      <c r="P236" s="5"/>
    </row>
    <row r="237" spans="1:16" ht="14.25" customHeight="1">
      <c r="A237">
        <v>239</v>
      </c>
      <c r="B237">
        <f>IF(表1[[#This Row],[不调整offset]]="x",IFERROR(VLOOKUP(表1[[#This Row],[8:image]],常量!J:N,4,FALSE),0),0)</f>
        <v>6.25</v>
      </c>
      <c r="C237">
        <f>IF(表1[[#This Row],[不调整offset]]="x",IFERROR(VLOOKUP(表1[[#This Row],[8:image]],常量!J:N,5,FALSE),0),0)</f>
        <v>3.25</v>
      </c>
      <c r="E237" t="s">
        <v>2587</v>
      </c>
      <c r="F237">
        <v>6</v>
      </c>
      <c r="G237" s="1" t="s">
        <v>222</v>
      </c>
      <c r="H237" s="17" t="s">
        <v>2887</v>
      </c>
      <c r="I237" s="19"/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1400</v>
      </c>
      <c r="P237" s="5"/>
    </row>
    <row r="238" spans="1:16" ht="14.25" customHeight="1">
      <c r="A238">
        <v>240</v>
      </c>
      <c r="B238">
        <f>IF(表1[[#This Row],[不调整offset]]="x",IFERROR(VLOOKUP(表1[[#This Row],[8:image]],常量!J:N,4,FALSE),0),0)</f>
        <v>12.25</v>
      </c>
      <c r="C238">
        <f>IF(表1[[#This Row],[不调整offset]]="x",IFERROR(VLOOKUP(表1[[#This Row],[8:image]],常量!J:N,5,FALSE),0),0)</f>
        <v>3.25</v>
      </c>
      <c r="E238" t="s">
        <v>2587</v>
      </c>
      <c r="F238">
        <v>6</v>
      </c>
      <c r="G238" s="1" t="s">
        <v>223</v>
      </c>
      <c r="H238" s="17" t="s">
        <v>2888</v>
      </c>
      <c r="I238" s="19"/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1400</v>
      </c>
      <c r="P238" s="5"/>
    </row>
    <row r="239" spans="1:16" ht="14.25" customHeight="1">
      <c r="A239">
        <v>241</v>
      </c>
      <c r="B239">
        <f>IF(表1[[#This Row],[不调整offset]]="x",IFERROR(VLOOKUP(表1[[#This Row],[8:image]],常量!J:N,4,FALSE),0),0)</f>
        <v>36.25</v>
      </c>
      <c r="C239">
        <f>IF(表1[[#This Row],[不调整offset]]="x",IFERROR(VLOOKUP(表1[[#This Row],[8:image]],常量!J:N,5,FALSE),0),0)</f>
        <v>3.25</v>
      </c>
      <c r="E239" t="s">
        <v>2587</v>
      </c>
      <c r="F239">
        <v>6</v>
      </c>
      <c r="G239" s="1" t="s">
        <v>219</v>
      </c>
      <c r="H239" s="17" t="s">
        <v>2889</v>
      </c>
      <c r="I239" s="19"/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1400</v>
      </c>
      <c r="P239" s="5"/>
    </row>
    <row r="240" spans="1:16" ht="14.25" customHeight="1">
      <c r="A240">
        <v>242</v>
      </c>
      <c r="B240">
        <f>IF(表1[[#This Row],[不调整offset]]="x",IFERROR(VLOOKUP(表1[[#This Row],[8:image]],常量!J:N,4,FALSE),0),0)</f>
        <v>21.25</v>
      </c>
      <c r="C240">
        <f>IF(表1[[#This Row],[不调整offset]]="x",IFERROR(VLOOKUP(表1[[#This Row],[8:image]],常量!J:N,5,FALSE),0),0)</f>
        <v>3.25</v>
      </c>
      <c r="E240" t="s">
        <v>2587</v>
      </c>
      <c r="F240">
        <v>6</v>
      </c>
      <c r="G240" s="1" t="s">
        <v>224</v>
      </c>
      <c r="H240" s="17" t="s">
        <v>2890</v>
      </c>
      <c r="I240" s="19"/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1400</v>
      </c>
      <c r="P240" s="5"/>
    </row>
    <row r="241" spans="1:16" ht="14.25" customHeight="1">
      <c r="A241">
        <v>243</v>
      </c>
      <c r="B241">
        <f>IF(表1[[#This Row],[不调整offset]]="x",IFERROR(VLOOKUP(表1[[#This Row],[8:image]],常量!J:N,4,FALSE),0),0)</f>
        <v>0</v>
      </c>
      <c r="C241">
        <f>IF(表1[[#This Row],[不调整offset]]="x",IFERROR(VLOOKUP(表1[[#This Row],[8:image]],常量!J:N,5,FALSE),0),0)</f>
        <v>0</v>
      </c>
      <c r="E241" t="s">
        <v>2587</v>
      </c>
      <c r="F241">
        <v>6</v>
      </c>
      <c r="G241" s="8" t="s">
        <v>56</v>
      </c>
      <c r="H241" s="16" t="s">
        <v>2891</v>
      </c>
      <c r="I241" s="19"/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customHeight="1">
      <c r="A242">
        <v>244</v>
      </c>
      <c r="B242">
        <f>IF(表1[[#This Row],[不调整offset]]="x",IFERROR(VLOOKUP(表1[[#This Row],[8:image]],常量!J:N,4,FALSE),0),0)</f>
        <v>15.25</v>
      </c>
      <c r="C242">
        <f>IF(表1[[#This Row],[不调整offset]]="x",IFERROR(VLOOKUP(表1[[#This Row],[8:image]],常量!J:N,5,FALSE),0),0)</f>
        <v>3.25</v>
      </c>
      <c r="E242" t="s">
        <v>2587</v>
      </c>
      <c r="F242">
        <v>6</v>
      </c>
      <c r="G242" s="1" t="s">
        <v>225</v>
      </c>
      <c r="H242" s="17" t="s">
        <v>2892</v>
      </c>
      <c r="I242" s="19"/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1400</v>
      </c>
      <c r="P242" s="5"/>
    </row>
    <row r="243" spans="1:16" ht="14.25" customHeight="1">
      <c r="A243">
        <v>245</v>
      </c>
      <c r="B243">
        <f>IF(表1[[#This Row],[不调整offset]]="x",IFERROR(VLOOKUP(表1[[#This Row],[8:image]],常量!J:N,4,FALSE),0),0)</f>
        <v>15.25</v>
      </c>
      <c r="C243">
        <f>IF(表1[[#This Row],[不调整offset]]="x",IFERROR(VLOOKUP(表1[[#This Row],[8:image]],常量!J:N,5,FALSE),0),0)</f>
        <v>3.25</v>
      </c>
      <c r="E243" t="s">
        <v>2587</v>
      </c>
      <c r="F243">
        <v>6</v>
      </c>
      <c r="G243" s="1" t="s">
        <v>226</v>
      </c>
      <c r="H243" s="17" t="s">
        <v>2893</v>
      </c>
      <c r="I243" s="19"/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1400</v>
      </c>
      <c r="P243" s="5"/>
    </row>
    <row r="244" spans="1:16" ht="14.25" customHeight="1">
      <c r="A244">
        <v>246</v>
      </c>
      <c r="B244">
        <f>IF(表1[[#This Row],[不调整offset]]="x",IFERROR(VLOOKUP(表1[[#This Row],[8:image]],常量!J:N,4,FALSE),0),0)</f>
        <v>18.25</v>
      </c>
      <c r="C244">
        <f>IF(表1[[#This Row],[不调整offset]]="x",IFERROR(VLOOKUP(表1[[#This Row],[8:image]],常量!J:N,5,FALSE),0),0)</f>
        <v>3.25</v>
      </c>
      <c r="E244" t="s">
        <v>2587</v>
      </c>
      <c r="F244">
        <v>6</v>
      </c>
      <c r="G244" s="1" t="s">
        <v>227</v>
      </c>
      <c r="H244" s="17" t="s">
        <v>2894</v>
      </c>
      <c r="I244" s="19"/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1400</v>
      </c>
      <c r="P244" s="5"/>
    </row>
    <row r="245" spans="1:16" ht="14.25" customHeight="1">
      <c r="A245">
        <v>247</v>
      </c>
      <c r="B245">
        <f>IF(表1[[#This Row],[不调整offset]]="x",IFERROR(VLOOKUP(表1[[#This Row],[8:image]],常量!J:N,4,FALSE),0),0)</f>
        <v>15.25</v>
      </c>
      <c r="C245">
        <f>IF(表1[[#This Row],[不调整offset]]="x",IFERROR(VLOOKUP(表1[[#This Row],[8:image]],常量!J:N,5,FALSE),0),0)</f>
        <v>3.25</v>
      </c>
      <c r="E245" t="s">
        <v>2587</v>
      </c>
      <c r="F245">
        <v>6</v>
      </c>
      <c r="G245" s="1" t="s">
        <v>228</v>
      </c>
      <c r="H245" s="17" t="s">
        <v>2895</v>
      </c>
      <c r="I245" s="19"/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1400</v>
      </c>
      <c r="P245" s="5"/>
    </row>
    <row r="246" spans="1:16" ht="14.25" customHeight="1">
      <c r="A246">
        <v>248</v>
      </c>
      <c r="B246">
        <f>IF(表1[[#This Row],[不调整offset]]="x",IFERROR(VLOOKUP(表1[[#This Row],[8:image]],常量!J:N,4,FALSE),0),0)</f>
        <v>12.25</v>
      </c>
      <c r="C246">
        <f>IF(表1[[#This Row],[不调整offset]]="x",IFERROR(VLOOKUP(表1[[#This Row],[8:image]],常量!J:N,5,FALSE),0),0)</f>
        <v>3.25</v>
      </c>
      <c r="E246" t="s">
        <v>2587</v>
      </c>
      <c r="F246">
        <v>6</v>
      </c>
      <c r="G246" s="1" t="s">
        <v>229</v>
      </c>
      <c r="H246" s="17" t="s">
        <v>2896</v>
      </c>
      <c r="I246" s="19"/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1400</v>
      </c>
      <c r="P246" s="5"/>
    </row>
    <row r="247" spans="1:16" ht="14.25" customHeight="1">
      <c r="A247">
        <v>249</v>
      </c>
      <c r="B247">
        <f>IF(表1[[#This Row],[不调整offset]]="x",IFERROR(VLOOKUP(表1[[#This Row],[8:image]],常量!J:N,4,FALSE),0),0)</f>
        <v>6.25</v>
      </c>
      <c r="C247">
        <f>IF(表1[[#This Row],[不调整offset]]="x",IFERROR(VLOOKUP(表1[[#This Row],[8:image]],常量!J:N,5,FALSE),0),0)</f>
        <v>3.25</v>
      </c>
      <c r="E247" t="s">
        <v>2587</v>
      </c>
      <c r="F247">
        <v>6</v>
      </c>
      <c r="G247" s="1" t="s">
        <v>230</v>
      </c>
      <c r="H247" s="17" t="s">
        <v>2897</v>
      </c>
      <c r="I247" s="19"/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1400</v>
      </c>
      <c r="P247" s="5"/>
    </row>
    <row r="248" spans="1:16" ht="14.25" customHeight="1">
      <c r="A248">
        <v>250</v>
      </c>
      <c r="B248">
        <f>IF(表1[[#This Row],[不调整offset]]="x",IFERROR(VLOOKUP(表1[[#This Row],[8:image]],常量!J:N,4,FALSE),0),0)</f>
        <v>6.25</v>
      </c>
      <c r="C248">
        <f>IF(表1[[#This Row],[不调整offset]]="x",IFERROR(VLOOKUP(表1[[#This Row],[8:image]],常量!J:N,5,FALSE),0),0)</f>
        <v>3.25</v>
      </c>
      <c r="E248" t="s">
        <v>2587</v>
      </c>
      <c r="F248">
        <v>6</v>
      </c>
      <c r="G248" s="1" t="s">
        <v>231</v>
      </c>
      <c r="H248" s="17" t="s">
        <v>2898</v>
      </c>
      <c r="I248" s="19"/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1400</v>
      </c>
      <c r="P248" s="5"/>
    </row>
    <row r="249" spans="1:16" ht="14.25" customHeight="1">
      <c r="A249">
        <v>251</v>
      </c>
      <c r="B249">
        <f>IF(表1[[#This Row],[不调整offset]]="x",IFERROR(VLOOKUP(表1[[#This Row],[8:image]],常量!J:N,4,FALSE),0),0)</f>
        <v>27.25</v>
      </c>
      <c r="C249">
        <f>IF(表1[[#This Row],[不调整offset]]="x",IFERROR(VLOOKUP(表1[[#This Row],[8:image]],常量!J:N,5,FALSE),0),0)</f>
        <v>3.25</v>
      </c>
      <c r="E249" t="s">
        <v>2587</v>
      </c>
      <c r="F249">
        <v>6</v>
      </c>
      <c r="G249" s="1" t="s">
        <v>232</v>
      </c>
      <c r="H249" s="17" t="s">
        <v>2899</v>
      </c>
      <c r="I249" s="19"/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1400</v>
      </c>
      <c r="P249" s="5"/>
    </row>
    <row r="250" spans="1:16" ht="14.25" customHeight="1">
      <c r="A250">
        <v>252</v>
      </c>
      <c r="B250">
        <f>IF(表1[[#This Row],[不调整offset]]="x",IFERROR(VLOOKUP(表1[[#This Row],[8:image]],常量!J:N,4,FALSE),0),0)</f>
        <v>12.25</v>
      </c>
      <c r="C250">
        <f>IF(表1[[#This Row],[不调整offset]]="x",IFERROR(VLOOKUP(表1[[#This Row],[8:image]],常量!J:N,5,FALSE),0),0)</f>
        <v>3.25</v>
      </c>
      <c r="E250" t="s">
        <v>2587</v>
      </c>
      <c r="F250">
        <v>6</v>
      </c>
      <c r="G250" s="1" t="s">
        <v>233</v>
      </c>
      <c r="H250" s="17" t="s">
        <v>2900</v>
      </c>
      <c r="I250" s="19"/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1400</v>
      </c>
      <c r="P250" s="5"/>
    </row>
    <row r="251" spans="1:16" ht="14.25" customHeight="1">
      <c r="A251">
        <v>253</v>
      </c>
      <c r="B251">
        <f>IF(表1[[#This Row],[不调整offset]]="x",IFERROR(VLOOKUP(表1[[#This Row],[8:image]],常量!J:N,4,FALSE),0),0)</f>
        <v>15.25</v>
      </c>
      <c r="C251">
        <f>IF(表1[[#This Row],[不调整offset]]="x",IFERROR(VLOOKUP(表1[[#This Row],[8:image]],常量!J:N,5,FALSE),0),0)</f>
        <v>4</v>
      </c>
      <c r="E251" t="s">
        <v>2587</v>
      </c>
      <c r="F251">
        <v>6</v>
      </c>
      <c r="G251" s="1" t="s">
        <v>234</v>
      </c>
      <c r="H251" s="17" t="s">
        <v>2901</v>
      </c>
      <c r="I251" s="19"/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1400</v>
      </c>
      <c r="P251" s="5"/>
    </row>
    <row r="252" spans="1:16" ht="14.25" customHeight="1">
      <c r="A252">
        <v>254</v>
      </c>
      <c r="B252">
        <f>IF(表1[[#This Row],[不调整offset]]="x",IFERROR(VLOOKUP(表1[[#This Row],[8:image]],常量!J:N,4,FALSE),0),0)</f>
        <v>15.25</v>
      </c>
      <c r="C252">
        <f>IF(表1[[#This Row],[不调整offset]]="x",IFERROR(VLOOKUP(表1[[#This Row],[8:image]],常量!J:N,5,FALSE),0),0)</f>
        <v>3.25</v>
      </c>
      <c r="E252" t="s">
        <v>2587</v>
      </c>
      <c r="F252">
        <v>6</v>
      </c>
      <c r="G252" s="1" t="s">
        <v>235</v>
      </c>
      <c r="H252" s="17" t="s">
        <v>2902</v>
      </c>
      <c r="I252" s="19"/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1400</v>
      </c>
      <c r="P252" s="5"/>
    </row>
    <row r="253" spans="1:16" ht="14.25" customHeight="1">
      <c r="A253">
        <v>255</v>
      </c>
      <c r="B253">
        <f>IF(表1[[#This Row],[不调整offset]]="x",IFERROR(VLOOKUP(表1[[#This Row],[8:image]],常量!J:N,4,FALSE),0),0)</f>
        <v>21.25</v>
      </c>
      <c r="C253">
        <f>IF(表1[[#This Row],[不调整offset]]="x",IFERROR(VLOOKUP(表1[[#This Row],[8:image]],常量!J:N,5,FALSE),0),0)</f>
        <v>3.25</v>
      </c>
      <c r="E253" t="s">
        <v>2587</v>
      </c>
      <c r="F253">
        <v>6</v>
      </c>
      <c r="G253" s="1" t="s">
        <v>236</v>
      </c>
      <c r="H253" s="17" t="s">
        <v>2903</v>
      </c>
      <c r="I253" s="19"/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1400</v>
      </c>
      <c r="P253" s="5"/>
    </row>
    <row r="254" spans="1:16" ht="14.25" customHeight="1">
      <c r="A254">
        <v>256</v>
      </c>
      <c r="B254">
        <f>IF(表1[[#This Row],[不调整offset]]="x",IFERROR(VLOOKUP(表1[[#This Row],[8:image]],常量!J:N,4,FALSE),0),0)</f>
        <v>6.25</v>
      </c>
      <c r="C254">
        <f>IF(表1[[#This Row],[不调整offset]]="x",IFERROR(VLOOKUP(表1[[#This Row],[8:image]],常量!J:N,5,FALSE),0),0)</f>
        <v>3.25</v>
      </c>
      <c r="E254" t="s">
        <v>2587</v>
      </c>
      <c r="F254">
        <v>6</v>
      </c>
      <c r="G254" s="1" t="s">
        <v>237</v>
      </c>
      <c r="H254" s="17" t="s">
        <v>2904</v>
      </c>
      <c r="I254" s="19"/>
      <c r="J254" t="str">
        <f>IF(LEN(VLOOKUP(表1[[#This Row],[id]],数据引用!A:C,3,FALSE))&gt;0,VLOOKUP(表1[[#This Row],[id]],数据引用!A:C,3,FALSE),"")</f>
        <v>畏缩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font-size:12;"&gt;畏缩&lt;/text&gt;&lt;text transform="matrix(1 0 0 1 0 10.3205)" style="fill:#FFFFFF; font-family:'FZXS12--GB1-0'; font-size:12;"&gt;畏缩&lt;/text&gt;&lt;/svg&gt;</v>
      </c>
      <c r="O254" t="s">
        <v>1400</v>
      </c>
      <c r="P254" s="5"/>
    </row>
    <row r="255" spans="1:16" ht="14.25" customHeight="1">
      <c r="A255">
        <v>257</v>
      </c>
      <c r="B255">
        <f>IF(表1[[#This Row],[不调整offset]]="x",IFERROR(VLOOKUP(表1[[#This Row],[8:image]],常量!J:N,4,FALSE),0),0)</f>
        <v>12.25</v>
      </c>
      <c r="C255">
        <f>IF(表1[[#This Row],[不调整offset]]="x",IFERROR(VLOOKUP(表1[[#This Row],[8:image]],常量!J:N,5,FALSE),0),0)</f>
        <v>3.25</v>
      </c>
      <c r="E255" t="s">
        <v>2587</v>
      </c>
      <c r="F255">
        <v>6</v>
      </c>
      <c r="G255" s="1" t="s">
        <v>238</v>
      </c>
      <c r="H255" s="17" t="s">
        <v>2905</v>
      </c>
      <c r="I255" s="19"/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1400</v>
      </c>
      <c r="P255" s="5"/>
    </row>
    <row r="256" spans="1:16" ht="14.25" customHeight="1">
      <c r="A256">
        <v>258</v>
      </c>
      <c r="B256">
        <f>IF(表1[[#This Row],[不调整offset]]="x",IFERROR(VLOOKUP(表1[[#This Row],[8:image]],常量!J:N,4,FALSE),0),0)</f>
        <v>6.25</v>
      </c>
      <c r="C256">
        <f>IF(表1[[#This Row],[不调整offset]]="x",IFERROR(VLOOKUP(表1[[#This Row],[8:image]],常量!J:N,5,FALSE),0),0)</f>
        <v>3.25</v>
      </c>
      <c r="E256" t="s">
        <v>2587</v>
      </c>
      <c r="F256">
        <v>6</v>
      </c>
      <c r="G256" s="1" t="s">
        <v>239</v>
      </c>
      <c r="H256" s="17" t="s">
        <v>2906</v>
      </c>
      <c r="I256" s="19"/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1400</v>
      </c>
      <c r="P256" s="5"/>
    </row>
    <row r="257" spans="1:16" ht="14.25" customHeight="1">
      <c r="A257">
        <v>259</v>
      </c>
      <c r="B257">
        <f>IF(表1[[#This Row],[不调整offset]]="x",IFERROR(VLOOKUP(表1[[#This Row],[8:image]],常量!J:N,4,FALSE),0),0)</f>
        <v>6.25</v>
      </c>
      <c r="C257">
        <f>IF(表1[[#This Row],[不调整offset]]="x",IFERROR(VLOOKUP(表1[[#This Row],[8:image]],常量!J:N,5,FALSE),0),0)</f>
        <v>3.25</v>
      </c>
      <c r="E257" t="s">
        <v>2587</v>
      </c>
      <c r="F257">
        <v>6</v>
      </c>
      <c r="G257" s="1" t="s">
        <v>240</v>
      </c>
      <c r="H257" s="17" t="s">
        <v>2907</v>
      </c>
      <c r="I257" s="19"/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1400</v>
      </c>
      <c r="P257" s="5"/>
    </row>
    <row r="258" spans="1:16" ht="14.25" customHeight="1">
      <c r="A258">
        <v>260</v>
      </c>
      <c r="B258">
        <f>IF(表1[[#This Row],[不调整offset]]="x",IFERROR(VLOOKUP(表1[[#This Row],[8:image]],常量!J:N,4,FALSE),0),0)</f>
        <v>6.25</v>
      </c>
      <c r="C258">
        <f>IF(表1[[#This Row],[不调整offset]]="x",IFERROR(VLOOKUP(表1[[#This Row],[8:image]],常量!J:N,5,FALSE),0),0)</f>
        <v>3.25</v>
      </c>
      <c r="E258" t="s">
        <v>2587</v>
      </c>
      <c r="F258">
        <v>6</v>
      </c>
      <c r="G258" s="1" t="s">
        <v>241</v>
      </c>
      <c r="H258" s="17" t="s">
        <v>2908</v>
      </c>
      <c r="I258" s="19"/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1400</v>
      </c>
      <c r="P258" s="5"/>
    </row>
    <row r="259" spans="1:16" ht="14.25" customHeight="1">
      <c r="A259">
        <v>261</v>
      </c>
      <c r="B259">
        <f>IF(表1[[#This Row],[不调整offset]]="x",IFERROR(VLOOKUP(表1[[#This Row],[8:image]],常量!J:N,4,FALSE),0),0)</f>
        <v>12.25</v>
      </c>
      <c r="C259">
        <f>IF(表1[[#This Row],[不调整offset]]="x",IFERROR(VLOOKUP(表1[[#This Row],[8:image]],常量!J:N,5,FALSE),0),0)</f>
        <v>3.25</v>
      </c>
      <c r="E259" t="s">
        <v>2587</v>
      </c>
      <c r="F259">
        <v>6</v>
      </c>
      <c r="G259" s="1" t="s">
        <v>242</v>
      </c>
      <c r="H259" s="17" t="s">
        <v>2909</v>
      </c>
      <c r="I259" s="19"/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1400</v>
      </c>
      <c r="P259" s="5"/>
    </row>
    <row r="260" spans="1:16" ht="14.25" customHeight="1">
      <c r="A260">
        <v>262</v>
      </c>
      <c r="B260">
        <f>IF(表1[[#This Row],[不调整offset]]="x",IFERROR(VLOOKUP(表1[[#This Row],[8:image]],常量!J:N,4,FALSE),0),0)</f>
        <v>12.25</v>
      </c>
      <c r="C260">
        <f>IF(表1[[#This Row],[不调整offset]]="x",IFERROR(VLOOKUP(表1[[#This Row],[8:image]],常量!J:N,5,FALSE),0),0)</f>
        <v>3.25</v>
      </c>
      <c r="E260" t="s">
        <v>2587</v>
      </c>
      <c r="F260">
        <v>6</v>
      </c>
      <c r="G260" s="1" t="s">
        <v>243</v>
      </c>
      <c r="H260" s="17" t="s">
        <v>2910</v>
      </c>
      <c r="I260" s="19"/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1400</v>
      </c>
      <c r="P260" s="5"/>
    </row>
    <row r="261" spans="1:16" ht="14.25" customHeight="1">
      <c r="A261">
        <v>263</v>
      </c>
      <c r="B261">
        <f>IF(表1[[#This Row],[不调整offset]]="x",IFERROR(VLOOKUP(表1[[#This Row],[8:image]],常量!J:N,4,FALSE),0),0)</f>
        <v>12.25</v>
      </c>
      <c r="C261">
        <f>IF(表1[[#This Row],[不调整offset]]="x",IFERROR(VLOOKUP(表1[[#This Row],[8:image]],常量!J:N,5,FALSE),0),0)</f>
        <v>3.25</v>
      </c>
      <c r="E261" t="s">
        <v>2587</v>
      </c>
      <c r="F261">
        <v>6</v>
      </c>
      <c r="G261" s="1" t="s">
        <v>244</v>
      </c>
      <c r="H261" s="17" t="s">
        <v>2911</v>
      </c>
      <c r="I261" s="19"/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1400</v>
      </c>
      <c r="P261" s="5"/>
    </row>
    <row r="262" spans="1:16" ht="14.25" customHeight="1">
      <c r="A262">
        <v>264</v>
      </c>
      <c r="B262">
        <f>IF(表1[[#This Row],[不调整offset]]="x",IFERROR(VLOOKUP(表1[[#This Row],[8:image]],常量!J:N,4,FALSE),0),0)</f>
        <v>12.25</v>
      </c>
      <c r="C262">
        <f>IF(表1[[#This Row],[不调整offset]]="x",IFERROR(VLOOKUP(表1[[#This Row],[8:image]],常量!J:N,5,FALSE),0),0)</f>
        <v>3.25</v>
      </c>
      <c r="E262" t="s">
        <v>2587</v>
      </c>
      <c r="F262">
        <v>6</v>
      </c>
      <c r="G262" s="1" t="s">
        <v>245</v>
      </c>
      <c r="H262" s="17" t="s">
        <v>2912</v>
      </c>
      <c r="I262" s="19"/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1400</v>
      </c>
      <c r="P262" s="5"/>
    </row>
    <row r="263" spans="1:16" ht="14.25" customHeight="1">
      <c r="A263">
        <v>265</v>
      </c>
      <c r="B263">
        <f>IF(表1[[#This Row],[不调整offset]]="x",IFERROR(VLOOKUP(表1[[#This Row],[8:image]],常量!J:N,4,FALSE),0),0)</f>
        <v>21.25</v>
      </c>
      <c r="C263">
        <f>IF(表1[[#This Row],[不调整offset]]="x",IFERROR(VLOOKUP(表1[[#This Row],[8:image]],常量!J:N,5,FALSE),0),0)</f>
        <v>3.25</v>
      </c>
      <c r="E263" t="s">
        <v>2587</v>
      </c>
      <c r="F263">
        <v>6</v>
      </c>
      <c r="G263" s="1" t="s">
        <v>246</v>
      </c>
      <c r="H263" s="17" t="s">
        <v>2913</v>
      </c>
      <c r="I263" s="19"/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1400</v>
      </c>
      <c r="P263" s="5"/>
    </row>
    <row r="264" spans="1:16" ht="14.25" customHeight="1">
      <c r="A264">
        <v>266</v>
      </c>
      <c r="B264">
        <f>IF(表1[[#This Row],[不调整offset]]="x",IFERROR(VLOOKUP(表1[[#This Row],[8:image]],常量!J:N,4,FALSE),0),0)</f>
        <v>6.25</v>
      </c>
      <c r="C264">
        <f>IF(表1[[#This Row],[不调整offset]]="x",IFERROR(VLOOKUP(表1[[#This Row],[8:image]],常量!J:N,5,FALSE),0),0)</f>
        <v>3.25</v>
      </c>
      <c r="E264" t="s">
        <v>2587</v>
      </c>
      <c r="F264">
        <v>6</v>
      </c>
      <c r="G264" s="1" t="s">
        <v>247</v>
      </c>
      <c r="H264" s="17" t="s">
        <v>2914</v>
      </c>
      <c r="I264" s="19"/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1400</v>
      </c>
      <c r="P264" s="5"/>
    </row>
    <row r="265" spans="1:16" ht="14.25" customHeight="1">
      <c r="A265">
        <v>267</v>
      </c>
      <c r="B265">
        <f>IF(表1[[#This Row],[不调整offset]]="x",IFERROR(VLOOKUP(表1[[#This Row],[8:image]],常量!J:N,4,FALSE),0),0)</f>
        <v>12.25</v>
      </c>
      <c r="C265">
        <f>IF(表1[[#This Row],[不调整offset]]="x",IFERROR(VLOOKUP(表1[[#This Row],[8:image]],常量!J:N,5,FALSE),0),0)</f>
        <v>3.25</v>
      </c>
      <c r="E265" t="s">
        <v>2587</v>
      </c>
      <c r="F265">
        <v>6</v>
      </c>
      <c r="G265" s="1" t="s">
        <v>248</v>
      </c>
      <c r="H265" s="17" t="s">
        <v>2915</v>
      </c>
      <c r="I265" s="19"/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1400</v>
      </c>
      <c r="P265" s="5"/>
    </row>
    <row r="266" spans="1:16" ht="14.25" customHeight="1">
      <c r="A266">
        <v>268</v>
      </c>
      <c r="B266">
        <f>IF(表1[[#This Row],[不调整offset]]="x",IFERROR(VLOOKUP(表1[[#This Row],[8:image]],常量!J:N,4,FALSE),0),0)</f>
        <v>15.25</v>
      </c>
      <c r="C266">
        <f>IF(表1[[#This Row],[不调整offset]]="x",IFERROR(VLOOKUP(表1[[#This Row],[8:image]],常量!J:N,5,FALSE),0),0)</f>
        <v>3.25</v>
      </c>
      <c r="E266" t="s">
        <v>2587</v>
      </c>
      <c r="F266">
        <v>6</v>
      </c>
      <c r="G266" s="1" t="s">
        <v>249</v>
      </c>
      <c r="H266" s="17" t="s">
        <v>2916</v>
      </c>
      <c r="I266" s="19"/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1400</v>
      </c>
      <c r="P266" s="5"/>
    </row>
    <row r="267" spans="1:16" ht="14.25" customHeight="1">
      <c r="A267">
        <v>269</v>
      </c>
      <c r="B267">
        <f>IF(表1[[#This Row],[不调整offset]]="x",IFERROR(VLOOKUP(表1[[#This Row],[8:image]],常量!J:N,4,FALSE),0),0)</f>
        <v>6.25</v>
      </c>
      <c r="C267">
        <f>IF(表1[[#This Row],[不调整offset]]="x",IFERROR(VLOOKUP(表1[[#This Row],[8:image]],常量!J:N,5,FALSE),0),0)</f>
        <v>3.25</v>
      </c>
      <c r="E267" t="s">
        <v>2587</v>
      </c>
      <c r="F267">
        <v>6</v>
      </c>
      <c r="G267" s="1" t="s">
        <v>250</v>
      </c>
      <c r="H267" s="17" t="s">
        <v>2917</v>
      </c>
      <c r="I267" s="19"/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1400</v>
      </c>
      <c r="P267" s="5"/>
    </row>
    <row r="268" spans="1:16" ht="14.25" customHeight="1">
      <c r="A268">
        <v>270</v>
      </c>
      <c r="B268">
        <f>IF(表1[[#This Row],[不调整offset]]="x",IFERROR(VLOOKUP(表1[[#This Row],[8:image]],常量!J:N,4,FALSE),0),0)</f>
        <v>6.25</v>
      </c>
      <c r="C268">
        <f>IF(表1[[#This Row],[不调整offset]]="x",IFERROR(VLOOKUP(表1[[#This Row],[8:image]],常量!J:N,5,FALSE),0),0)</f>
        <v>3.25</v>
      </c>
      <c r="E268" t="s">
        <v>2587</v>
      </c>
      <c r="F268">
        <v>6</v>
      </c>
      <c r="G268" s="1" t="s">
        <v>251</v>
      </c>
      <c r="H268" s="17" t="s">
        <v>2918</v>
      </c>
      <c r="I268" s="19"/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1400</v>
      </c>
      <c r="P268" s="5"/>
    </row>
    <row r="269" spans="1:16" ht="14.25" customHeight="1">
      <c r="A269">
        <v>271</v>
      </c>
      <c r="B269">
        <f>IF(表1[[#This Row],[不调整offset]]="x",IFERROR(VLOOKUP(表1[[#This Row],[8:image]],常量!J:N,4,FALSE),0),0)</f>
        <v>6.25</v>
      </c>
      <c r="C269">
        <f>IF(表1[[#This Row],[不调整offset]]="x",IFERROR(VLOOKUP(表1[[#This Row],[8:image]],常量!J:N,5,FALSE),0),0)</f>
        <v>3.25</v>
      </c>
      <c r="E269" t="s">
        <v>2587</v>
      </c>
      <c r="F269">
        <v>6</v>
      </c>
      <c r="G269" s="1" t="s">
        <v>252</v>
      </c>
      <c r="H269" s="17" t="s">
        <v>2919</v>
      </c>
      <c r="I269" s="19"/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1400</v>
      </c>
      <c r="P269" s="5"/>
    </row>
    <row r="270" spans="1:16" ht="14.25" customHeight="1">
      <c r="A270">
        <v>272</v>
      </c>
      <c r="B270">
        <f>IF(表1[[#This Row],[不调整offset]]="x",IFERROR(VLOOKUP(表1[[#This Row],[8:image]],常量!J:N,4,FALSE),0),0)</f>
        <v>6.25</v>
      </c>
      <c r="C270">
        <f>IF(表1[[#This Row],[不调整offset]]="x",IFERROR(VLOOKUP(表1[[#This Row],[8:image]],常量!J:N,5,FALSE),0),0)</f>
        <v>3.25</v>
      </c>
      <c r="E270" t="s">
        <v>2587</v>
      </c>
      <c r="F270">
        <v>6</v>
      </c>
      <c r="G270" s="1" t="s">
        <v>253</v>
      </c>
      <c r="H270" s="17" t="s">
        <v>2920</v>
      </c>
      <c r="I270" s="19"/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1400</v>
      </c>
      <c r="P270" s="5"/>
    </row>
    <row r="271" spans="1:16" ht="14.25" customHeight="1">
      <c r="A271">
        <v>273</v>
      </c>
      <c r="B271">
        <f>IF(表1[[#This Row],[不调整offset]]="x",IFERROR(VLOOKUP(表1[[#This Row],[8:image]],常量!J:N,4,FALSE),0),0)</f>
        <v>6.25</v>
      </c>
      <c r="C271">
        <f>IF(表1[[#This Row],[不调整offset]]="x",IFERROR(VLOOKUP(表1[[#This Row],[8:image]],常量!J:N,5,FALSE),0),0)</f>
        <v>3.25</v>
      </c>
      <c r="E271" t="s">
        <v>2587</v>
      </c>
      <c r="F271">
        <v>6</v>
      </c>
      <c r="G271" s="1" t="s">
        <v>254</v>
      </c>
      <c r="H271" s="17" t="s">
        <v>2921</v>
      </c>
      <c r="I271" s="19"/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1400</v>
      </c>
      <c r="P271" s="5"/>
    </row>
    <row r="272" spans="1:16" ht="14.25" customHeight="1">
      <c r="A272">
        <v>274</v>
      </c>
      <c r="B272">
        <f>IF(表1[[#This Row],[不调整offset]]="x",IFERROR(VLOOKUP(表1[[#This Row],[8:image]],常量!J:N,4,FALSE),0),0)</f>
        <v>6.25</v>
      </c>
      <c r="C272">
        <f>IF(表1[[#This Row],[不调整offset]]="x",IFERROR(VLOOKUP(表1[[#This Row],[8:image]],常量!J:N,5,FALSE),0),0)</f>
        <v>3.25</v>
      </c>
      <c r="E272" t="s">
        <v>2587</v>
      </c>
      <c r="F272">
        <v>6</v>
      </c>
      <c r="G272" s="1" t="s">
        <v>255</v>
      </c>
      <c r="H272" s="17" t="s">
        <v>2922</v>
      </c>
      <c r="I272" s="19"/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1400</v>
      </c>
      <c r="P272" s="5"/>
    </row>
    <row r="273" spans="1:16" ht="14.25" customHeight="1">
      <c r="A273">
        <v>275</v>
      </c>
      <c r="B273">
        <f>IF(表1[[#This Row],[不调整offset]]="x",IFERROR(VLOOKUP(表1[[#This Row],[8:image]],常量!J:N,4,FALSE),0),0)</f>
        <v>12.25</v>
      </c>
      <c r="C273">
        <f>IF(表1[[#This Row],[不调整offset]]="x",IFERROR(VLOOKUP(表1[[#This Row],[8:image]],常量!J:N,5,FALSE),0),0)</f>
        <v>3.25</v>
      </c>
      <c r="E273" t="s">
        <v>2587</v>
      </c>
      <c r="F273">
        <v>6</v>
      </c>
      <c r="G273" s="1" t="s">
        <v>256</v>
      </c>
      <c r="H273" s="17" t="s">
        <v>2923</v>
      </c>
      <c r="I273" s="19"/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1400</v>
      </c>
      <c r="P273" s="5"/>
    </row>
    <row r="274" spans="1:16" ht="14.25" customHeight="1">
      <c r="A274">
        <v>276</v>
      </c>
      <c r="B274">
        <f>IF(表1[[#This Row],[不调整offset]]="x",IFERROR(VLOOKUP(表1[[#This Row],[8:image]],常量!J:N,4,FALSE),0),0)</f>
        <v>6.25</v>
      </c>
      <c r="C274">
        <f>IF(表1[[#This Row],[不调整offset]]="x",IFERROR(VLOOKUP(表1[[#This Row],[8:image]],常量!J:N,5,FALSE),0),0)</f>
        <v>3.25</v>
      </c>
      <c r="E274" t="s">
        <v>2587</v>
      </c>
      <c r="F274">
        <v>6</v>
      </c>
      <c r="G274" s="1" t="s">
        <v>257</v>
      </c>
      <c r="H274" s="17" t="s">
        <v>2924</v>
      </c>
      <c r="I274" s="19"/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1400</v>
      </c>
      <c r="P274" s="5"/>
    </row>
    <row r="275" spans="1:16" ht="14.25" customHeight="1">
      <c r="A275">
        <v>277</v>
      </c>
      <c r="B275">
        <f>IF(表1[[#This Row],[不调整offset]]="x",IFERROR(VLOOKUP(表1[[#This Row],[8:image]],常量!J:N,4,FALSE),0),0)</f>
        <v>6.25</v>
      </c>
      <c r="C275">
        <f>IF(表1[[#This Row],[不调整offset]]="x",IFERROR(VLOOKUP(表1[[#This Row],[8:image]],常量!J:N,5,FALSE),0),0)</f>
        <v>3.25</v>
      </c>
      <c r="E275" t="s">
        <v>2587</v>
      </c>
      <c r="F275">
        <v>6</v>
      </c>
      <c r="G275" s="1" t="s">
        <v>258</v>
      </c>
      <c r="H275" s="17" t="s">
        <v>2925</v>
      </c>
      <c r="I275" s="19"/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1400</v>
      </c>
      <c r="P275" s="5"/>
    </row>
    <row r="276" spans="1:16" ht="14.25" customHeight="1">
      <c r="A276">
        <v>278</v>
      </c>
      <c r="B276">
        <f>IF(表1[[#This Row],[不调整offset]]="x",IFERROR(VLOOKUP(表1[[#This Row],[8:image]],常量!J:N,4,FALSE),0),0)</f>
        <v>0</v>
      </c>
      <c r="C276">
        <f>IF(表1[[#This Row],[不调整offset]]="x",IFERROR(VLOOKUP(表1[[#This Row],[8:image]],常量!J:N,5,FALSE),0),0)</f>
        <v>0</v>
      </c>
      <c r="E276" t="s">
        <v>2587</v>
      </c>
      <c r="F276">
        <v>6</v>
      </c>
      <c r="G276" s="14"/>
      <c r="H276" s="16" t="s">
        <v>2926</v>
      </c>
      <c r="I276" s="19"/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1400</v>
      </c>
      <c r="P276" s="5"/>
    </row>
    <row r="277" spans="1:16" ht="14.25" customHeight="1">
      <c r="A277">
        <v>279</v>
      </c>
      <c r="B277">
        <f>IF(表1[[#This Row],[不调整offset]]="x",IFERROR(VLOOKUP(表1[[#This Row],[8:image]],常量!J:N,4,FALSE),0),0)</f>
        <v>0</v>
      </c>
      <c r="C277">
        <f>IF(表1[[#This Row],[不调整offset]]="x",IFERROR(VLOOKUP(表1[[#This Row],[8:image]],常量!J:N,5,FALSE),0),0)</f>
        <v>0</v>
      </c>
      <c r="E277" t="s">
        <v>2587</v>
      </c>
      <c r="F277">
        <v>6</v>
      </c>
      <c r="G277" s="8" t="s">
        <v>56</v>
      </c>
      <c r="H277" s="16" t="s">
        <v>2927</v>
      </c>
      <c r="I277" s="19"/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customHeight="1">
      <c r="A278">
        <v>280</v>
      </c>
      <c r="B278">
        <f>IF(表1[[#This Row],[不调整offset]]="x",IFERROR(VLOOKUP(表1[[#This Row],[8:image]],常量!J:N,4,FALSE),0),0)</f>
        <v>0</v>
      </c>
      <c r="C278">
        <f>IF(表1[[#This Row],[不调整offset]]="x",IFERROR(VLOOKUP(表1[[#This Row],[8:image]],常量!J:N,5,FALSE),0),0)</f>
        <v>0</v>
      </c>
      <c r="E278" t="s">
        <v>2587</v>
      </c>
      <c r="F278">
        <v>6</v>
      </c>
      <c r="G278" s="8" t="s">
        <v>92</v>
      </c>
      <c r="H278" s="16" t="s">
        <v>2928</v>
      </c>
      <c r="I278" s="19"/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customHeight="1">
      <c r="A279">
        <v>281</v>
      </c>
      <c r="B279">
        <f>IF(表1[[#This Row],[不调整offset]]="x",IFERROR(VLOOKUP(表1[[#This Row],[8:image]],常量!J:N,4,FALSE),0),0)</f>
        <v>6.25</v>
      </c>
      <c r="C279">
        <f>IF(表1[[#This Row],[不调整offset]]="x",IFERROR(VLOOKUP(表1[[#This Row],[8:image]],常量!J:N,5,FALSE),0),0)</f>
        <v>3.25</v>
      </c>
      <c r="E279" t="s">
        <v>2587</v>
      </c>
      <c r="F279">
        <v>6</v>
      </c>
      <c r="G279" s="1" t="s">
        <v>259</v>
      </c>
      <c r="H279" s="17" t="s">
        <v>2929</v>
      </c>
      <c r="I279" s="19"/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1400</v>
      </c>
      <c r="P279" s="5"/>
    </row>
    <row r="280" spans="1:16" ht="14.25" customHeight="1">
      <c r="A280">
        <v>282</v>
      </c>
      <c r="B280">
        <f>IF(表1[[#This Row],[不调整offset]]="x",IFERROR(VLOOKUP(表1[[#This Row],[8:image]],常量!J:N,4,FALSE),0),0)</f>
        <v>9.25</v>
      </c>
      <c r="C280">
        <f>IF(表1[[#This Row],[不调整offset]]="x",IFERROR(VLOOKUP(表1[[#This Row],[8:image]],常量!J:N,5,FALSE),0),0)</f>
        <v>3.25</v>
      </c>
      <c r="E280" t="s">
        <v>2587</v>
      </c>
      <c r="F280">
        <v>6</v>
      </c>
      <c r="G280" s="1" t="s">
        <v>260</v>
      </c>
      <c r="H280" s="17" t="s">
        <v>2930</v>
      </c>
      <c r="I280" s="19"/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1400</v>
      </c>
      <c r="P280" s="5"/>
    </row>
    <row r="281" spans="1:16" ht="14.25" customHeight="1">
      <c r="A281">
        <v>283</v>
      </c>
      <c r="B281">
        <f>IF(表1[[#This Row],[不调整offset]]="x",IFERROR(VLOOKUP(表1[[#This Row],[8:image]],常量!J:N,4,FALSE),0),0)</f>
        <v>9.25</v>
      </c>
      <c r="C281">
        <f>IF(表1[[#This Row],[不调整offset]]="x",IFERROR(VLOOKUP(表1[[#This Row],[8:image]],常量!J:N,5,FALSE),0),0)</f>
        <v>3.25</v>
      </c>
      <c r="E281" t="s">
        <v>2587</v>
      </c>
      <c r="F281">
        <v>6</v>
      </c>
      <c r="G281" s="1" t="s">
        <v>261</v>
      </c>
      <c r="H281" s="17" t="s">
        <v>2931</v>
      </c>
      <c r="I281" s="19"/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1400</v>
      </c>
      <c r="P281" s="5"/>
    </row>
    <row r="282" spans="1:16" ht="14.25" customHeight="1">
      <c r="A282">
        <v>284</v>
      </c>
      <c r="B282">
        <f>IF(表1[[#This Row],[不调整offset]]="x",IFERROR(VLOOKUP(表1[[#This Row],[8:image]],常量!J:N,4,FALSE),0),0)</f>
        <v>12.25</v>
      </c>
      <c r="C282">
        <f>IF(表1[[#This Row],[不调整offset]]="x",IFERROR(VLOOKUP(表1[[#This Row],[8:image]],常量!J:N,5,FALSE),0),0)</f>
        <v>3.25</v>
      </c>
      <c r="E282" t="s">
        <v>2587</v>
      </c>
      <c r="F282">
        <v>6</v>
      </c>
      <c r="G282" s="1" t="s">
        <v>262</v>
      </c>
      <c r="H282" s="17" t="s">
        <v>2932</v>
      </c>
      <c r="I282" s="19"/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1400</v>
      </c>
      <c r="P282" s="5"/>
    </row>
    <row r="283" spans="1:16" ht="14.25" customHeight="1">
      <c r="A283">
        <v>285</v>
      </c>
      <c r="B283">
        <f>IF(表1[[#This Row],[不调整offset]]="x",IFERROR(VLOOKUP(表1[[#This Row],[8:image]],常量!J:N,4,FALSE),0),0)</f>
        <v>9.25</v>
      </c>
      <c r="C283">
        <f>IF(表1[[#This Row],[不调整offset]]="x",IFERROR(VLOOKUP(表1[[#This Row],[8:image]],常量!J:N,5,FALSE),0),0)</f>
        <v>3.25</v>
      </c>
      <c r="E283" t="s">
        <v>2587</v>
      </c>
      <c r="F283">
        <v>6</v>
      </c>
      <c r="G283" s="1" t="s">
        <v>263</v>
      </c>
      <c r="H283" s="17" t="s">
        <v>2933</v>
      </c>
      <c r="I283" s="19"/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1400</v>
      </c>
      <c r="P283" s="5"/>
    </row>
    <row r="284" spans="1:16" ht="14.25" customHeight="1">
      <c r="A284">
        <v>286</v>
      </c>
      <c r="B284">
        <f>IF(表1[[#This Row],[不调整offset]]="x",IFERROR(VLOOKUP(表1[[#This Row],[8:image]],常量!J:N,4,FALSE),0),0)</f>
        <v>9.25</v>
      </c>
      <c r="C284">
        <f>IF(表1[[#This Row],[不调整offset]]="x",IFERROR(VLOOKUP(表1[[#This Row],[8:image]],常量!J:N,5,FALSE),0),0)</f>
        <v>3.25</v>
      </c>
      <c r="E284" t="s">
        <v>2587</v>
      </c>
      <c r="F284">
        <v>6</v>
      </c>
      <c r="G284" s="1" t="s">
        <v>264</v>
      </c>
      <c r="H284" s="17" t="s">
        <v>2934</v>
      </c>
      <c r="I284" s="19"/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1400</v>
      </c>
      <c r="P284" s="5"/>
    </row>
    <row r="285" spans="1:16" ht="14.25" customHeight="1">
      <c r="A285">
        <v>287</v>
      </c>
      <c r="B285">
        <f>IF(表1[[#This Row],[不调整offset]]="x",IFERROR(VLOOKUP(表1[[#This Row],[8:image]],常量!J:N,4,FALSE),0),0)</f>
        <v>6.25</v>
      </c>
      <c r="C285">
        <f>IF(表1[[#This Row],[不调整offset]]="x",IFERROR(VLOOKUP(表1[[#This Row],[8:image]],常量!J:N,5,FALSE),0),0)</f>
        <v>3.25</v>
      </c>
      <c r="E285" t="s">
        <v>2587</v>
      </c>
      <c r="F285">
        <v>6</v>
      </c>
      <c r="G285" s="1" t="s">
        <v>265</v>
      </c>
      <c r="H285" s="17" t="s">
        <v>2935</v>
      </c>
      <c r="I285" s="19"/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1400</v>
      </c>
      <c r="P285" s="5"/>
    </row>
    <row r="286" spans="1:16" ht="14.25" customHeight="1">
      <c r="A286">
        <v>288</v>
      </c>
      <c r="B286">
        <f>IF(表1[[#This Row],[不调整offset]]="x",IFERROR(VLOOKUP(表1[[#This Row],[8:image]],常量!J:N,4,FALSE),0),0)</f>
        <v>6.25</v>
      </c>
      <c r="C286">
        <f>IF(表1[[#This Row],[不调整offset]]="x",IFERROR(VLOOKUP(表1[[#This Row],[8:image]],常量!J:N,5,FALSE),0),0)</f>
        <v>3.25</v>
      </c>
      <c r="E286" t="s">
        <v>2587</v>
      </c>
      <c r="F286">
        <v>6</v>
      </c>
      <c r="G286" s="1" t="s">
        <v>1362</v>
      </c>
      <c r="H286" s="17" t="s">
        <v>2936</v>
      </c>
      <c r="I286" s="19"/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1400</v>
      </c>
      <c r="P286" s="5"/>
    </row>
    <row r="287" spans="1:16" ht="14.25" customHeight="1">
      <c r="A287">
        <v>289</v>
      </c>
      <c r="B287">
        <f>IF(表1[[#This Row],[不调整offset]]="x",IFERROR(VLOOKUP(表1[[#This Row],[8:image]],常量!J:N,4,FALSE),0),0)</f>
        <v>12.25</v>
      </c>
      <c r="C287">
        <f>IF(表1[[#This Row],[不调整offset]]="x",IFERROR(VLOOKUP(表1[[#This Row],[8:image]],常量!J:N,5,FALSE),0),0)</f>
        <v>3.25</v>
      </c>
      <c r="E287" t="s">
        <v>2587</v>
      </c>
      <c r="F287">
        <v>6</v>
      </c>
      <c r="G287" s="1" t="s">
        <v>267</v>
      </c>
      <c r="H287" s="17" t="s">
        <v>2937</v>
      </c>
      <c r="I287" s="19"/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1400</v>
      </c>
      <c r="P287" s="5"/>
    </row>
    <row r="288" spans="1:16" ht="14.25" customHeight="1">
      <c r="A288">
        <v>290</v>
      </c>
      <c r="B288">
        <f>IF(表1[[#This Row],[不调整offset]]="x",IFERROR(VLOOKUP(表1[[#This Row],[8:image]],常量!J:N,4,FALSE),0),0)</f>
        <v>9.25</v>
      </c>
      <c r="C288">
        <f>IF(表1[[#This Row],[不调整offset]]="x",IFERROR(VLOOKUP(表1[[#This Row],[8:image]],常量!J:N,5,FALSE),0),0)</f>
        <v>3.25</v>
      </c>
      <c r="E288" t="s">
        <v>2587</v>
      </c>
      <c r="F288">
        <v>6</v>
      </c>
      <c r="G288" s="1" t="s">
        <v>268</v>
      </c>
      <c r="H288" s="17" t="s">
        <v>2938</v>
      </c>
      <c r="I288" s="19"/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1400</v>
      </c>
      <c r="P288" s="5"/>
    </row>
    <row r="289" spans="1:16" ht="14.25" customHeight="1">
      <c r="A289">
        <v>291</v>
      </c>
      <c r="B289">
        <f>IF(表1[[#This Row],[不调整offset]]="x",IFERROR(VLOOKUP(表1[[#This Row],[8:image]],常量!J:N,4,FALSE),0),0)</f>
        <v>12.25</v>
      </c>
      <c r="C289">
        <f>IF(表1[[#This Row],[不调整offset]]="x",IFERROR(VLOOKUP(表1[[#This Row],[8:image]],常量!J:N,5,FALSE),0),0)</f>
        <v>3.25</v>
      </c>
      <c r="E289" t="s">
        <v>2587</v>
      </c>
      <c r="F289">
        <v>6</v>
      </c>
      <c r="G289" s="1" t="s">
        <v>269</v>
      </c>
      <c r="H289" s="17" t="s">
        <v>2939</v>
      </c>
      <c r="I289" s="19"/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1400</v>
      </c>
      <c r="P289" s="5"/>
    </row>
    <row r="290" spans="1:16" ht="14.25" customHeight="1">
      <c r="A290">
        <v>292</v>
      </c>
      <c r="B290">
        <f>IF(表1[[#This Row],[不调整offset]]="x",IFERROR(VLOOKUP(表1[[#This Row],[8:image]],常量!J:N,4,FALSE),0),0)</f>
        <v>6.25</v>
      </c>
      <c r="C290">
        <f>IF(表1[[#This Row],[不调整offset]]="x",IFERROR(VLOOKUP(表1[[#This Row],[8:image]],常量!J:N,5,FALSE),0),0)</f>
        <v>3.25</v>
      </c>
      <c r="E290" t="s">
        <v>2587</v>
      </c>
      <c r="F290">
        <v>6</v>
      </c>
      <c r="G290" s="1" t="s">
        <v>220</v>
      </c>
      <c r="H290" s="17" t="s">
        <v>2940</v>
      </c>
      <c r="I290" s="19"/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1400</v>
      </c>
      <c r="P290" s="5"/>
    </row>
    <row r="291" spans="1:16" ht="14.25" customHeight="1">
      <c r="A291">
        <v>293</v>
      </c>
      <c r="B291">
        <f>IF(表1[[#This Row],[不调整offset]]="x",IFERROR(VLOOKUP(表1[[#This Row],[8:image]],常量!J:N,4,FALSE),0),0)</f>
        <v>18.25</v>
      </c>
      <c r="C291">
        <f>IF(表1[[#This Row],[不调整offset]]="x",IFERROR(VLOOKUP(表1[[#This Row],[8:image]],常量!J:N,5,FALSE),0),0)</f>
        <v>3.25</v>
      </c>
      <c r="E291" t="s">
        <v>2587</v>
      </c>
      <c r="F291">
        <v>6</v>
      </c>
      <c r="G291" s="1" t="s">
        <v>270</v>
      </c>
      <c r="H291" s="17" t="s">
        <v>2941</v>
      </c>
      <c r="I291" s="19"/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1400</v>
      </c>
      <c r="P291" s="5"/>
    </row>
    <row r="292" spans="1:16" ht="14.25" customHeight="1">
      <c r="A292">
        <v>300</v>
      </c>
      <c r="B292">
        <f>IF(表1[[#This Row],[不调整offset]]="x",IFERROR(VLOOKUP(表1[[#This Row],[8:image]],常量!J:N,4,FALSE),0),0)</f>
        <v>45.25</v>
      </c>
      <c r="C292">
        <f>IF(表1[[#This Row],[不调整offset]]="x",IFERROR(VLOOKUP(表1[[#This Row],[8:image]],常量!J:N,5,FALSE),0),0)</f>
        <v>3.25</v>
      </c>
      <c r="E292" t="s">
        <v>2587</v>
      </c>
      <c r="F292">
        <v>6</v>
      </c>
      <c r="G292" s="1" t="s">
        <v>272</v>
      </c>
      <c r="H292" s="17" t="s">
        <v>2942</v>
      </c>
      <c r="I292" s="19"/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O292" t="s">
        <v>1400</v>
      </c>
      <c r="P292" s="5"/>
    </row>
    <row r="293" spans="1:16" ht="14.25" customHeight="1">
      <c r="A293">
        <v>301</v>
      </c>
      <c r="B293">
        <f>IF(表1[[#This Row],[不调整offset]]="x",IFERROR(VLOOKUP(表1[[#This Row],[8:image]],常量!J:N,4,FALSE),0),0)</f>
        <v>21.25</v>
      </c>
      <c r="C293">
        <f>IF(表1[[#This Row],[不调整offset]]="x",IFERROR(VLOOKUP(表1[[#This Row],[8:image]],常量!J:N,5,FALSE),0),0)</f>
        <v>3.25</v>
      </c>
      <c r="E293" t="s">
        <v>2587</v>
      </c>
      <c r="F293">
        <v>6</v>
      </c>
      <c r="G293" s="1" t="s">
        <v>273</v>
      </c>
      <c r="H293" s="17" t="s">
        <v>2943</v>
      </c>
      <c r="I293" s="19"/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O293" t="s">
        <v>1400</v>
      </c>
      <c r="P293" s="5"/>
    </row>
    <row r="294" spans="1:16" ht="14.25" customHeight="1">
      <c r="A294">
        <v>302</v>
      </c>
      <c r="B294">
        <f>IF(表1[[#This Row],[不调整offset]]="x",IFERROR(VLOOKUP(表1[[#This Row],[8:image]],常量!J:N,4,FALSE),0),0)</f>
        <v>51.25</v>
      </c>
      <c r="C294">
        <f>IF(表1[[#This Row],[不调整offset]]="x",IFERROR(VLOOKUP(表1[[#This Row],[8:image]],常量!J:N,5,FALSE),0),0)</f>
        <v>3.25</v>
      </c>
      <c r="E294" t="s">
        <v>2587</v>
      </c>
      <c r="F294">
        <v>6</v>
      </c>
      <c r="G294" s="1" t="s">
        <v>274</v>
      </c>
      <c r="H294" s="17" t="s">
        <v>2944</v>
      </c>
      <c r="I294" s="19"/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O294" t="s">
        <v>1400</v>
      </c>
      <c r="P294" s="5"/>
    </row>
    <row r="295" spans="1:16" ht="14.25" customHeight="1">
      <c r="A295">
        <v>303</v>
      </c>
      <c r="B295">
        <f>IF(表1[[#This Row],[不调整offset]]="x",IFERROR(VLOOKUP(表1[[#This Row],[8:image]],常量!J:N,4,FALSE),0),0)</f>
        <v>45.25</v>
      </c>
      <c r="C295">
        <f>IF(表1[[#This Row],[不调整offset]]="x",IFERROR(VLOOKUP(表1[[#This Row],[8:image]],常量!J:N,5,FALSE),0),0)</f>
        <v>3.25</v>
      </c>
      <c r="E295" t="s">
        <v>2587</v>
      </c>
      <c r="F295">
        <v>6</v>
      </c>
      <c r="G295" s="1" t="s">
        <v>275</v>
      </c>
      <c r="H295" s="17" t="s">
        <v>2945</v>
      </c>
      <c r="I295" s="19"/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O295" t="s">
        <v>1400</v>
      </c>
      <c r="P295" s="5"/>
    </row>
    <row r="296" spans="1:16" ht="14.25" customHeight="1">
      <c r="A296">
        <v>304</v>
      </c>
      <c r="B296">
        <f>IF(表1[[#This Row],[不调整offset]]="x",IFERROR(VLOOKUP(表1[[#This Row],[8:image]],常量!J:N,4,FALSE),0),0)</f>
        <v>69.25</v>
      </c>
      <c r="C296">
        <f>IF(表1[[#This Row],[不调整offset]]="x",IFERROR(VLOOKUP(表1[[#This Row],[8:image]],常量!J:N,5,FALSE),0),0)</f>
        <v>3.25</v>
      </c>
      <c r="E296" t="s">
        <v>2587</v>
      </c>
      <c r="F296">
        <v>6</v>
      </c>
      <c r="G296" s="1" t="s">
        <v>276</v>
      </c>
      <c r="H296" s="17" t="s">
        <v>2946</v>
      </c>
      <c r="I296" s="19"/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O296" t="s">
        <v>1400</v>
      </c>
      <c r="P296" s="5"/>
    </row>
    <row r="297" spans="1:16" ht="14.25" customHeight="1">
      <c r="A297">
        <v>305</v>
      </c>
      <c r="B297">
        <f>IF(表1[[#This Row],[不调整offset]]="x",IFERROR(VLOOKUP(表1[[#This Row],[8:image]],常量!J:N,4,FALSE),0),0)</f>
        <v>42.25</v>
      </c>
      <c r="C297">
        <f>IF(表1[[#This Row],[不调整offset]]="x",IFERROR(VLOOKUP(表1[[#This Row],[8:image]],常量!J:N,5,FALSE),0),0)</f>
        <v>3.25</v>
      </c>
      <c r="E297" t="s">
        <v>2587</v>
      </c>
      <c r="F297">
        <v>6</v>
      </c>
      <c r="G297" s="1" t="s">
        <v>277</v>
      </c>
      <c r="H297" s="17" t="s">
        <v>2947</v>
      </c>
      <c r="I297" s="19"/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O297" t="s">
        <v>1400</v>
      </c>
      <c r="P297" s="5"/>
    </row>
    <row r="298" spans="1:16" ht="14.25" customHeight="1">
      <c r="A298">
        <v>306</v>
      </c>
      <c r="B298">
        <f>IF(表1[[#This Row],[不调整offset]]="x",IFERROR(VLOOKUP(表1[[#This Row],[8:image]],常量!J:N,4,FALSE),0),0)</f>
        <v>33.25</v>
      </c>
      <c r="C298">
        <f>IF(表1[[#This Row],[不调整offset]]="x",IFERROR(VLOOKUP(表1[[#This Row],[8:image]],常量!J:N,5,FALSE),0),0)</f>
        <v>3.25</v>
      </c>
      <c r="E298" t="s">
        <v>2587</v>
      </c>
      <c r="F298">
        <v>6</v>
      </c>
      <c r="G298" s="1" t="s">
        <v>278</v>
      </c>
      <c r="H298" s="17" t="s">
        <v>2948</v>
      </c>
      <c r="I298" s="19"/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O298" t="s">
        <v>1400</v>
      </c>
      <c r="P298" s="5"/>
    </row>
    <row r="299" spans="1:16" ht="14.25" customHeight="1">
      <c r="A299">
        <v>307</v>
      </c>
      <c r="B299">
        <f>IF(表1[[#This Row],[不调整offset]]="x",IFERROR(VLOOKUP(表1[[#This Row],[8:image]],常量!J:N,4,FALSE),0),0)</f>
        <v>51.25</v>
      </c>
      <c r="C299">
        <f>IF(表1[[#This Row],[不调整offset]]="x",IFERROR(VLOOKUP(表1[[#This Row],[8:image]],常量!J:N,5,FALSE),0),0)</f>
        <v>3.25</v>
      </c>
      <c r="E299" t="s">
        <v>2587</v>
      </c>
      <c r="F299">
        <v>6</v>
      </c>
      <c r="G299" s="1" t="s">
        <v>279</v>
      </c>
      <c r="H299" s="17" t="s">
        <v>2949</v>
      </c>
      <c r="I299" s="19"/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O299" t="s">
        <v>1400</v>
      </c>
      <c r="P299" s="5"/>
    </row>
    <row r="300" spans="1:16" ht="14.25" customHeight="1">
      <c r="A300">
        <v>308</v>
      </c>
      <c r="B300">
        <f>IF(表1[[#This Row],[不调整offset]]="x",IFERROR(VLOOKUP(表1[[#This Row],[8:image]],常量!J:N,4,FALSE),0),0)</f>
        <v>48.25</v>
      </c>
      <c r="C300">
        <f>IF(表1[[#This Row],[不调整offset]]="x",IFERROR(VLOOKUP(表1[[#This Row],[8:image]],常量!J:N,5,FALSE),0),0)</f>
        <v>3.25</v>
      </c>
      <c r="E300" t="s">
        <v>2587</v>
      </c>
      <c r="F300">
        <v>6</v>
      </c>
      <c r="G300" s="1" t="s">
        <v>280</v>
      </c>
      <c r="H300" s="17" t="s">
        <v>2950</v>
      </c>
      <c r="I300" s="19"/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O300" t="s">
        <v>1400</v>
      </c>
      <c r="P300" s="5"/>
    </row>
    <row r="301" spans="1:16" ht="14.25" customHeight="1">
      <c r="A301">
        <v>309</v>
      </c>
      <c r="B301">
        <f>IF(表1[[#This Row],[不调整offset]]="x",IFERROR(VLOOKUP(表1[[#This Row],[8:image]],常量!J:N,4,FALSE),0),0)</f>
        <v>42.25</v>
      </c>
      <c r="C301">
        <f>IF(表1[[#This Row],[不调整offset]]="x",IFERROR(VLOOKUP(表1[[#This Row],[8:image]],常量!J:N,5,FALSE),0),0)</f>
        <v>3.25</v>
      </c>
      <c r="E301" t="s">
        <v>2587</v>
      </c>
      <c r="F301">
        <v>6</v>
      </c>
      <c r="G301" s="1" t="s">
        <v>281</v>
      </c>
      <c r="H301" s="17" t="s">
        <v>2951</v>
      </c>
      <c r="I301" s="19"/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O301" t="s">
        <v>1400</v>
      </c>
      <c r="P301" s="5"/>
    </row>
    <row r="302" spans="1:16" ht="14.25" customHeight="1">
      <c r="A302">
        <v>310</v>
      </c>
      <c r="B302">
        <f>IF(表1[[#This Row],[不调整offset]]="x",IFERROR(VLOOKUP(表1[[#This Row],[8:image]],常量!J:N,4,FALSE),0),0)</f>
        <v>27.25</v>
      </c>
      <c r="C302">
        <f>IF(表1[[#This Row],[不调整offset]]="x",IFERROR(VLOOKUP(表1[[#This Row],[8:image]],常量!J:N,5,FALSE),0),0)</f>
        <v>3.25</v>
      </c>
      <c r="E302" t="s">
        <v>2587</v>
      </c>
      <c r="F302">
        <v>6</v>
      </c>
      <c r="G302" s="1" t="s">
        <v>282</v>
      </c>
      <c r="H302" s="17" t="s">
        <v>2952</v>
      </c>
      <c r="I302" s="19"/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O302" t="s">
        <v>1400</v>
      </c>
      <c r="P302" s="5"/>
    </row>
    <row r="303" spans="1:16" ht="14.25" customHeight="1">
      <c r="A303">
        <v>311</v>
      </c>
      <c r="B303">
        <f>IF(表1[[#This Row],[不调整offset]]="x",IFERROR(VLOOKUP(表1[[#This Row],[8:image]],常量!J:N,4,FALSE),0),0)</f>
        <v>27.25</v>
      </c>
      <c r="C303">
        <f>IF(表1[[#This Row],[不调整offset]]="x",IFERROR(VLOOKUP(表1[[#This Row],[8:image]],常量!J:N,5,FALSE),0),0)</f>
        <v>3.25</v>
      </c>
      <c r="E303" t="s">
        <v>2587</v>
      </c>
      <c r="F303">
        <v>6</v>
      </c>
      <c r="G303" s="1" t="s">
        <v>283</v>
      </c>
      <c r="H303" s="17" t="s">
        <v>2953</v>
      </c>
      <c r="I303" s="19"/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O303" t="s">
        <v>1400</v>
      </c>
      <c r="P303" s="5"/>
    </row>
    <row r="304" spans="1:16" ht="14.25" customHeight="1">
      <c r="A304">
        <v>312</v>
      </c>
      <c r="B304">
        <f>IF(表1[[#This Row],[不调整offset]]="x",IFERROR(VLOOKUP(表1[[#This Row],[8:image]],常量!J:N,4,FALSE),0),0)</f>
        <v>33.25</v>
      </c>
      <c r="C304">
        <f>IF(表1[[#This Row],[不调整offset]]="x",IFERROR(VLOOKUP(表1[[#This Row],[8:image]],常量!J:N,5,FALSE),0),0)</f>
        <v>3.25</v>
      </c>
      <c r="E304" t="s">
        <v>2587</v>
      </c>
      <c r="F304">
        <v>6</v>
      </c>
      <c r="G304" s="1" t="s">
        <v>284</v>
      </c>
      <c r="H304" s="17" t="s">
        <v>2954</v>
      </c>
      <c r="I304" s="19"/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O304" t="s">
        <v>1400</v>
      </c>
      <c r="P304" s="5"/>
    </row>
    <row r="305" spans="1:16" ht="14.25" customHeight="1">
      <c r="A305">
        <v>313</v>
      </c>
      <c r="B305">
        <f>IF(表1[[#This Row],[不调整offset]]="x",IFERROR(VLOOKUP(表1[[#This Row],[8:image]],常量!J:N,4,FALSE),0),0)</f>
        <v>0</v>
      </c>
      <c r="C305">
        <f>IF(表1[[#This Row],[不调整offset]]="x",IFERROR(VLOOKUP(表1[[#This Row],[8:image]],常量!J:N,5,FALSE),0),0)</f>
        <v>0</v>
      </c>
      <c r="E305" t="s">
        <v>2587</v>
      </c>
      <c r="F305">
        <v>6</v>
      </c>
      <c r="G305" s="8" t="s">
        <v>56</v>
      </c>
      <c r="H305" s="16" t="s">
        <v>2955</v>
      </c>
      <c r="I305" s="19"/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305" t="s">
        <v>1400</v>
      </c>
      <c r="P305" s="5"/>
    </row>
    <row r="306" spans="1:16" ht="14.25" customHeight="1">
      <c r="A306">
        <v>314</v>
      </c>
      <c r="B306">
        <f>IF(表1[[#This Row],[不调整offset]]="x",IFERROR(VLOOKUP(表1[[#This Row],[8:image]],常量!J:N,4,FALSE),0),0)</f>
        <v>0</v>
      </c>
      <c r="C306">
        <f>IF(表1[[#This Row],[不调整offset]]="x",IFERROR(VLOOKUP(表1[[#This Row],[8:image]],常量!J:N,5,FALSE),0),0)</f>
        <v>0</v>
      </c>
      <c r="E306" t="s">
        <v>2587</v>
      </c>
      <c r="F306">
        <v>6</v>
      </c>
      <c r="G306" s="1" t="s">
        <v>285</v>
      </c>
      <c r="H306" s="17" t="s">
        <v>2956</v>
      </c>
      <c r="I306" s="19"/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IF(表1[[#This Row],[不调整offset]]="x",IFERROR(VLOOKUP(表1[[#This Row],[8:image]],常量!J:N,4,FALSE),0),0)</f>
        <v>0</v>
      </c>
      <c r="C307">
        <f>IF(表1[[#This Row],[不调整offset]]="x",IFERROR(VLOOKUP(表1[[#This Row],[8:image]],常量!J:N,5,FALSE),0),0)</f>
        <v>0</v>
      </c>
      <c r="E307" t="s">
        <v>2587</v>
      </c>
      <c r="F307">
        <v>6</v>
      </c>
      <c r="G307" s="1" t="s">
        <v>286</v>
      </c>
      <c r="H307" s="17" t="s">
        <v>2957</v>
      </c>
      <c r="I307" s="19"/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IF(表1[[#This Row],[不调整offset]]="x",IFERROR(VLOOKUP(表1[[#This Row],[8:image]],常量!J:N,4,FALSE),0),0)</f>
        <v>0</v>
      </c>
      <c r="C308">
        <f>IF(表1[[#This Row],[不调整offset]]="x",IFERROR(VLOOKUP(表1[[#This Row],[8:image]],常量!J:N,5,FALSE),0),0)</f>
        <v>0</v>
      </c>
      <c r="E308" t="s">
        <v>2587</v>
      </c>
      <c r="F308">
        <v>6</v>
      </c>
      <c r="G308" s="1" t="s">
        <v>287</v>
      </c>
      <c r="H308" s="17" t="s">
        <v>2958</v>
      </c>
      <c r="I308" s="19"/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IF(表1[[#This Row],[不调整offset]]="x",IFERROR(VLOOKUP(表1[[#This Row],[8:image]],常量!J:N,4,FALSE),0),0)</f>
        <v>0</v>
      </c>
      <c r="C309">
        <f>IF(表1[[#This Row],[不调整offset]]="x",IFERROR(VLOOKUP(表1[[#This Row],[8:image]],常量!J:N,5,FALSE),0),0)</f>
        <v>0</v>
      </c>
      <c r="E309" t="s">
        <v>2587</v>
      </c>
      <c r="F309">
        <v>6</v>
      </c>
      <c r="G309" s="1" t="s">
        <v>288</v>
      </c>
      <c r="H309" s="17" t="s">
        <v>2959</v>
      </c>
      <c r="I309" s="19"/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IF(表1[[#This Row],[不调整offset]]="x",IFERROR(VLOOKUP(表1[[#This Row],[8:image]],常量!J:N,4,FALSE),0),0)</f>
        <v>0</v>
      </c>
      <c r="C310">
        <f>IF(表1[[#This Row],[不调整offset]]="x",IFERROR(VLOOKUP(表1[[#This Row],[8:image]],常量!J:N,5,FALSE),0),0)</f>
        <v>0</v>
      </c>
      <c r="E310" t="s">
        <v>2587</v>
      </c>
      <c r="F310">
        <v>6</v>
      </c>
      <c r="G310" s="1" t="s">
        <v>289</v>
      </c>
      <c r="H310" s="17" t="s">
        <v>2960</v>
      </c>
      <c r="I310" s="19"/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IF(表1[[#This Row],[不调整offset]]="x",IFERROR(VLOOKUP(表1[[#This Row],[8:image]],常量!J:N,4,FALSE),0),0)</f>
        <v>0</v>
      </c>
      <c r="C311">
        <f>IF(表1[[#This Row],[不调整offset]]="x",IFERROR(VLOOKUP(表1[[#This Row],[8:image]],常量!J:N,5,FALSE),0),0)</f>
        <v>0</v>
      </c>
      <c r="E311" t="s">
        <v>2587</v>
      </c>
      <c r="F311">
        <v>6</v>
      </c>
      <c r="G311" s="1" t="s">
        <v>290</v>
      </c>
      <c r="H311" s="17" t="s">
        <v>2961</v>
      </c>
      <c r="I311" s="19"/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IF(表1[[#This Row],[不调整offset]]="x",IFERROR(VLOOKUP(表1[[#This Row],[8:image]],常量!J:N,4,FALSE),0),0)</f>
        <v>0</v>
      </c>
      <c r="C312">
        <f>IF(表1[[#This Row],[不调整offset]]="x",IFERROR(VLOOKUP(表1[[#This Row],[8:image]],常量!J:N,5,FALSE),0),0)</f>
        <v>0</v>
      </c>
      <c r="E312" t="s">
        <v>2587</v>
      </c>
      <c r="F312">
        <v>6</v>
      </c>
      <c r="G312" s="1" t="s">
        <v>291</v>
      </c>
      <c r="H312" s="17" t="s">
        <v>2962</v>
      </c>
      <c r="I312" s="19"/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IF(表1[[#This Row],[不调整offset]]="x",IFERROR(VLOOKUP(表1[[#This Row],[8:image]],常量!J:N,4,FALSE),0),0)</f>
        <v>0</v>
      </c>
      <c r="C313">
        <f>IF(表1[[#This Row],[不调整offset]]="x",IFERROR(VLOOKUP(表1[[#This Row],[8:image]],常量!J:N,5,FALSE),0),0)</f>
        <v>0</v>
      </c>
      <c r="E313" t="s">
        <v>2587</v>
      </c>
      <c r="F313">
        <v>6</v>
      </c>
      <c r="G313" s="1" t="s">
        <v>1291</v>
      </c>
      <c r="H313" s="17" t="s">
        <v>2963</v>
      </c>
      <c r="I313" s="19"/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IF(表1[[#This Row],[不调整offset]]="x",IFERROR(VLOOKUP(表1[[#This Row],[8:image]],常量!J:N,4,FALSE),0),0)</f>
        <v>0</v>
      </c>
      <c r="C314">
        <f>IF(表1[[#This Row],[不调整offset]]="x",IFERROR(VLOOKUP(表1[[#This Row],[8:image]],常量!J:N,5,FALSE),0),0)</f>
        <v>0</v>
      </c>
      <c r="E314" t="s">
        <v>2587</v>
      </c>
      <c r="F314">
        <v>6</v>
      </c>
      <c r="G314" s="1" t="s">
        <v>292</v>
      </c>
      <c r="H314" s="17" t="s">
        <v>2964</v>
      </c>
      <c r="I314" s="19"/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IF(表1[[#This Row],[不调整offset]]="x",IFERROR(VLOOKUP(表1[[#This Row],[8:image]],常量!J:N,4,FALSE),0),0)</f>
        <v>0</v>
      </c>
      <c r="C315">
        <f>IF(表1[[#This Row],[不调整offset]]="x",IFERROR(VLOOKUP(表1[[#This Row],[8:image]],常量!J:N,5,FALSE),0),0)</f>
        <v>0</v>
      </c>
      <c r="E315" t="s">
        <v>2587</v>
      </c>
      <c r="F315">
        <v>6</v>
      </c>
      <c r="G315" s="1" t="s">
        <v>293</v>
      </c>
      <c r="H315" s="17" t="s">
        <v>2965</v>
      </c>
      <c r="I315" s="19"/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IF(表1[[#This Row],[不调整offset]]="x",IFERROR(VLOOKUP(表1[[#This Row],[8:image]],常量!J:N,4,FALSE),0),0)</f>
        <v>0</v>
      </c>
      <c r="C316">
        <f>IF(表1[[#This Row],[不调整offset]]="x",IFERROR(VLOOKUP(表1[[#This Row],[8:image]],常量!J:N,5,FALSE),0),0)</f>
        <v>0</v>
      </c>
      <c r="E316" t="s">
        <v>2587</v>
      </c>
      <c r="F316">
        <v>6</v>
      </c>
      <c r="G316" s="12" t="s">
        <v>294</v>
      </c>
      <c r="H316" s="17" t="s">
        <v>2966</v>
      </c>
      <c r="I316" s="19"/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customHeight="1">
      <c r="A317">
        <v>325</v>
      </c>
      <c r="B317">
        <f>IF(表1[[#This Row],[不调整offset]]="x",IFERROR(VLOOKUP(表1[[#This Row],[8:image]],常量!J:N,4,FALSE),0),0)</f>
        <v>0</v>
      </c>
      <c r="C317">
        <f>IF(表1[[#This Row],[不调整offset]]="x",IFERROR(VLOOKUP(表1[[#This Row],[8:image]],常量!J:N,5,FALSE),0),0)</f>
        <v>0</v>
      </c>
      <c r="E317" t="s">
        <v>2587</v>
      </c>
      <c r="F317">
        <v>6</v>
      </c>
      <c r="G317" s="12" t="s">
        <v>295</v>
      </c>
      <c r="H317" s="17" t="s">
        <v>2967</v>
      </c>
      <c r="I317" s="19"/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customHeight="1">
      <c r="A318">
        <v>326</v>
      </c>
      <c r="B318">
        <f>IF(表1[[#This Row],[不调整offset]]="x",IFERROR(VLOOKUP(表1[[#This Row],[8:image]],常量!J:N,4,FALSE),0),0)</f>
        <v>0</v>
      </c>
      <c r="C318">
        <f>IF(表1[[#This Row],[不调整offset]]="x",IFERROR(VLOOKUP(表1[[#This Row],[8:image]],常量!J:N,5,FALSE),0),0)</f>
        <v>0</v>
      </c>
      <c r="E318" t="s">
        <v>2587</v>
      </c>
      <c r="F318">
        <v>6</v>
      </c>
      <c r="G318" s="1" t="s">
        <v>296</v>
      </c>
      <c r="H318" s="17" t="s">
        <v>2968</v>
      </c>
      <c r="I318" s="19"/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IF(表1[[#This Row],[不调整offset]]="x",IFERROR(VLOOKUP(表1[[#This Row],[8:image]],常量!J:N,4,FALSE),0),0)</f>
        <v>0</v>
      </c>
      <c r="C319">
        <f>IF(表1[[#This Row],[不调整offset]]="x",IFERROR(VLOOKUP(表1[[#This Row],[8:image]],常量!J:N,5,FALSE),0),0)</f>
        <v>0</v>
      </c>
      <c r="E319" t="s">
        <v>2587</v>
      </c>
      <c r="F319">
        <v>6</v>
      </c>
      <c r="G319" s="1" t="s">
        <v>297</v>
      </c>
      <c r="H319" s="17" t="s">
        <v>2969</v>
      </c>
      <c r="I319" s="19"/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IF(表1[[#This Row],[不调整offset]]="x",IFERROR(VLOOKUP(表1[[#This Row],[8:image]],常量!J:N,4,FALSE),0),0)</f>
        <v>0</v>
      </c>
      <c r="C320">
        <f>IF(表1[[#This Row],[不调整offset]]="x",IFERROR(VLOOKUP(表1[[#This Row],[8:image]],常量!J:N,5,FALSE),0),0)</f>
        <v>0</v>
      </c>
      <c r="E320" t="s">
        <v>2587</v>
      </c>
      <c r="F320">
        <v>6</v>
      </c>
      <c r="G320" s="1" t="s">
        <v>298</v>
      </c>
      <c r="H320" s="17" t="s">
        <v>2970</v>
      </c>
      <c r="I320" s="19"/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IF(表1[[#This Row],[不调整offset]]="x",IFERROR(VLOOKUP(表1[[#This Row],[8:image]],常量!J:N,4,FALSE),0),0)</f>
        <v>0</v>
      </c>
      <c r="C321">
        <f>IF(表1[[#This Row],[不调整offset]]="x",IFERROR(VLOOKUP(表1[[#This Row],[8:image]],常量!J:N,5,FALSE),0),0)</f>
        <v>0</v>
      </c>
      <c r="E321" t="s">
        <v>2587</v>
      </c>
      <c r="F321">
        <v>6</v>
      </c>
      <c r="G321" s="1" t="s">
        <v>299</v>
      </c>
      <c r="H321" s="17" t="s">
        <v>2971</v>
      </c>
      <c r="I321" s="19"/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IF(表1[[#This Row],[不调整offset]]="x",IFERROR(VLOOKUP(表1[[#This Row],[8:image]],常量!J:N,4,FALSE),0),0)</f>
        <v>0</v>
      </c>
      <c r="C322">
        <f>IF(表1[[#This Row],[不调整offset]]="x",IFERROR(VLOOKUP(表1[[#This Row],[8:image]],常量!J:N,5,FALSE),0),0)</f>
        <v>0</v>
      </c>
      <c r="E322" t="s">
        <v>2587</v>
      </c>
      <c r="F322">
        <v>6</v>
      </c>
      <c r="G322" s="1" t="s">
        <v>300</v>
      </c>
      <c r="H322" s="17" t="s">
        <v>2972</v>
      </c>
      <c r="I322" s="19"/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IF(表1[[#This Row],[不调整offset]]="x",IFERROR(VLOOKUP(表1[[#This Row],[8:image]],常量!J:N,4,FALSE),0),0)</f>
        <v>0</v>
      </c>
      <c r="C323">
        <f>IF(表1[[#This Row],[不调整offset]]="x",IFERROR(VLOOKUP(表1[[#This Row],[8:image]],常量!J:N,5,FALSE),0),0)</f>
        <v>0</v>
      </c>
      <c r="E323" t="s">
        <v>2587</v>
      </c>
      <c r="F323">
        <v>6</v>
      </c>
      <c r="G323" s="1" t="s">
        <v>301</v>
      </c>
      <c r="H323" s="17" t="s">
        <v>2973</v>
      </c>
      <c r="I323" s="19"/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IF(表1[[#This Row],[不调整offset]]="x",IFERROR(VLOOKUP(表1[[#This Row],[8:image]],常量!J:N,4,FALSE),0),0)</f>
        <v>0</v>
      </c>
      <c r="C324">
        <f>IF(表1[[#This Row],[不调整offset]]="x",IFERROR(VLOOKUP(表1[[#This Row],[8:image]],常量!J:N,5,FALSE),0),0)</f>
        <v>0</v>
      </c>
      <c r="E324" t="s">
        <v>2587</v>
      </c>
      <c r="F324">
        <v>6</v>
      </c>
      <c r="G324" s="1" t="s">
        <v>302</v>
      </c>
      <c r="H324" s="17" t="s">
        <v>2974</v>
      </c>
      <c r="I324" s="19"/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IF(表1[[#This Row],[不调整offset]]="x",IFERROR(VLOOKUP(表1[[#This Row],[8:image]],常量!J:N,4,FALSE),0),0)</f>
        <v>0</v>
      </c>
      <c r="C325">
        <f>IF(表1[[#This Row],[不调整offset]]="x",IFERROR(VLOOKUP(表1[[#This Row],[8:image]],常量!J:N,5,FALSE),0),0)</f>
        <v>0</v>
      </c>
      <c r="E325" t="s">
        <v>2587</v>
      </c>
      <c r="F325">
        <v>6</v>
      </c>
      <c r="G325" s="1" t="s">
        <v>303</v>
      </c>
      <c r="H325" s="17" t="s">
        <v>2975</v>
      </c>
      <c r="I325" s="19"/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IF(表1[[#This Row],[不调整offset]]="x",IFERROR(VLOOKUP(表1[[#This Row],[8:image]],常量!J:N,4,FALSE),0),0)</f>
        <v>0</v>
      </c>
      <c r="C326">
        <f>IF(表1[[#This Row],[不调整offset]]="x",IFERROR(VLOOKUP(表1[[#This Row],[8:image]],常量!J:N,5,FALSE),0),0)</f>
        <v>0</v>
      </c>
      <c r="E326" t="s">
        <v>2587</v>
      </c>
      <c r="F326">
        <v>6</v>
      </c>
      <c r="G326" s="1" t="s">
        <v>304</v>
      </c>
      <c r="H326" s="17" t="s">
        <v>2976</v>
      </c>
      <c r="I326" s="19"/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IF(表1[[#This Row],[不调整offset]]="x",IFERROR(VLOOKUP(表1[[#This Row],[8:image]],常量!J:N,4,FALSE),0),0)</f>
        <v>0</v>
      </c>
      <c r="C327">
        <f>IF(表1[[#This Row],[不调整offset]]="x",IFERROR(VLOOKUP(表1[[#This Row],[8:image]],常量!J:N,5,FALSE),0),0)</f>
        <v>0</v>
      </c>
      <c r="E327" t="s">
        <v>2587</v>
      </c>
      <c r="F327">
        <v>6</v>
      </c>
      <c r="G327" s="1" t="s">
        <v>305</v>
      </c>
      <c r="H327" s="17" t="s">
        <v>2977</v>
      </c>
      <c r="I327" s="19"/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IF(表1[[#This Row],[不调整offset]]="x",IFERROR(VLOOKUP(表1[[#This Row],[8:image]],常量!J:N,4,FALSE),0),0)</f>
        <v>0</v>
      </c>
      <c r="C328">
        <f>IF(表1[[#This Row],[不调整offset]]="x",IFERROR(VLOOKUP(表1[[#This Row],[8:image]],常量!J:N,5,FALSE),0),0)</f>
        <v>0</v>
      </c>
      <c r="E328" t="s">
        <v>2587</v>
      </c>
      <c r="F328">
        <v>6</v>
      </c>
      <c r="G328" s="1" t="s">
        <v>306</v>
      </c>
      <c r="H328" s="17" t="s">
        <v>2978</v>
      </c>
      <c r="I328" s="19"/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IF(表1[[#This Row],[不调整offset]]="x",IFERROR(VLOOKUP(表1[[#This Row],[8:image]],常量!J:N,4,FALSE),0),0)</f>
        <v>0</v>
      </c>
      <c r="C329">
        <f>IF(表1[[#This Row],[不调整offset]]="x",IFERROR(VLOOKUP(表1[[#This Row],[8:image]],常量!J:N,5,FALSE),0),0)</f>
        <v>0</v>
      </c>
      <c r="E329" t="s">
        <v>2587</v>
      </c>
      <c r="F329">
        <v>6</v>
      </c>
      <c r="G329" s="1" t="s">
        <v>307</v>
      </c>
      <c r="H329" s="17" t="s">
        <v>2979</v>
      </c>
      <c r="I329" s="19"/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IF(表1[[#This Row],[不调整offset]]="x",IFERROR(VLOOKUP(表1[[#This Row],[8:image]],常量!J:N,4,FALSE),0),0)</f>
        <v>0</v>
      </c>
      <c r="C330">
        <f>IF(表1[[#This Row],[不调整offset]]="x",IFERROR(VLOOKUP(表1[[#This Row],[8:image]],常量!J:N,5,FALSE),0),0)</f>
        <v>0</v>
      </c>
      <c r="E330" t="s">
        <v>2587</v>
      </c>
      <c r="F330">
        <v>6</v>
      </c>
      <c r="G330" s="1" t="s">
        <v>308</v>
      </c>
      <c r="H330" s="17" t="s">
        <v>2980</v>
      </c>
      <c r="I330" s="19"/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IF(表1[[#This Row],[不调整offset]]="x",IFERROR(VLOOKUP(表1[[#This Row],[8:image]],常量!J:N,4,FALSE),0),0)</f>
        <v>0</v>
      </c>
      <c r="C331">
        <f>IF(表1[[#This Row],[不调整offset]]="x",IFERROR(VLOOKUP(表1[[#This Row],[8:image]],常量!J:N,5,FALSE),0),0)</f>
        <v>0</v>
      </c>
      <c r="E331" t="s">
        <v>2587</v>
      </c>
      <c r="F331">
        <v>6</v>
      </c>
      <c r="G331" s="1" t="s">
        <v>309</v>
      </c>
      <c r="H331" s="17" t="s">
        <v>2981</v>
      </c>
      <c r="I331" s="19"/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IF(表1[[#This Row],[不调整offset]]="x",IFERROR(VLOOKUP(表1[[#This Row],[8:image]],常量!J:N,4,FALSE),0),0)</f>
        <v>0</v>
      </c>
      <c r="C332">
        <f>IF(表1[[#This Row],[不调整offset]]="x",IFERROR(VLOOKUP(表1[[#This Row],[8:image]],常量!J:N,5,FALSE),0),0)</f>
        <v>0</v>
      </c>
      <c r="E332" t="s">
        <v>2587</v>
      </c>
      <c r="F332">
        <v>6</v>
      </c>
      <c r="G332" s="1" t="s">
        <v>310</v>
      </c>
      <c r="H332" s="17" t="s">
        <v>2982</v>
      </c>
      <c r="I332" s="19"/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IF(表1[[#This Row],[不调整offset]]="x",IFERROR(VLOOKUP(表1[[#This Row],[8:image]],常量!J:N,4,FALSE),0),0)</f>
        <v>0</v>
      </c>
      <c r="C333">
        <f>IF(表1[[#This Row],[不调整offset]]="x",IFERROR(VLOOKUP(表1[[#This Row],[8:image]],常量!J:N,5,FALSE),0),0)</f>
        <v>0</v>
      </c>
      <c r="E333" t="s">
        <v>2587</v>
      </c>
      <c r="F333">
        <v>6</v>
      </c>
      <c r="G333" s="1" t="s">
        <v>311</v>
      </c>
      <c r="H333" s="17" t="s">
        <v>2983</v>
      </c>
      <c r="I333" s="19"/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IF(表1[[#This Row],[不调整offset]]="x",IFERROR(VLOOKUP(表1[[#This Row],[8:image]],常量!J:N,4,FALSE),0),0)</f>
        <v>0</v>
      </c>
      <c r="C334">
        <f>IF(表1[[#This Row],[不调整offset]]="x",IFERROR(VLOOKUP(表1[[#This Row],[8:image]],常量!J:N,5,FALSE),0),0)</f>
        <v>0</v>
      </c>
      <c r="E334" t="s">
        <v>2587</v>
      </c>
      <c r="F334">
        <v>6</v>
      </c>
      <c r="G334" s="1" t="s">
        <v>265</v>
      </c>
      <c r="H334" s="17" t="s">
        <v>2984</v>
      </c>
      <c r="I334" s="19"/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IF(表1[[#This Row],[不调整offset]]="x",IFERROR(VLOOKUP(表1[[#This Row],[8:image]],常量!J:N,4,FALSE),0),0)</f>
        <v>0</v>
      </c>
      <c r="C335">
        <f>IF(表1[[#This Row],[不调整offset]]="x",IFERROR(VLOOKUP(表1[[#This Row],[8:image]],常量!J:N,5,FALSE),0),0)</f>
        <v>0</v>
      </c>
      <c r="E335" t="s">
        <v>2587</v>
      </c>
      <c r="F335">
        <v>6</v>
      </c>
      <c r="G335" s="1" t="s">
        <v>312</v>
      </c>
      <c r="H335" s="17" t="s">
        <v>2985</v>
      </c>
      <c r="I335" s="19"/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IF(表1[[#This Row],[不调整offset]]="x",IFERROR(VLOOKUP(表1[[#This Row],[8:image]],常量!J:N,4,FALSE),0),0)</f>
        <v>0</v>
      </c>
      <c r="C336">
        <f>IF(表1[[#This Row],[不调整offset]]="x",IFERROR(VLOOKUP(表1[[#This Row],[8:image]],常量!J:N,5,FALSE),0),0)</f>
        <v>0</v>
      </c>
      <c r="E336" t="s">
        <v>2587</v>
      </c>
      <c r="F336">
        <v>6</v>
      </c>
      <c r="G336" s="1" t="s">
        <v>313</v>
      </c>
      <c r="H336" s="17" t="s">
        <v>2986</v>
      </c>
      <c r="I336" s="19"/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IF(表1[[#This Row],[不调整offset]]="x",IFERROR(VLOOKUP(表1[[#This Row],[8:image]],常量!J:N,4,FALSE),0),0)</f>
        <v>0</v>
      </c>
      <c r="C337">
        <f>IF(表1[[#This Row],[不调整offset]]="x",IFERROR(VLOOKUP(表1[[#This Row],[8:image]],常量!J:N,5,FALSE),0),0)</f>
        <v>0</v>
      </c>
      <c r="E337" t="s">
        <v>2587</v>
      </c>
      <c r="F337">
        <v>6</v>
      </c>
      <c r="G337" s="1" t="s">
        <v>314</v>
      </c>
      <c r="H337" s="17" t="s">
        <v>2987</v>
      </c>
      <c r="I337" s="19"/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IF(表1[[#This Row],[不调整offset]]="x",IFERROR(VLOOKUP(表1[[#This Row],[8:image]],常量!J:N,4,FALSE),0),0)</f>
        <v>0</v>
      </c>
      <c r="C338">
        <f>IF(表1[[#This Row],[不调整offset]]="x",IFERROR(VLOOKUP(表1[[#This Row],[8:image]],常量!J:N,5,FALSE),0),0)</f>
        <v>0</v>
      </c>
      <c r="E338" t="s">
        <v>2587</v>
      </c>
      <c r="F338">
        <v>6</v>
      </c>
      <c r="G338" s="1" t="s">
        <v>315</v>
      </c>
      <c r="H338" s="17" t="s">
        <v>2988</v>
      </c>
      <c r="I338" s="19"/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customHeight="1">
      <c r="A339">
        <v>347</v>
      </c>
      <c r="B339">
        <f>IF(表1[[#This Row],[不调整offset]]="x",IFERROR(VLOOKUP(表1[[#This Row],[8:image]],常量!J:N,4,FALSE),0),0)</f>
        <v>0</v>
      </c>
      <c r="C339">
        <f>IF(表1[[#This Row],[不调整offset]]="x",IFERROR(VLOOKUP(表1[[#This Row],[8:image]],常量!J:N,5,FALSE),0),0)</f>
        <v>0</v>
      </c>
      <c r="E339" t="s">
        <v>2587</v>
      </c>
      <c r="F339">
        <v>6</v>
      </c>
      <c r="G339" s="1" t="s">
        <v>316</v>
      </c>
      <c r="H339" s="17" t="s">
        <v>2989</v>
      </c>
      <c r="I339" s="19"/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IF(表1[[#This Row],[不调整offset]]="x",IFERROR(VLOOKUP(表1[[#This Row],[8:image]],常量!J:N,4,FALSE),0),0)</f>
        <v>0</v>
      </c>
      <c r="C340">
        <f>IF(表1[[#This Row],[不调整offset]]="x",IFERROR(VLOOKUP(表1[[#This Row],[8:image]],常量!J:N,5,FALSE),0),0)</f>
        <v>0</v>
      </c>
      <c r="E340" t="s">
        <v>2587</v>
      </c>
      <c r="F340">
        <v>6</v>
      </c>
      <c r="G340" s="1" t="s">
        <v>317</v>
      </c>
      <c r="H340" s="17" t="s">
        <v>2990</v>
      </c>
      <c r="I340" s="19"/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IF(表1[[#This Row],[不调整offset]]="x",IFERROR(VLOOKUP(表1[[#This Row],[8:image]],常量!J:N,4,FALSE),0),0)</f>
        <v>0</v>
      </c>
      <c r="C341">
        <f>IF(表1[[#This Row],[不调整offset]]="x",IFERROR(VLOOKUP(表1[[#This Row],[8:image]],常量!J:N,5,FALSE),0),0)</f>
        <v>0</v>
      </c>
      <c r="E341" t="s">
        <v>2587</v>
      </c>
      <c r="F341">
        <v>6</v>
      </c>
      <c r="G341" s="1" t="s">
        <v>318</v>
      </c>
      <c r="H341" s="17" t="s">
        <v>2991</v>
      </c>
      <c r="I341" s="19"/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IF(表1[[#This Row],[不调整offset]]="x",IFERROR(VLOOKUP(表1[[#This Row],[8:image]],常量!J:N,4,FALSE),0),0)</f>
        <v>0</v>
      </c>
      <c r="C342">
        <f>IF(表1[[#This Row],[不调整offset]]="x",IFERROR(VLOOKUP(表1[[#This Row],[8:image]],常量!J:N,5,FALSE),0),0)</f>
        <v>0</v>
      </c>
      <c r="E342" t="s">
        <v>2587</v>
      </c>
      <c r="F342">
        <v>6</v>
      </c>
      <c r="G342" s="1" t="s">
        <v>1363</v>
      </c>
      <c r="H342" s="17" t="s">
        <v>2992</v>
      </c>
      <c r="I342" s="19"/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IF(表1[[#This Row],[不调整offset]]="x",IFERROR(VLOOKUP(表1[[#This Row],[8:image]],常量!J:N,4,FALSE),0),0)</f>
        <v>0</v>
      </c>
      <c r="C343">
        <f>IF(表1[[#This Row],[不调整offset]]="x",IFERROR(VLOOKUP(表1[[#This Row],[8:image]],常量!J:N,5,FALSE),0),0)</f>
        <v>0</v>
      </c>
      <c r="E343" t="s">
        <v>2587</v>
      </c>
      <c r="F343">
        <v>6</v>
      </c>
      <c r="G343" s="1" t="s">
        <v>319</v>
      </c>
      <c r="H343" s="17" t="s">
        <v>2993</v>
      </c>
      <c r="I343" s="19"/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IF(表1[[#This Row],[不调整offset]]="x",IFERROR(VLOOKUP(表1[[#This Row],[8:image]],常量!J:N,4,FALSE),0),0)</f>
        <v>0</v>
      </c>
      <c r="C344">
        <f>IF(表1[[#This Row],[不调整offset]]="x",IFERROR(VLOOKUP(表1[[#This Row],[8:image]],常量!J:N,5,FALSE),0),0)</f>
        <v>0</v>
      </c>
      <c r="E344" t="s">
        <v>2587</v>
      </c>
      <c r="F344">
        <v>6</v>
      </c>
      <c r="G344" s="1" t="s">
        <v>320</v>
      </c>
      <c r="H344" s="17" t="s">
        <v>2994</v>
      </c>
      <c r="I344" s="19"/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IF(表1[[#This Row],[不调整offset]]="x",IFERROR(VLOOKUP(表1[[#This Row],[8:image]],常量!J:N,4,FALSE),0),0)</f>
        <v>0</v>
      </c>
      <c r="C345">
        <f>IF(表1[[#This Row],[不调整offset]]="x",IFERROR(VLOOKUP(表1[[#This Row],[8:image]],常量!J:N,5,FALSE),0),0)</f>
        <v>0</v>
      </c>
      <c r="E345" t="s">
        <v>2587</v>
      </c>
      <c r="F345">
        <v>6</v>
      </c>
      <c r="G345" s="1" t="s">
        <v>321</v>
      </c>
      <c r="H345" s="17" t="s">
        <v>2995</v>
      </c>
      <c r="I345" s="19"/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IF(表1[[#This Row],[不调整offset]]="x",IFERROR(VLOOKUP(表1[[#This Row],[8:image]],常量!J:N,4,FALSE),0),0)</f>
        <v>0</v>
      </c>
      <c r="C346">
        <f>IF(表1[[#This Row],[不调整offset]]="x",IFERROR(VLOOKUP(表1[[#This Row],[8:image]],常量!J:N,5,FALSE),0),0)</f>
        <v>0</v>
      </c>
      <c r="E346" t="s">
        <v>2587</v>
      </c>
      <c r="F346">
        <v>6</v>
      </c>
      <c r="G346" s="1" t="s">
        <v>322</v>
      </c>
      <c r="H346" s="17" t="s">
        <v>2996</v>
      </c>
      <c r="I346" s="19"/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IF(表1[[#This Row],[不调整offset]]="x",IFERROR(VLOOKUP(表1[[#This Row],[8:image]],常量!J:N,4,FALSE),0),0)</f>
        <v>0</v>
      </c>
      <c r="C347">
        <f>IF(表1[[#This Row],[不调整offset]]="x",IFERROR(VLOOKUP(表1[[#This Row],[8:image]],常量!J:N,5,FALSE),0),0)</f>
        <v>0</v>
      </c>
      <c r="E347" t="s">
        <v>2587</v>
      </c>
      <c r="F347">
        <v>6</v>
      </c>
      <c r="G347" s="1" t="s">
        <v>323</v>
      </c>
      <c r="H347" s="17" t="s">
        <v>2997</v>
      </c>
      <c r="I347" s="19"/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IF(表1[[#This Row],[不调整offset]]="x",IFERROR(VLOOKUP(表1[[#This Row],[8:image]],常量!J:N,4,FALSE),0),0)</f>
        <v>0</v>
      </c>
      <c r="C348">
        <f>IF(表1[[#This Row],[不调整offset]]="x",IFERROR(VLOOKUP(表1[[#This Row],[8:image]],常量!J:N,5,FALSE),0),0)</f>
        <v>0</v>
      </c>
      <c r="E348" t="s">
        <v>2587</v>
      </c>
      <c r="F348">
        <v>6</v>
      </c>
      <c r="G348" s="1" t="s">
        <v>324</v>
      </c>
      <c r="H348" s="17" t="s">
        <v>2998</v>
      </c>
      <c r="I348" s="19"/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IF(表1[[#This Row],[不调整offset]]="x",IFERROR(VLOOKUP(表1[[#This Row],[8:image]],常量!J:N,4,FALSE),0),0)</f>
        <v>0</v>
      </c>
      <c r="C349">
        <f>IF(表1[[#This Row],[不调整offset]]="x",IFERROR(VLOOKUP(表1[[#This Row],[8:image]],常量!J:N,5,FALSE),0),0)</f>
        <v>0</v>
      </c>
      <c r="E349" t="s">
        <v>2587</v>
      </c>
      <c r="F349">
        <v>6</v>
      </c>
      <c r="G349" s="1" t="s">
        <v>325</v>
      </c>
      <c r="H349" s="17" t="s">
        <v>2999</v>
      </c>
      <c r="I349" s="19"/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IF(表1[[#This Row],[不调整offset]]="x",IFERROR(VLOOKUP(表1[[#This Row],[8:image]],常量!J:N,4,FALSE),0),0)</f>
        <v>0</v>
      </c>
      <c r="C350">
        <f>IF(表1[[#This Row],[不调整offset]]="x",IFERROR(VLOOKUP(表1[[#This Row],[8:image]],常量!J:N,5,FALSE),0),0)</f>
        <v>0</v>
      </c>
      <c r="E350" t="s">
        <v>2587</v>
      </c>
      <c r="F350">
        <v>6</v>
      </c>
      <c r="G350" s="1" t="s">
        <v>326</v>
      </c>
      <c r="H350" s="17" t="s">
        <v>3000</v>
      </c>
      <c r="I350" s="19"/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IF(表1[[#This Row],[不调整offset]]="x",IFERROR(VLOOKUP(表1[[#This Row],[8:image]],常量!J:N,4,FALSE),0),0)</f>
        <v>0</v>
      </c>
      <c r="C351">
        <f>IF(表1[[#This Row],[不调整offset]]="x",IFERROR(VLOOKUP(表1[[#This Row],[8:image]],常量!J:N,5,FALSE),0),0)</f>
        <v>0</v>
      </c>
      <c r="E351" t="s">
        <v>2587</v>
      </c>
      <c r="F351">
        <v>6</v>
      </c>
      <c r="G351" s="1" t="s">
        <v>327</v>
      </c>
      <c r="H351" s="17" t="s">
        <v>3001</v>
      </c>
      <c r="I351" s="19"/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IF(表1[[#This Row],[不调整offset]]="x",IFERROR(VLOOKUP(表1[[#This Row],[8:image]],常量!J:N,4,FALSE),0),0)</f>
        <v>0</v>
      </c>
      <c r="C352">
        <f>IF(表1[[#This Row],[不调整offset]]="x",IFERROR(VLOOKUP(表1[[#This Row],[8:image]],常量!J:N,5,FALSE),0),0)</f>
        <v>0</v>
      </c>
      <c r="E352" t="s">
        <v>2587</v>
      </c>
      <c r="F352">
        <v>6</v>
      </c>
      <c r="G352" s="1" t="s">
        <v>328</v>
      </c>
      <c r="H352" s="17" t="s">
        <v>3002</v>
      </c>
      <c r="I352" s="19"/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IF(表1[[#This Row],[不调整offset]]="x",IFERROR(VLOOKUP(表1[[#This Row],[8:image]],常量!J:N,4,FALSE),0),0)</f>
        <v>0</v>
      </c>
      <c r="C353">
        <f>IF(表1[[#This Row],[不调整offset]]="x",IFERROR(VLOOKUP(表1[[#This Row],[8:image]],常量!J:N,5,FALSE),0),0)</f>
        <v>0</v>
      </c>
      <c r="E353" t="s">
        <v>2587</v>
      </c>
      <c r="F353">
        <v>6</v>
      </c>
      <c r="G353" s="1" t="s">
        <v>1397</v>
      </c>
      <c r="H353" s="17" t="s">
        <v>3003</v>
      </c>
      <c r="I353" s="19"/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IF(表1[[#This Row],[不调整offset]]="x",IFERROR(VLOOKUP(表1[[#This Row],[8:image]],常量!J:N,4,FALSE),0),0)</f>
        <v>0</v>
      </c>
      <c r="C354">
        <f>IF(表1[[#This Row],[不调整offset]]="x",IFERROR(VLOOKUP(表1[[#This Row],[8:image]],常量!J:N,5,FALSE),0),0)</f>
        <v>0</v>
      </c>
      <c r="E354" t="s">
        <v>2587</v>
      </c>
      <c r="F354">
        <v>6</v>
      </c>
      <c r="G354" s="1" t="s">
        <v>329</v>
      </c>
      <c r="H354" s="17" t="s">
        <v>3004</v>
      </c>
      <c r="I354" s="19"/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IF(表1[[#This Row],[不调整offset]]="x",IFERROR(VLOOKUP(表1[[#This Row],[8:image]],常量!J:N,4,FALSE),0),0)</f>
        <v>0</v>
      </c>
      <c r="C355">
        <f>IF(表1[[#This Row],[不调整offset]]="x",IFERROR(VLOOKUP(表1[[#This Row],[8:image]],常量!J:N,5,FALSE),0),0)</f>
        <v>0</v>
      </c>
      <c r="E355" t="s">
        <v>2587</v>
      </c>
      <c r="F355">
        <v>6</v>
      </c>
      <c r="G355" s="1" t="s">
        <v>330</v>
      </c>
      <c r="H355" s="17" t="s">
        <v>3005</v>
      </c>
      <c r="I355" s="19"/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IF(表1[[#This Row],[不调整offset]]="x",IFERROR(VLOOKUP(表1[[#This Row],[8:image]],常量!J:N,4,FALSE),0),0)</f>
        <v>0</v>
      </c>
      <c r="C356">
        <f>IF(表1[[#This Row],[不调整offset]]="x",IFERROR(VLOOKUP(表1[[#This Row],[8:image]],常量!J:N,5,FALSE),0),0)</f>
        <v>0</v>
      </c>
      <c r="E356" t="s">
        <v>2587</v>
      </c>
      <c r="F356">
        <v>6</v>
      </c>
      <c r="G356" s="1" t="s">
        <v>331</v>
      </c>
      <c r="H356" s="17" t="s">
        <v>3006</v>
      </c>
      <c r="I356" s="19"/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IF(表1[[#This Row],[不调整offset]]="x",IFERROR(VLOOKUP(表1[[#This Row],[8:image]],常量!J:N,4,FALSE),0),0)</f>
        <v>0</v>
      </c>
      <c r="C357">
        <f>IF(表1[[#This Row],[不调整offset]]="x",IFERROR(VLOOKUP(表1[[#This Row],[8:image]],常量!J:N,5,FALSE),0),0)</f>
        <v>0</v>
      </c>
      <c r="E357" t="s">
        <v>2587</v>
      </c>
      <c r="F357">
        <v>6</v>
      </c>
      <c r="G357" s="1" t="s">
        <v>332</v>
      </c>
      <c r="H357" s="17" t="s">
        <v>3007</v>
      </c>
      <c r="I357" s="19"/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IF(表1[[#This Row],[不调整offset]]="x",IFERROR(VLOOKUP(表1[[#This Row],[8:image]],常量!J:N,4,FALSE),0),0)</f>
        <v>0</v>
      </c>
      <c r="C358">
        <f>IF(表1[[#This Row],[不调整offset]]="x",IFERROR(VLOOKUP(表1[[#This Row],[8:image]],常量!J:N,5,FALSE),0),0)</f>
        <v>0</v>
      </c>
      <c r="E358" t="s">
        <v>2587</v>
      </c>
      <c r="F358">
        <v>6</v>
      </c>
      <c r="G358" s="1" t="s">
        <v>333</v>
      </c>
      <c r="H358" s="17" t="s">
        <v>3008</v>
      </c>
      <c r="I358" s="19"/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IF(表1[[#This Row],[不调整offset]]="x",IFERROR(VLOOKUP(表1[[#This Row],[8:image]],常量!J:N,4,FALSE),0),0)</f>
        <v>0</v>
      </c>
      <c r="C359">
        <f>IF(表1[[#This Row],[不调整offset]]="x",IFERROR(VLOOKUP(表1[[#This Row],[8:image]],常量!J:N,5,FALSE),0),0)</f>
        <v>0</v>
      </c>
      <c r="E359" t="s">
        <v>2587</v>
      </c>
      <c r="F359">
        <v>6</v>
      </c>
      <c r="G359" s="1" t="s">
        <v>334</v>
      </c>
      <c r="H359" s="17" t="s">
        <v>3009</v>
      </c>
      <c r="I359" s="19"/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customHeight="1">
      <c r="A360">
        <v>368</v>
      </c>
      <c r="B360">
        <f>IF(表1[[#This Row],[不调整offset]]="x",IFERROR(VLOOKUP(表1[[#This Row],[8:image]],常量!J:N,4,FALSE),0),0)</f>
        <v>0</v>
      </c>
      <c r="C360">
        <f>IF(表1[[#This Row],[不调整offset]]="x",IFERROR(VLOOKUP(表1[[#This Row],[8:image]],常量!J:N,5,FALSE),0),0)</f>
        <v>0</v>
      </c>
      <c r="E360" t="s">
        <v>2587</v>
      </c>
      <c r="F360">
        <v>6</v>
      </c>
      <c r="G360" s="1" t="s">
        <v>335</v>
      </c>
      <c r="H360" s="17" t="s">
        <v>3010</v>
      </c>
      <c r="I360" s="19"/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IF(表1[[#This Row],[不调整offset]]="x",IFERROR(VLOOKUP(表1[[#This Row],[8:image]],常量!J:N,4,FALSE),0),0)</f>
        <v>0</v>
      </c>
      <c r="C361">
        <f>IF(表1[[#This Row],[不调整offset]]="x",IFERROR(VLOOKUP(表1[[#This Row],[8:image]],常量!J:N,5,FALSE),0),0)</f>
        <v>0</v>
      </c>
      <c r="E361" t="s">
        <v>2587</v>
      </c>
      <c r="F361">
        <v>6</v>
      </c>
      <c r="G361" s="1" t="s">
        <v>336</v>
      </c>
      <c r="H361" s="17" t="s">
        <v>3011</v>
      </c>
      <c r="I361" s="19"/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customHeight="1">
      <c r="A362">
        <v>370</v>
      </c>
      <c r="B362">
        <f>IF(表1[[#This Row],[不调整offset]]="x",IFERROR(VLOOKUP(表1[[#This Row],[8:image]],常量!J:N,4,FALSE),0),0)</f>
        <v>0</v>
      </c>
      <c r="C362">
        <f>IF(表1[[#This Row],[不调整offset]]="x",IFERROR(VLOOKUP(表1[[#This Row],[8:image]],常量!J:N,5,FALSE),0),0)</f>
        <v>0</v>
      </c>
      <c r="E362" t="s">
        <v>2587</v>
      </c>
      <c r="F362">
        <v>6</v>
      </c>
      <c r="G362" s="1" t="s">
        <v>337</v>
      </c>
      <c r="H362" s="17" t="s">
        <v>3012</v>
      </c>
      <c r="I362" s="19"/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IF(表1[[#This Row],[不调整offset]]="x",IFERROR(VLOOKUP(表1[[#This Row],[8:image]],常量!J:N,4,FALSE),0),0)</f>
        <v>0</v>
      </c>
      <c r="C363">
        <f>IF(表1[[#This Row],[不调整offset]]="x",IFERROR(VLOOKUP(表1[[#This Row],[8:image]],常量!J:N,5,FALSE),0),0)</f>
        <v>0</v>
      </c>
      <c r="E363" t="s">
        <v>2587</v>
      </c>
      <c r="F363">
        <v>6</v>
      </c>
      <c r="G363" s="1" t="s">
        <v>338</v>
      </c>
      <c r="H363" s="17" t="s">
        <v>3013</v>
      </c>
      <c r="I363" s="19"/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IF(表1[[#This Row],[不调整offset]]="x",IFERROR(VLOOKUP(表1[[#This Row],[8:image]],常量!J:N,4,FALSE),0),0)</f>
        <v>0</v>
      </c>
      <c r="C364">
        <f>IF(表1[[#This Row],[不调整offset]]="x",IFERROR(VLOOKUP(表1[[#This Row],[8:image]],常量!J:N,5,FALSE),0),0)</f>
        <v>0</v>
      </c>
      <c r="E364" t="s">
        <v>2587</v>
      </c>
      <c r="F364">
        <v>6</v>
      </c>
      <c r="G364" s="1" t="s">
        <v>339</v>
      </c>
      <c r="H364" s="17" t="s">
        <v>3014</v>
      </c>
      <c r="I364" s="19"/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IF(表1[[#This Row],[不调整offset]]="x",IFERROR(VLOOKUP(表1[[#This Row],[8:image]],常量!J:N,4,FALSE),0),0)</f>
        <v>0</v>
      </c>
      <c r="C365">
        <f>IF(表1[[#This Row],[不调整offset]]="x",IFERROR(VLOOKUP(表1[[#This Row],[8:image]],常量!J:N,5,FALSE),0),0)</f>
        <v>0</v>
      </c>
      <c r="E365" t="s">
        <v>2587</v>
      </c>
      <c r="F365">
        <v>6</v>
      </c>
      <c r="G365" s="1" t="s">
        <v>340</v>
      </c>
      <c r="H365" s="17" t="s">
        <v>3015</v>
      </c>
      <c r="I365" s="19"/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IF(表1[[#This Row],[不调整offset]]="x",IFERROR(VLOOKUP(表1[[#This Row],[8:image]],常量!J:N,4,FALSE),0),0)</f>
        <v>0</v>
      </c>
      <c r="C366">
        <f>IF(表1[[#This Row],[不调整offset]]="x",IFERROR(VLOOKUP(表1[[#This Row],[8:image]],常量!J:N,5,FALSE),0),0)</f>
        <v>0</v>
      </c>
      <c r="E366" t="s">
        <v>2587</v>
      </c>
      <c r="F366">
        <v>6</v>
      </c>
      <c r="G366" s="1" t="s">
        <v>341</v>
      </c>
      <c r="H366" s="17" t="s">
        <v>3016</v>
      </c>
      <c r="I366" s="19"/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IF(表1[[#This Row],[不调整offset]]="x",IFERROR(VLOOKUP(表1[[#This Row],[8:image]],常量!J:N,4,FALSE),0),0)</f>
        <v>0</v>
      </c>
      <c r="C367">
        <f>IF(表1[[#This Row],[不调整offset]]="x",IFERROR(VLOOKUP(表1[[#This Row],[8:image]],常量!J:N,5,FALSE),0),0)</f>
        <v>0</v>
      </c>
      <c r="E367" t="s">
        <v>2587</v>
      </c>
      <c r="F367">
        <v>6</v>
      </c>
      <c r="G367" s="1" t="s">
        <v>342</v>
      </c>
      <c r="H367" s="17" t="s">
        <v>3017</v>
      </c>
      <c r="I367" s="19"/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IF(表1[[#This Row],[不调整offset]]="x",IFERROR(VLOOKUP(表1[[#This Row],[8:image]],常量!J:N,4,FALSE),0),0)</f>
        <v>0</v>
      </c>
      <c r="C368">
        <f>IF(表1[[#This Row],[不调整offset]]="x",IFERROR(VLOOKUP(表1[[#This Row],[8:image]],常量!J:N,5,FALSE),0),0)</f>
        <v>0</v>
      </c>
      <c r="E368" t="s">
        <v>2587</v>
      </c>
      <c r="F368">
        <v>6</v>
      </c>
      <c r="G368" s="1" t="s">
        <v>343</v>
      </c>
      <c r="H368" s="17" t="s">
        <v>3018</v>
      </c>
      <c r="I368" s="19"/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IF(表1[[#This Row],[不调整offset]]="x",IFERROR(VLOOKUP(表1[[#This Row],[8:image]],常量!J:N,4,FALSE),0),0)</f>
        <v>0</v>
      </c>
      <c r="C369">
        <f>IF(表1[[#This Row],[不调整offset]]="x",IFERROR(VLOOKUP(表1[[#This Row],[8:image]],常量!J:N,5,FALSE),0),0)</f>
        <v>0</v>
      </c>
      <c r="E369" t="s">
        <v>2587</v>
      </c>
      <c r="F369">
        <v>6</v>
      </c>
      <c r="G369" s="1" t="s">
        <v>1398</v>
      </c>
      <c r="H369" s="17" t="s">
        <v>3019</v>
      </c>
      <c r="I369" s="19"/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IF(表1[[#This Row],[不调整offset]]="x",IFERROR(VLOOKUP(表1[[#This Row],[8:image]],常量!J:N,4,FALSE),0),0)</f>
        <v>0</v>
      </c>
      <c r="C370">
        <f>IF(表1[[#This Row],[不调整offset]]="x",IFERROR(VLOOKUP(表1[[#This Row],[8:image]],常量!J:N,5,FALSE),0),0)</f>
        <v>0</v>
      </c>
      <c r="E370" t="s">
        <v>2587</v>
      </c>
      <c r="F370">
        <v>6</v>
      </c>
      <c r="G370" s="1" t="s">
        <v>344</v>
      </c>
      <c r="H370" s="17" t="s">
        <v>3020</v>
      </c>
      <c r="I370" s="19"/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IF(表1[[#This Row],[不调整offset]]="x",IFERROR(VLOOKUP(表1[[#This Row],[8:image]],常量!J:N,4,FALSE),0),0)</f>
        <v>0</v>
      </c>
      <c r="C371">
        <f>IF(表1[[#This Row],[不调整offset]]="x",IFERROR(VLOOKUP(表1[[#This Row],[8:image]],常量!J:N,5,FALSE),0),0)</f>
        <v>0</v>
      </c>
      <c r="E371" t="s">
        <v>2587</v>
      </c>
      <c r="F371">
        <v>6</v>
      </c>
      <c r="G371" s="1" t="s">
        <v>345</v>
      </c>
      <c r="H371" s="17" t="s">
        <v>3021</v>
      </c>
      <c r="I371" s="19"/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IF(表1[[#This Row],[不调整offset]]="x",IFERROR(VLOOKUP(表1[[#This Row],[8:image]],常量!J:N,4,FALSE),0),0)</f>
        <v>0</v>
      </c>
      <c r="C372">
        <f>IF(表1[[#This Row],[不调整offset]]="x",IFERROR(VLOOKUP(表1[[#This Row],[8:image]],常量!J:N,5,FALSE),0),0)</f>
        <v>0</v>
      </c>
      <c r="E372" t="s">
        <v>2587</v>
      </c>
      <c r="F372">
        <v>6</v>
      </c>
      <c r="G372" s="1" t="s">
        <v>346</v>
      </c>
      <c r="H372" s="17" t="s">
        <v>3022</v>
      </c>
      <c r="I372" s="19"/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IF(表1[[#This Row],[不调整offset]]="x",IFERROR(VLOOKUP(表1[[#This Row],[8:image]],常量!J:N,4,FALSE),0),0)</f>
        <v>0</v>
      </c>
      <c r="C373">
        <f>IF(表1[[#This Row],[不调整offset]]="x",IFERROR(VLOOKUP(表1[[#This Row],[8:image]],常量!J:N,5,FALSE),0),0)</f>
        <v>0</v>
      </c>
      <c r="E373" t="s">
        <v>2587</v>
      </c>
      <c r="F373">
        <v>6</v>
      </c>
      <c r="G373" s="1" t="s">
        <v>333</v>
      </c>
      <c r="H373" s="17" t="s">
        <v>3023</v>
      </c>
      <c r="I373" s="19"/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IF(表1[[#This Row],[不调整offset]]="x",IFERROR(VLOOKUP(表1[[#This Row],[8:image]],常量!J:N,4,FALSE),0),0)</f>
        <v>0</v>
      </c>
      <c r="C374">
        <f>IF(表1[[#This Row],[不调整offset]]="x",IFERROR(VLOOKUP(表1[[#This Row],[8:image]],常量!J:N,5,FALSE),0),0)</f>
        <v>0</v>
      </c>
      <c r="E374" t="s">
        <v>2587</v>
      </c>
      <c r="F374">
        <v>6</v>
      </c>
      <c r="G374" s="1" t="s">
        <v>347</v>
      </c>
      <c r="H374" s="17" t="s">
        <v>3024</v>
      </c>
      <c r="I374" s="19"/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IF(表1[[#This Row],[不调整offset]]="x",IFERROR(VLOOKUP(表1[[#This Row],[8:image]],常量!J:N,4,FALSE),0),0)</f>
        <v>0</v>
      </c>
      <c r="C375">
        <f>IF(表1[[#This Row],[不调整offset]]="x",IFERROR(VLOOKUP(表1[[#This Row],[8:image]],常量!J:N,5,FALSE),0),0)</f>
        <v>0</v>
      </c>
      <c r="E375" t="s">
        <v>2587</v>
      </c>
      <c r="F375">
        <v>6</v>
      </c>
      <c r="G375" s="1" t="s">
        <v>348</v>
      </c>
      <c r="H375" s="17" t="s">
        <v>3025</v>
      </c>
      <c r="I375" s="19"/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IF(表1[[#This Row],[不调整offset]]="x",IFERROR(VLOOKUP(表1[[#This Row],[8:image]],常量!J:N,4,FALSE),0),0)</f>
        <v>0</v>
      </c>
      <c r="C376">
        <f>IF(表1[[#This Row],[不调整offset]]="x",IFERROR(VLOOKUP(表1[[#This Row],[8:image]],常量!J:N,5,FALSE),0),0)</f>
        <v>0</v>
      </c>
      <c r="E376" t="s">
        <v>2587</v>
      </c>
      <c r="F376">
        <v>6</v>
      </c>
      <c r="G376" s="1" t="s">
        <v>349</v>
      </c>
      <c r="H376" s="17" t="s">
        <v>3026</v>
      </c>
      <c r="I376" s="19"/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IF(表1[[#This Row],[不调整offset]]="x",IFERROR(VLOOKUP(表1[[#This Row],[8:image]],常量!J:N,4,FALSE),0),0)</f>
        <v>0</v>
      </c>
      <c r="C377">
        <f>IF(表1[[#This Row],[不调整offset]]="x",IFERROR(VLOOKUP(表1[[#This Row],[8:image]],常量!J:N,5,FALSE),0),0)</f>
        <v>0</v>
      </c>
      <c r="E377" t="s">
        <v>2587</v>
      </c>
      <c r="F377">
        <v>6</v>
      </c>
      <c r="G377" s="1" t="s">
        <v>350</v>
      </c>
      <c r="H377" s="17" t="s">
        <v>3027</v>
      </c>
      <c r="I377" s="19"/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P377" s="5"/>
    </row>
    <row r="378" spans="1:16" ht="14.25" customHeight="1">
      <c r="A378">
        <v>386</v>
      </c>
      <c r="B378">
        <f>IF(表1[[#This Row],[不调整offset]]="x",IFERROR(VLOOKUP(表1[[#This Row],[8:image]],常量!J:N,4,FALSE),0),0)</f>
        <v>0</v>
      </c>
      <c r="C378">
        <f>IF(表1[[#This Row],[不调整offset]]="x",IFERROR(VLOOKUP(表1[[#This Row],[8:image]],常量!J:N,5,FALSE),0),0)</f>
        <v>0</v>
      </c>
      <c r="E378" t="s">
        <v>2587</v>
      </c>
      <c r="F378">
        <v>6</v>
      </c>
      <c r="G378" s="1" t="s">
        <v>351</v>
      </c>
      <c r="H378" s="17" t="s">
        <v>3028</v>
      </c>
      <c r="I378" s="19"/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P378" s="5"/>
    </row>
    <row r="379" spans="1:16" ht="14.25" customHeight="1">
      <c r="A379">
        <v>387</v>
      </c>
      <c r="B379">
        <f>IF(表1[[#This Row],[不调整offset]]="x",IFERROR(VLOOKUP(表1[[#This Row],[8:image]],常量!J:N,4,FALSE),0),0)</f>
        <v>0</v>
      </c>
      <c r="C379">
        <f>IF(表1[[#This Row],[不调整offset]]="x",IFERROR(VLOOKUP(表1[[#This Row],[8:image]],常量!J:N,5,FALSE),0),0)</f>
        <v>0</v>
      </c>
      <c r="E379" t="s">
        <v>2587</v>
      </c>
      <c r="F379">
        <v>6</v>
      </c>
      <c r="G379" s="1" t="s">
        <v>352</v>
      </c>
      <c r="H379" s="17" t="s">
        <v>3029</v>
      </c>
      <c r="I379" s="19"/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P379" s="5"/>
    </row>
    <row r="380" spans="1:16" ht="14.25" customHeight="1">
      <c r="A380">
        <v>388</v>
      </c>
      <c r="B380">
        <f>IF(表1[[#This Row],[不调整offset]]="x",IFERROR(VLOOKUP(表1[[#This Row],[8:image]],常量!J:N,4,FALSE),0),0)</f>
        <v>0</v>
      </c>
      <c r="C380">
        <f>IF(表1[[#This Row],[不调整offset]]="x",IFERROR(VLOOKUP(表1[[#This Row],[8:image]],常量!J:N,5,FALSE),0),0)</f>
        <v>0</v>
      </c>
      <c r="E380" t="s">
        <v>2587</v>
      </c>
      <c r="F380">
        <v>6</v>
      </c>
      <c r="G380" s="1" t="s">
        <v>353</v>
      </c>
      <c r="H380" s="17" t="s">
        <v>3030</v>
      </c>
      <c r="I380" s="19"/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P380" s="5"/>
    </row>
    <row r="381" spans="1:16" ht="14.25" customHeight="1">
      <c r="A381">
        <v>389</v>
      </c>
      <c r="B381">
        <f>IF(表1[[#This Row],[不调整offset]]="x",IFERROR(VLOOKUP(表1[[#This Row],[8:image]],常量!J:N,4,FALSE),0),0)</f>
        <v>0</v>
      </c>
      <c r="C381">
        <f>IF(表1[[#This Row],[不调整offset]]="x",IFERROR(VLOOKUP(表1[[#This Row],[8:image]],常量!J:N,5,FALSE),0),0)</f>
        <v>0</v>
      </c>
      <c r="E381" t="s">
        <v>2587</v>
      </c>
      <c r="F381">
        <v>6</v>
      </c>
      <c r="G381" s="1" t="s">
        <v>354</v>
      </c>
      <c r="H381" s="17" t="s">
        <v>3031</v>
      </c>
      <c r="I381" s="19"/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IF(表1[[#This Row],[不调整offset]]="x",IFERROR(VLOOKUP(表1[[#This Row],[8:image]],常量!J:N,4,FALSE),0),0)</f>
        <v>0</v>
      </c>
      <c r="C382">
        <f>IF(表1[[#This Row],[不调整offset]]="x",IFERROR(VLOOKUP(表1[[#This Row],[8:image]],常量!J:N,5,FALSE),0),0)</f>
        <v>0</v>
      </c>
      <c r="E382" t="s">
        <v>2587</v>
      </c>
      <c r="F382">
        <v>6</v>
      </c>
      <c r="G382" s="1" t="s">
        <v>355</v>
      </c>
      <c r="H382" s="17" t="s">
        <v>3032</v>
      </c>
      <c r="I382" s="19"/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IF(表1[[#This Row],[不调整offset]]="x",IFERROR(VLOOKUP(表1[[#This Row],[8:image]],常量!J:N,4,FALSE),0),0)</f>
        <v>0</v>
      </c>
      <c r="C383">
        <f>IF(表1[[#This Row],[不调整offset]]="x",IFERROR(VLOOKUP(表1[[#This Row],[8:image]],常量!J:N,5,FALSE),0),0)</f>
        <v>0</v>
      </c>
      <c r="E383" t="s">
        <v>2587</v>
      </c>
      <c r="F383">
        <v>6</v>
      </c>
      <c r="G383" s="1" t="s">
        <v>356</v>
      </c>
      <c r="H383" s="17" t="s">
        <v>3033</v>
      </c>
      <c r="I383" s="19"/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IF(表1[[#This Row],[不调整offset]]="x",IFERROR(VLOOKUP(表1[[#This Row],[8:image]],常量!J:N,4,FALSE),0),0)</f>
        <v>0</v>
      </c>
      <c r="C384">
        <f>IF(表1[[#This Row],[不调整offset]]="x",IFERROR(VLOOKUP(表1[[#This Row],[8:image]],常量!J:N,5,FALSE),0),0)</f>
        <v>0</v>
      </c>
      <c r="E384" t="s">
        <v>2587</v>
      </c>
      <c r="F384">
        <v>6</v>
      </c>
      <c r="G384" s="1" t="s">
        <v>357</v>
      </c>
      <c r="H384" s="17" t="s">
        <v>3034</v>
      </c>
      <c r="I384" s="19"/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IF(表1[[#This Row],[不调整offset]]="x",IFERROR(VLOOKUP(表1[[#This Row],[8:image]],常量!J:N,4,FALSE),0),0)</f>
        <v>0</v>
      </c>
      <c r="C385">
        <f>IF(表1[[#This Row],[不调整offset]]="x",IFERROR(VLOOKUP(表1[[#This Row],[8:image]],常量!J:N,5,FALSE),0),0)</f>
        <v>0</v>
      </c>
      <c r="E385" t="s">
        <v>2587</v>
      </c>
      <c r="F385">
        <v>6</v>
      </c>
      <c r="G385" s="1" t="s">
        <v>358</v>
      </c>
      <c r="H385" s="17" t="s">
        <v>3035</v>
      </c>
      <c r="I385" s="19"/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IF(表1[[#This Row],[不调整offset]]="x",IFERROR(VLOOKUP(表1[[#This Row],[8:image]],常量!J:N,4,FALSE),0),0)</f>
        <v>0</v>
      </c>
      <c r="C386">
        <f>IF(表1[[#This Row],[不调整offset]]="x",IFERROR(VLOOKUP(表1[[#This Row],[8:image]],常量!J:N,5,FALSE),0),0)</f>
        <v>0</v>
      </c>
      <c r="E386" t="s">
        <v>2587</v>
      </c>
      <c r="F386">
        <v>6</v>
      </c>
      <c r="G386" s="1" t="s">
        <v>359</v>
      </c>
      <c r="H386" s="17" t="s">
        <v>3036</v>
      </c>
      <c r="I386" s="19"/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IF(表1[[#This Row],[不调整offset]]="x",IFERROR(VLOOKUP(表1[[#This Row],[8:image]],常量!J:N,4,FALSE),0),0)</f>
        <v>0</v>
      </c>
      <c r="C387">
        <f>IF(表1[[#This Row],[不调整offset]]="x",IFERROR(VLOOKUP(表1[[#This Row],[8:image]],常量!J:N,5,FALSE),0),0)</f>
        <v>0</v>
      </c>
      <c r="E387" t="s">
        <v>2587</v>
      </c>
      <c r="F387">
        <v>6</v>
      </c>
      <c r="G387" s="1" t="s">
        <v>360</v>
      </c>
      <c r="H387" s="17" t="s">
        <v>3037</v>
      </c>
      <c r="I387" s="19"/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IF(表1[[#This Row],[不调整offset]]="x",IFERROR(VLOOKUP(表1[[#This Row],[8:image]],常量!J:N,4,FALSE),0),0)</f>
        <v>0</v>
      </c>
      <c r="C388">
        <f>IF(表1[[#This Row],[不调整offset]]="x",IFERROR(VLOOKUP(表1[[#This Row],[8:image]],常量!J:N,5,FALSE),0),0)</f>
        <v>0</v>
      </c>
      <c r="E388" t="s">
        <v>2587</v>
      </c>
      <c r="F388">
        <v>6</v>
      </c>
      <c r="G388" s="1" t="s">
        <v>361</v>
      </c>
      <c r="H388" s="17" t="s">
        <v>3038</v>
      </c>
      <c r="I388" s="19"/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IF(表1[[#This Row],[不调整offset]]="x",IFERROR(VLOOKUP(表1[[#This Row],[8:image]],常量!J:N,4,FALSE),0),0)</f>
        <v>0</v>
      </c>
      <c r="C389">
        <f>IF(表1[[#This Row],[不调整offset]]="x",IFERROR(VLOOKUP(表1[[#This Row],[8:image]],常量!J:N,5,FALSE),0),0)</f>
        <v>0</v>
      </c>
      <c r="E389" t="s">
        <v>2587</v>
      </c>
      <c r="F389">
        <v>6</v>
      </c>
      <c r="G389" s="1" t="s">
        <v>362</v>
      </c>
      <c r="H389" s="17" t="s">
        <v>3039</v>
      </c>
      <c r="I389" s="19"/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IF(表1[[#This Row],[不调整offset]]="x",IFERROR(VLOOKUP(表1[[#This Row],[8:image]],常量!J:N,4,FALSE),0),0)</f>
        <v>0</v>
      </c>
      <c r="C390">
        <f>IF(表1[[#This Row],[不调整offset]]="x",IFERROR(VLOOKUP(表1[[#This Row],[8:image]],常量!J:N,5,FALSE),0),0)</f>
        <v>0</v>
      </c>
      <c r="E390" t="s">
        <v>2587</v>
      </c>
      <c r="F390">
        <v>6</v>
      </c>
      <c r="G390" s="1" t="s">
        <v>363</v>
      </c>
      <c r="H390" s="17" t="s">
        <v>3040</v>
      </c>
      <c r="I390" s="19"/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IF(表1[[#This Row],[不调整offset]]="x",IFERROR(VLOOKUP(表1[[#This Row],[8:image]],常量!J:N,4,FALSE),0),0)</f>
        <v>0</v>
      </c>
      <c r="C391">
        <f>IF(表1[[#This Row],[不调整offset]]="x",IFERROR(VLOOKUP(表1[[#This Row],[8:image]],常量!J:N,5,FALSE),0),0)</f>
        <v>0</v>
      </c>
      <c r="E391" t="s">
        <v>2587</v>
      </c>
      <c r="F391">
        <v>6</v>
      </c>
      <c r="G391" s="1" t="s">
        <v>364</v>
      </c>
      <c r="H391" s="17" t="s">
        <v>3041</v>
      </c>
      <c r="I391" s="19"/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IF(表1[[#This Row],[不调整offset]]="x",IFERROR(VLOOKUP(表1[[#This Row],[8:image]],常量!J:N,4,FALSE),0),0)</f>
        <v>0</v>
      </c>
      <c r="C392">
        <f>IF(表1[[#This Row],[不调整offset]]="x",IFERROR(VLOOKUP(表1[[#This Row],[8:image]],常量!J:N,5,FALSE),0),0)</f>
        <v>0</v>
      </c>
      <c r="E392" t="s">
        <v>2587</v>
      </c>
      <c r="F392">
        <v>6</v>
      </c>
      <c r="G392" s="1" t="s">
        <v>365</v>
      </c>
      <c r="H392" s="17" t="s">
        <v>3042</v>
      </c>
      <c r="I392" s="19"/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IF(表1[[#This Row],[不调整offset]]="x",IFERROR(VLOOKUP(表1[[#This Row],[8:image]],常量!J:N,4,FALSE),0),0)</f>
        <v>0</v>
      </c>
      <c r="C393">
        <f>IF(表1[[#This Row],[不调整offset]]="x",IFERROR(VLOOKUP(表1[[#This Row],[8:image]],常量!J:N,5,FALSE),0),0)</f>
        <v>0</v>
      </c>
      <c r="E393" t="s">
        <v>2587</v>
      </c>
      <c r="F393">
        <v>6</v>
      </c>
      <c r="G393" s="1" t="s">
        <v>366</v>
      </c>
      <c r="H393" s="17" t="s">
        <v>3043</v>
      </c>
      <c r="I393" s="19"/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IF(表1[[#This Row],[不调整offset]]="x",IFERROR(VLOOKUP(表1[[#This Row],[8:image]],常量!J:N,4,FALSE),0),0)</f>
        <v>0</v>
      </c>
      <c r="C394">
        <f>IF(表1[[#This Row],[不调整offset]]="x",IFERROR(VLOOKUP(表1[[#This Row],[8:image]],常量!J:N,5,FALSE),0),0)</f>
        <v>0</v>
      </c>
      <c r="E394" t="s">
        <v>2587</v>
      </c>
      <c r="F394">
        <v>6</v>
      </c>
      <c r="G394" s="1" t="s">
        <v>367</v>
      </c>
      <c r="H394" s="17" t="s">
        <v>3044</v>
      </c>
      <c r="I394" s="19"/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IF(表1[[#This Row],[不调整offset]]="x",IFERROR(VLOOKUP(表1[[#This Row],[8:image]],常量!J:N,4,FALSE),0),0)</f>
        <v>0</v>
      </c>
      <c r="C395">
        <f>IF(表1[[#This Row],[不调整offset]]="x",IFERROR(VLOOKUP(表1[[#This Row],[8:image]],常量!J:N,5,FALSE),0),0)</f>
        <v>0</v>
      </c>
      <c r="E395" t="s">
        <v>2587</v>
      </c>
      <c r="F395">
        <v>6</v>
      </c>
      <c r="G395" s="1" t="s">
        <v>368</v>
      </c>
      <c r="H395" s="17" t="s">
        <v>3045</v>
      </c>
      <c r="I395" s="19"/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IF(表1[[#This Row],[不调整offset]]="x",IFERROR(VLOOKUP(表1[[#This Row],[8:image]],常量!J:N,4,FALSE),0),0)</f>
        <v>0</v>
      </c>
      <c r="C396">
        <f>IF(表1[[#This Row],[不调整offset]]="x",IFERROR(VLOOKUP(表1[[#This Row],[8:image]],常量!J:N,5,FALSE),0),0)</f>
        <v>0</v>
      </c>
      <c r="E396" t="s">
        <v>2587</v>
      </c>
      <c r="F396">
        <v>6</v>
      </c>
      <c r="G396" s="1" t="s">
        <v>369</v>
      </c>
      <c r="H396" s="17" t="s">
        <v>3046</v>
      </c>
      <c r="I396" s="19"/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IF(表1[[#This Row],[不调整offset]]="x",IFERROR(VLOOKUP(表1[[#This Row],[8:image]],常量!J:N,4,FALSE),0),0)</f>
        <v>0</v>
      </c>
      <c r="C397">
        <f>IF(表1[[#This Row],[不调整offset]]="x",IFERROR(VLOOKUP(表1[[#This Row],[8:image]],常量!J:N,5,FALSE),0),0)</f>
        <v>0</v>
      </c>
      <c r="E397" t="s">
        <v>2587</v>
      </c>
      <c r="F397">
        <v>6</v>
      </c>
      <c r="G397" s="1" t="s">
        <v>370</v>
      </c>
      <c r="H397" s="17" t="s">
        <v>3047</v>
      </c>
      <c r="I397" s="19"/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IF(表1[[#This Row],[不调整offset]]="x",IFERROR(VLOOKUP(表1[[#This Row],[8:image]],常量!J:N,4,FALSE),0),0)</f>
        <v>0</v>
      </c>
      <c r="C398">
        <f>IF(表1[[#This Row],[不调整offset]]="x",IFERROR(VLOOKUP(表1[[#This Row],[8:image]],常量!J:N,5,FALSE),0),0)</f>
        <v>0</v>
      </c>
      <c r="E398" t="s">
        <v>2587</v>
      </c>
      <c r="F398">
        <v>6</v>
      </c>
      <c r="G398" s="1" t="s">
        <v>371</v>
      </c>
      <c r="H398" s="17" t="s">
        <v>3048</v>
      </c>
      <c r="I398" s="19"/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IF(表1[[#This Row],[不调整offset]]="x",IFERROR(VLOOKUP(表1[[#This Row],[8:image]],常量!J:N,4,FALSE),0),0)</f>
        <v>0</v>
      </c>
      <c r="C399">
        <f>IF(表1[[#This Row],[不调整offset]]="x",IFERROR(VLOOKUP(表1[[#This Row],[8:image]],常量!J:N,5,FALSE),0),0)</f>
        <v>0</v>
      </c>
      <c r="E399" t="s">
        <v>2587</v>
      </c>
      <c r="F399">
        <v>6</v>
      </c>
      <c r="G399" s="1" t="s">
        <v>372</v>
      </c>
      <c r="H399" s="17" t="s">
        <v>3049</v>
      </c>
      <c r="I399" s="19"/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IF(表1[[#This Row],[不调整offset]]="x",IFERROR(VLOOKUP(表1[[#This Row],[8:image]],常量!J:N,4,FALSE),0),0)</f>
        <v>0</v>
      </c>
      <c r="C400">
        <f>IF(表1[[#This Row],[不调整offset]]="x",IFERROR(VLOOKUP(表1[[#This Row],[8:image]],常量!J:N,5,FALSE),0),0)</f>
        <v>0</v>
      </c>
      <c r="E400" t="s">
        <v>2587</v>
      </c>
      <c r="F400">
        <v>6</v>
      </c>
      <c r="G400" s="1" t="s">
        <v>373</v>
      </c>
      <c r="H400" s="17" t="s">
        <v>3050</v>
      </c>
      <c r="I400" s="19"/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IF(表1[[#This Row],[不调整offset]]="x",IFERROR(VLOOKUP(表1[[#This Row],[8:image]],常量!J:N,4,FALSE),0),0)</f>
        <v>0</v>
      </c>
      <c r="C401">
        <f>IF(表1[[#This Row],[不调整offset]]="x",IFERROR(VLOOKUP(表1[[#This Row],[8:image]],常量!J:N,5,FALSE),0),0)</f>
        <v>0</v>
      </c>
      <c r="E401" t="s">
        <v>2587</v>
      </c>
      <c r="F401">
        <v>6</v>
      </c>
      <c r="G401" s="1" t="s">
        <v>374</v>
      </c>
      <c r="H401" s="17" t="s">
        <v>3051</v>
      </c>
      <c r="I401" s="19"/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IF(表1[[#This Row],[不调整offset]]="x",IFERROR(VLOOKUP(表1[[#This Row],[8:image]],常量!J:N,4,FALSE),0),0)</f>
        <v>0</v>
      </c>
      <c r="C402">
        <f>IF(表1[[#This Row],[不调整offset]]="x",IFERROR(VLOOKUP(表1[[#This Row],[8:image]],常量!J:N,5,FALSE),0),0)</f>
        <v>0</v>
      </c>
      <c r="E402" t="s">
        <v>2587</v>
      </c>
      <c r="F402">
        <v>6</v>
      </c>
      <c r="G402" s="1" t="s">
        <v>375</v>
      </c>
      <c r="H402" s="17" t="s">
        <v>3052</v>
      </c>
      <c r="I402" s="19"/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IF(表1[[#This Row],[不调整offset]]="x",IFERROR(VLOOKUP(表1[[#This Row],[8:image]],常量!J:N,4,FALSE),0),0)</f>
        <v>0</v>
      </c>
      <c r="C403">
        <f>IF(表1[[#This Row],[不调整offset]]="x",IFERROR(VLOOKUP(表1[[#This Row],[8:image]],常量!J:N,5,FALSE),0),0)</f>
        <v>0</v>
      </c>
      <c r="E403" t="s">
        <v>2587</v>
      </c>
      <c r="F403">
        <v>6</v>
      </c>
      <c r="G403" s="1" t="s">
        <v>376</v>
      </c>
      <c r="H403" s="17" t="s">
        <v>3053</v>
      </c>
      <c r="I403" s="19"/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IF(表1[[#This Row],[不调整offset]]="x",IFERROR(VLOOKUP(表1[[#This Row],[8:image]],常量!J:N,4,FALSE),0),0)</f>
        <v>0</v>
      </c>
      <c r="C404">
        <f>IF(表1[[#This Row],[不调整offset]]="x",IFERROR(VLOOKUP(表1[[#This Row],[8:image]],常量!J:N,5,FALSE),0),0)</f>
        <v>0</v>
      </c>
      <c r="E404" t="s">
        <v>2587</v>
      </c>
      <c r="F404">
        <v>6</v>
      </c>
      <c r="G404" s="1" t="s">
        <v>377</v>
      </c>
      <c r="H404" s="17" t="s">
        <v>3054</v>
      </c>
      <c r="I404" s="19"/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IF(表1[[#This Row],[不调整offset]]="x",IFERROR(VLOOKUP(表1[[#This Row],[8:image]],常量!J:N,4,FALSE),0),0)</f>
        <v>0</v>
      </c>
      <c r="C405">
        <f>IF(表1[[#This Row],[不调整offset]]="x",IFERROR(VLOOKUP(表1[[#This Row],[8:image]],常量!J:N,5,FALSE),0),0)</f>
        <v>0</v>
      </c>
      <c r="E405" t="s">
        <v>2587</v>
      </c>
      <c r="F405">
        <v>6</v>
      </c>
      <c r="G405" s="1" t="s">
        <v>378</v>
      </c>
      <c r="H405" s="17" t="s">
        <v>3055</v>
      </c>
      <c r="I405" s="19"/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IF(表1[[#This Row],[不调整offset]]="x",IFERROR(VLOOKUP(表1[[#This Row],[8:image]],常量!J:N,4,FALSE),0),0)</f>
        <v>0</v>
      </c>
      <c r="C406">
        <f>IF(表1[[#This Row],[不调整offset]]="x",IFERROR(VLOOKUP(表1[[#This Row],[8:image]],常量!J:N,5,FALSE),0),0)</f>
        <v>0</v>
      </c>
      <c r="E406" t="s">
        <v>2587</v>
      </c>
      <c r="F406">
        <v>6</v>
      </c>
      <c r="G406" s="1" t="s">
        <v>379</v>
      </c>
      <c r="H406" s="17" t="s">
        <v>3056</v>
      </c>
      <c r="I406" s="19"/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IF(表1[[#This Row],[不调整offset]]="x",IFERROR(VLOOKUP(表1[[#This Row],[8:image]],常量!J:N,4,FALSE),0),0)</f>
        <v>0</v>
      </c>
      <c r="C407">
        <f>IF(表1[[#This Row],[不调整offset]]="x",IFERROR(VLOOKUP(表1[[#This Row],[8:image]],常量!J:N,5,FALSE),0),0)</f>
        <v>0</v>
      </c>
      <c r="E407" t="s">
        <v>2587</v>
      </c>
      <c r="F407">
        <v>6</v>
      </c>
      <c r="G407" s="1" t="s">
        <v>380</v>
      </c>
      <c r="H407" s="17" t="s">
        <v>3057</v>
      </c>
      <c r="I407" s="19"/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IF(表1[[#This Row],[不调整offset]]="x",IFERROR(VLOOKUP(表1[[#This Row],[8:image]],常量!J:N,4,FALSE),0),0)</f>
        <v>0</v>
      </c>
      <c r="C408">
        <f>IF(表1[[#This Row],[不调整offset]]="x",IFERROR(VLOOKUP(表1[[#This Row],[8:image]],常量!J:N,5,FALSE),0),0)</f>
        <v>0</v>
      </c>
      <c r="E408" t="s">
        <v>2587</v>
      </c>
      <c r="F408">
        <v>6</v>
      </c>
      <c r="G408" s="1" t="s">
        <v>381</v>
      </c>
      <c r="H408" s="17" t="s">
        <v>3058</v>
      </c>
      <c r="I408" s="19"/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IF(表1[[#This Row],[不调整offset]]="x",IFERROR(VLOOKUP(表1[[#This Row],[8:image]],常量!J:N,4,FALSE),0),0)</f>
        <v>0</v>
      </c>
      <c r="C409">
        <f>IF(表1[[#This Row],[不调整offset]]="x",IFERROR(VLOOKUP(表1[[#This Row],[8:image]],常量!J:N,5,FALSE),0),0)</f>
        <v>0</v>
      </c>
      <c r="E409" t="s">
        <v>2587</v>
      </c>
      <c r="F409">
        <v>6</v>
      </c>
      <c r="G409" s="1" t="s">
        <v>382</v>
      </c>
      <c r="H409" s="17" t="s">
        <v>3059</v>
      </c>
      <c r="I409" s="19"/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customHeight="1">
      <c r="A410">
        <v>418</v>
      </c>
      <c r="B410">
        <f>IF(表1[[#This Row],[不调整offset]]="x",IFERROR(VLOOKUP(表1[[#This Row],[8:image]],常量!J:N,4,FALSE),0),0)</f>
        <v>0</v>
      </c>
      <c r="C410">
        <f>IF(表1[[#This Row],[不调整offset]]="x",IFERROR(VLOOKUP(表1[[#This Row],[8:image]],常量!J:N,5,FALSE),0),0)</f>
        <v>0</v>
      </c>
      <c r="E410" t="s">
        <v>2587</v>
      </c>
      <c r="F410">
        <v>6</v>
      </c>
      <c r="G410" s="1" t="s">
        <v>383</v>
      </c>
      <c r="H410" s="17" t="s">
        <v>3060</v>
      </c>
      <c r="I410" s="19"/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IF(表1[[#This Row],[不调整offset]]="x",IFERROR(VLOOKUP(表1[[#This Row],[8:image]],常量!J:N,4,FALSE),0),0)</f>
        <v>0</v>
      </c>
      <c r="C411">
        <f>IF(表1[[#This Row],[不调整offset]]="x",IFERROR(VLOOKUP(表1[[#This Row],[8:image]],常量!J:N,5,FALSE),0),0)</f>
        <v>0</v>
      </c>
      <c r="E411" t="s">
        <v>2587</v>
      </c>
      <c r="F411">
        <v>6</v>
      </c>
      <c r="G411" s="1" t="s">
        <v>384</v>
      </c>
      <c r="H411" s="17" t="s">
        <v>3061</v>
      </c>
      <c r="I411" s="19"/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P411" s="5"/>
    </row>
    <row r="412" spans="1:16" ht="14.25" customHeight="1">
      <c r="A412">
        <v>420</v>
      </c>
      <c r="B412">
        <f>IF(表1[[#This Row],[不调整offset]]="x",IFERROR(VLOOKUP(表1[[#This Row],[8:image]],常量!J:N,4,FALSE),0),0)</f>
        <v>0</v>
      </c>
      <c r="C412">
        <f>IF(表1[[#This Row],[不调整offset]]="x",IFERROR(VLOOKUP(表1[[#This Row],[8:image]],常量!J:N,5,FALSE),0),0)</f>
        <v>0</v>
      </c>
      <c r="E412" t="s">
        <v>2587</v>
      </c>
      <c r="F412">
        <v>6</v>
      </c>
      <c r="G412" s="1" t="s">
        <v>385</v>
      </c>
      <c r="H412" s="17" t="s">
        <v>3062</v>
      </c>
      <c r="I412" s="19"/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IF(表1[[#This Row],[不调整offset]]="x",IFERROR(VLOOKUP(表1[[#This Row],[8:image]],常量!J:N,4,FALSE),0),0)</f>
        <v>0</v>
      </c>
      <c r="C413">
        <f>IF(表1[[#This Row],[不调整offset]]="x",IFERROR(VLOOKUP(表1[[#This Row],[8:image]],常量!J:N,5,FALSE),0),0)</f>
        <v>0</v>
      </c>
      <c r="E413" t="s">
        <v>2587</v>
      </c>
      <c r="F413">
        <v>6</v>
      </c>
      <c r="G413" s="1" t="s">
        <v>386</v>
      </c>
      <c r="H413" s="17" t="s">
        <v>3063</v>
      </c>
      <c r="I413" s="19"/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IF(表1[[#This Row],[不调整offset]]="x",IFERROR(VLOOKUP(表1[[#This Row],[8:image]],常量!J:N,4,FALSE),0),0)</f>
        <v>0</v>
      </c>
      <c r="C414">
        <f>IF(表1[[#This Row],[不调整offset]]="x",IFERROR(VLOOKUP(表1[[#This Row],[8:image]],常量!J:N,5,FALSE),0),0)</f>
        <v>0</v>
      </c>
      <c r="E414" t="s">
        <v>2587</v>
      </c>
      <c r="F414">
        <v>6</v>
      </c>
      <c r="G414" s="1" t="s">
        <v>387</v>
      </c>
      <c r="H414" s="17" t="s">
        <v>3064</v>
      </c>
      <c r="I414" s="19"/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IF(表1[[#This Row],[不调整offset]]="x",IFERROR(VLOOKUP(表1[[#This Row],[8:image]],常量!J:N,4,FALSE),0),0)</f>
        <v>0</v>
      </c>
      <c r="C415">
        <f>IF(表1[[#This Row],[不调整offset]]="x",IFERROR(VLOOKUP(表1[[#This Row],[8:image]],常量!J:N,5,FALSE),0),0)</f>
        <v>0</v>
      </c>
      <c r="E415" t="s">
        <v>2587</v>
      </c>
      <c r="F415">
        <v>6</v>
      </c>
      <c r="G415" s="1" t="s">
        <v>388</v>
      </c>
      <c r="H415" s="17" t="s">
        <v>3065</v>
      </c>
      <c r="I415" s="19"/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IF(表1[[#This Row],[不调整offset]]="x",IFERROR(VLOOKUP(表1[[#This Row],[8:image]],常量!J:N,4,FALSE),0),0)</f>
        <v>0</v>
      </c>
      <c r="C416">
        <f>IF(表1[[#This Row],[不调整offset]]="x",IFERROR(VLOOKUP(表1[[#This Row],[8:image]],常量!J:N,5,FALSE),0),0)</f>
        <v>0</v>
      </c>
      <c r="E416" t="s">
        <v>2587</v>
      </c>
      <c r="F416">
        <v>6</v>
      </c>
      <c r="G416" s="1" t="s">
        <v>389</v>
      </c>
      <c r="H416" s="17" t="s">
        <v>3066</v>
      </c>
      <c r="I416" s="19"/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IF(表1[[#This Row],[不调整offset]]="x",IFERROR(VLOOKUP(表1[[#This Row],[8:image]],常量!J:N,4,FALSE),0),0)</f>
        <v>0</v>
      </c>
      <c r="C417">
        <f>IF(表1[[#This Row],[不调整offset]]="x",IFERROR(VLOOKUP(表1[[#This Row],[8:image]],常量!J:N,5,FALSE),0),0)</f>
        <v>0</v>
      </c>
      <c r="E417" t="s">
        <v>2587</v>
      </c>
      <c r="F417">
        <v>6</v>
      </c>
      <c r="G417" s="1" t="s">
        <v>390</v>
      </c>
      <c r="H417" s="17" t="s">
        <v>3067</v>
      </c>
      <c r="I417" s="19"/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IF(表1[[#This Row],[不调整offset]]="x",IFERROR(VLOOKUP(表1[[#This Row],[8:image]],常量!J:N,4,FALSE),0),0)</f>
        <v>0</v>
      </c>
      <c r="C418">
        <f>IF(表1[[#This Row],[不调整offset]]="x",IFERROR(VLOOKUP(表1[[#This Row],[8:image]],常量!J:N,5,FALSE),0),0)</f>
        <v>0</v>
      </c>
      <c r="E418" t="s">
        <v>2587</v>
      </c>
      <c r="F418">
        <v>6</v>
      </c>
      <c r="G418" s="1" t="s">
        <v>391</v>
      </c>
      <c r="H418" s="17" t="s">
        <v>3068</v>
      </c>
      <c r="I418" s="19"/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customHeight="1">
      <c r="A419">
        <v>427</v>
      </c>
      <c r="B419">
        <f>IF(表1[[#This Row],[不调整offset]]="x",IFERROR(VLOOKUP(表1[[#This Row],[8:image]],常量!J:N,4,FALSE),0),0)</f>
        <v>0</v>
      </c>
      <c r="C419">
        <f>IF(表1[[#This Row],[不调整offset]]="x",IFERROR(VLOOKUP(表1[[#This Row],[8:image]],常量!J:N,5,FALSE),0),0)</f>
        <v>0</v>
      </c>
      <c r="E419" t="s">
        <v>2587</v>
      </c>
      <c r="F419">
        <v>6</v>
      </c>
      <c r="G419" s="1" t="s">
        <v>392</v>
      </c>
      <c r="H419" s="17" t="s">
        <v>3069</v>
      </c>
      <c r="I419" s="19"/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customHeight="1">
      <c r="A420">
        <v>428</v>
      </c>
      <c r="B420">
        <f>IF(表1[[#This Row],[不调整offset]]="x",IFERROR(VLOOKUP(表1[[#This Row],[8:image]],常量!J:N,4,FALSE),0),0)</f>
        <v>0</v>
      </c>
      <c r="C420">
        <f>IF(表1[[#This Row],[不调整offset]]="x",IFERROR(VLOOKUP(表1[[#This Row],[8:image]],常量!J:N,5,FALSE),0),0)</f>
        <v>0</v>
      </c>
      <c r="E420" t="s">
        <v>2587</v>
      </c>
      <c r="F420">
        <v>6</v>
      </c>
      <c r="G420" s="1" t="s">
        <v>393</v>
      </c>
      <c r="H420" s="17" t="s">
        <v>3070</v>
      </c>
      <c r="I420" s="19"/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customHeight="1">
      <c r="A421">
        <v>429</v>
      </c>
      <c r="B421">
        <f>IF(表1[[#This Row],[不调整offset]]="x",IFERROR(VLOOKUP(表1[[#This Row],[8:image]],常量!J:N,4,FALSE),0),0)</f>
        <v>0</v>
      </c>
      <c r="C421">
        <f>IF(表1[[#This Row],[不调整offset]]="x",IFERROR(VLOOKUP(表1[[#This Row],[8:image]],常量!J:N,5,FALSE),0),0)</f>
        <v>0</v>
      </c>
      <c r="E421" t="s">
        <v>2587</v>
      </c>
      <c r="F421">
        <v>6</v>
      </c>
      <c r="G421" s="1" t="s">
        <v>394</v>
      </c>
      <c r="H421" s="17" t="s">
        <v>3071</v>
      </c>
      <c r="I421" s="19"/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customHeight="1">
      <c r="A422">
        <v>430</v>
      </c>
      <c r="B422">
        <f>IF(表1[[#This Row],[不调整offset]]="x",IFERROR(VLOOKUP(表1[[#This Row],[8:image]],常量!J:N,4,FALSE),0),0)</f>
        <v>0</v>
      </c>
      <c r="C422">
        <f>IF(表1[[#This Row],[不调整offset]]="x",IFERROR(VLOOKUP(表1[[#This Row],[8:image]],常量!J:N,5,FALSE),0),0)</f>
        <v>0</v>
      </c>
      <c r="E422" t="s">
        <v>2587</v>
      </c>
      <c r="F422">
        <v>6</v>
      </c>
      <c r="G422" s="1" t="s">
        <v>395</v>
      </c>
      <c r="H422" s="17" t="s">
        <v>3072</v>
      </c>
      <c r="I422" s="19"/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customHeight="1">
      <c r="A423">
        <v>431</v>
      </c>
      <c r="B423">
        <f>IF(表1[[#This Row],[不调整offset]]="x",IFERROR(VLOOKUP(表1[[#This Row],[8:image]],常量!J:N,4,FALSE),0),0)</f>
        <v>0</v>
      </c>
      <c r="C423">
        <f>IF(表1[[#This Row],[不调整offset]]="x",IFERROR(VLOOKUP(表1[[#This Row],[8:image]],常量!J:N,5,FALSE),0),0)</f>
        <v>0</v>
      </c>
      <c r="E423" t="s">
        <v>2587</v>
      </c>
      <c r="F423">
        <v>6</v>
      </c>
      <c r="G423" s="1" t="s">
        <v>396</v>
      </c>
      <c r="H423" s="17" t="s">
        <v>3073</v>
      </c>
      <c r="I423" s="19"/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customHeight="1">
      <c r="A424">
        <v>432</v>
      </c>
      <c r="B424">
        <f>IF(表1[[#This Row],[不调整offset]]="x",IFERROR(VLOOKUP(表1[[#This Row],[8:image]],常量!J:N,4,FALSE),0),0)</f>
        <v>0</v>
      </c>
      <c r="C424">
        <f>IF(表1[[#This Row],[不调整offset]]="x",IFERROR(VLOOKUP(表1[[#This Row],[8:image]],常量!J:N,5,FALSE),0),0)</f>
        <v>0</v>
      </c>
      <c r="E424" t="s">
        <v>2587</v>
      </c>
      <c r="F424">
        <v>6</v>
      </c>
      <c r="G424" s="1" t="s">
        <v>397</v>
      </c>
      <c r="H424" s="17" t="s">
        <v>3074</v>
      </c>
      <c r="I424" s="19"/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customHeight="1">
      <c r="A425">
        <v>433</v>
      </c>
      <c r="B425">
        <f>IF(表1[[#This Row],[不调整offset]]="x",IFERROR(VLOOKUP(表1[[#This Row],[8:image]],常量!J:N,4,FALSE),0),0)</f>
        <v>0</v>
      </c>
      <c r="C425">
        <f>IF(表1[[#This Row],[不调整offset]]="x",IFERROR(VLOOKUP(表1[[#This Row],[8:image]],常量!J:N,5,FALSE),0),0)</f>
        <v>0</v>
      </c>
      <c r="E425" t="s">
        <v>2587</v>
      </c>
      <c r="F425">
        <v>6</v>
      </c>
      <c r="G425" s="1" t="s">
        <v>398</v>
      </c>
      <c r="H425" s="17" t="s">
        <v>3075</v>
      </c>
      <c r="I425" s="19"/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IF(表1[[#This Row],[不调整offset]]="x",IFERROR(VLOOKUP(表1[[#This Row],[8:image]],常量!J:N,4,FALSE),0),0)</f>
        <v>0</v>
      </c>
      <c r="C426">
        <f>IF(表1[[#This Row],[不调整offset]]="x",IFERROR(VLOOKUP(表1[[#This Row],[8:image]],常量!J:N,5,FALSE),0),0)</f>
        <v>0</v>
      </c>
      <c r="E426" t="s">
        <v>2587</v>
      </c>
      <c r="F426">
        <v>6</v>
      </c>
      <c r="G426" s="1" t="s">
        <v>399</v>
      </c>
      <c r="H426" s="17" t="s">
        <v>3076</v>
      </c>
      <c r="I426" s="19"/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IF(表1[[#This Row],[不调整offset]]="x",IFERROR(VLOOKUP(表1[[#This Row],[8:image]],常量!J:N,4,FALSE),0),0)</f>
        <v>0</v>
      </c>
      <c r="C427">
        <f>IF(表1[[#This Row],[不调整offset]]="x",IFERROR(VLOOKUP(表1[[#This Row],[8:image]],常量!J:N,5,FALSE),0),0)</f>
        <v>0</v>
      </c>
      <c r="E427" t="s">
        <v>2587</v>
      </c>
      <c r="F427">
        <v>6</v>
      </c>
      <c r="G427" s="1" t="s">
        <v>400</v>
      </c>
      <c r="H427" s="17" t="s">
        <v>3077</v>
      </c>
      <c r="I427" s="19"/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IF(表1[[#This Row],[不调整offset]]="x",IFERROR(VLOOKUP(表1[[#This Row],[8:image]],常量!J:N,4,FALSE),0),0)</f>
        <v>0</v>
      </c>
      <c r="C428">
        <f>IF(表1[[#This Row],[不调整offset]]="x",IFERROR(VLOOKUP(表1[[#This Row],[8:image]],常量!J:N,5,FALSE),0),0)</f>
        <v>0</v>
      </c>
      <c r="E428" t="s">
        <v>2587</v>
      </c>
      <c r="F428">
        <v>6</v>
      </c>
      <c r="G428" s="1" t="s">
        <v>401</v>
      </c>
      <c r="H428" s="17" t="s">
        <v>3078</v>
      </c>
      <c r="I428" s="19"/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IF(表1[[#This Row],[不调整offset]]="x",IFERROR(VLOOKUP(表1[[#This Row],[8:image]],常量!J:N,4,FALSE),0),0)</f>
        <v>0</v>
      </c>
      <c r="C429">
        <f>IF(表1[[#This Row],[不调整offset]]="x",IFERROR(VLOOKUP(表1[[#This Row],[8:image]],常量!J:N,5,FALSE),0),0)</f>
        <v>0</v>
      </c>
      <c r="E429" t="s">
        <v>2587</v>
      </c>
      <c r="F429">
        <v>6</v>
      </c>
      <c r="G429" s="1" t="s">
        <v>402</v>
      </c>
      <c r="H429" s="17" t="s">
        <v>3079</v>
      </c>
      <c r="I429" s="19"/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IF(表1[[#This Row],[不调整offset]]="x",IFERROR(VLOOKUP(表1[[#This Row],[8:image]],常量!J:N,4,FALSE),0),0)</f>
        <v>0</v>
      </c>
      <c r="C430">
        <f>IF(表1[[#This Row],[不调整offset]]="x",IFERROR(VLOOKUP(表1[[#This Row],[8:image]],常量!J:N,5,FALSE),0),0)</f>
        <v>0</v>
      </c>
      <c r="E430" t="s">
        <v>2587</v>
      </c>
      <c r="F430">
        <v>6</v>
      </c>
      <c r="G430" s="1" t="s">
        <v>403</v>
      </c>
      <c r="H430" s="17" t="s">
        <v>3080</v>
      </c>
      <c r="I430" s="19"/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IF(表1[[#This Row],[不调整offset]]="x",IFERROR(VLOOKUP(表1[[#This Row],[8:image]],常量!J:N,4,FALSE),0),0)</f>
        <v>0</v>
      </c>
      <c r="C431">
        <f>IF(表1[[#This Row],[不调整offset]]="x",IFERROR(VLOOKUP(表1[[#This Row],[8:image]],常量!J:N,5,FALSE),0),0)</f>
        <v>0</v>
      </c>
      <c r="E431" t="s">
        <v>2587</v>
      </c>
      <c r="F431">
        <v>6</v>
      </c>
      <c r="G431" s="1" t="s">
        <v>404</v>
      </c>
      <c r="H431" s="17" t="s">
        <v>3081</v>
      </c>
      <c r="I431" s="19"/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IF(表1[[#This Row],[不调整offset]]="x",IFERROR(VLOOKUP(表1[[#This Row],[8:image]],常量!J:N,4,FALSE),0),0)</f>
        <v>0</v>
      </c>
      <c r="C432">
        <f>IF(表1[[#This Row],[不调整offset]]="x",IFERROR(VLOOKUP(表1[[#This Row],[8:image]],常量!J:N,5,FALSE),0),0)</f>
        <v>0</v>
      </c>
      <c r="E432" t="s">
        <v>2587</v>
      </c>
      <c r="F432">
        <v>6</v>
      </c>
      <c r="G432" s="1" t="s">
        <v>405</v>
      </c>
      <c r="H432" s="17" t="s">
        <v>3082</v>
      </c>
      <c r="I432" s="19"/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IF(表1[[#This Row],[不调整offset]]="x",IFERROR(VLOOKUP(表1[[#This Row],[8:image]],常量!J:N,4,FALSE),0),0)</f>
        <v>0</v>
      </c>
      <c r="C433">
        <f>IF(表1[[#This Row],[不调整offset]]="x",IFERROR(VLOOKUP(表1[[#This Row],[8:image]],常量!J:N,5,FALSE),0),0)</f>
        <v>0</v>
      </c>
      <c r="E433" t="s">
        <v>2587</v>
      </c>
      <c r="F433">
        <v>6</v>
      </c>
      <c r="G433" s="1" t="s">
        <v>406</v>
      </c>
      <c r="H433" s="17" t="s">
        <v>3083</v>
      </c>
      <c r="I433" s="19"/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customHeight="1">
      <c r="A434">
        <v>442</v>
      </c>
      <c r="B434">
        <f>IF(表1[[#This Row],[不调整offset]]="x",IFERROR(VLOOKUP(表1[[#This Row],[8:image]],常量!J:N,4,FALSE),0),0)</f>
        <v>0</v>
      </c>
      <c r="C434">
        <f>IF(表1[[#This Row],[不调整offset]]="x",IFERROR(VLOOKUP(表1[[#This Row],[8:image]],常量!J:N,5,FALSE),0),0)</f>
        <v>0</v>
      </c>
      <c r="E434" t="s">
        <v>2587</v>
      </c>
      <c r="F434">
        <v>6</v>
      </c>
      <c r="G434" s="1" t="s">
        <v>407</v>
      </c>
      <c r="H434" s="17" t="s">
        <v>3084</v>
      </c>
      <c r="I434" s="19"/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IF(表1[[#This Row],[不调整offset]]="x",IFERROR(VLOOKUP(表1[[#This Row],[8:image]],常量!J:N,4,FALSE),0),0)</f>
        <v>0</v>
      </c>
      <c r="C435">
        <f>IF(表1[[#This Row],[不调整offset]]="x",IFERROR(VLOOKUP(表1[[#This Row],[8:image]],常量!J:N,5,FALSE),0),0)</f>
        <v>0</v>
      </c>
      <c r="E435" t="s">
        <v>2587</v>
      </c>
      <c r="F435">
        <v>6</v>
      </c>
      <c r="G435" s="1" t="s">
        <v>388</v>
      </c>
      <c r="H435" s="17" t="s">
        <v>3085</v>
      </c>
      <c r="I435" s="19"/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IF(表1[[#This Row],[不调整offset]]="x",IFERROR(VLOOKUP(表1[[#This Row],[8:image]],常量!J:N,4,FALSE),0),0)</f>
        <v>0</v>
      </c>
      <c r="C436">
        <f>IF(表1[[#This Row],[不调整offset]]="x",IFERROR(VLOOKUP(表1[[#This Row],[8:image]],常量!J:N,5,FALSE),0),0)</f>
        <v>0</v>
      </c>
      <c r="E436" t="s">
        <v>2587</v>
      </c>
      <c r="F436">
        <v>6</v>
      </c>
      <c r="G436" s="1" t="s">
        <v>408</v>
      </c>
      <c r="H436" s="17" t="s">
        <v>3086</v>
      </c>
      <c r="I436" s="19"/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IF(表1[[#This Row],[不调整offset]]="x",IFERROR(VLOOKUP(表1[[#This Row],[8:image]],常量!J:N,4,FALSE),0),0)</f>
        <v>0</v>
      </c>
      <c r="C437">
        <f>IF(表1[[#This Row],[不调整offset]]="x",IFERROR(VLOOKUP(表1[[#This Row],[8:image]],常量!J:N,5,FALSE),0),0)</f>
        <v>0</v>
      </c>
      <c r="E437" t="s">
        <v>2587</v>
      </c>
      <c r="F437">
        <v>6</v>
      </c>
      <c r="G437" s="1" t="s">
        <v>409</v>
      </c>
      <c r="H437" s="17" t="s">
        <v>3087</v>
      </c>
      <c r="I437" s="19"/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IF(表1[[#This Row],[不调整offset]]="x",IFERROR(VLOOKUP(表1[[#This Row],[8:image]],常量!J:N,4,FALSE),0),0)</f>
        <v>0</v>
      </c>
      <c r="C438">
        <f>IF(表1[[#This Row],[不调整offset]]="x",IFERROR(VLOOKUP(表1[[#This Row],[8:image]],常量!J:N,5,FALSE),0),0)</f>
        <v>0</v>
      </c>
      <c r="E438" t="s">
        <v>2587</v>
      </c>
      <c r="F438">
        <v>6</v>
      </c>
      <c r="G438" s="1" t="s">
        <v>410</v>
      </c>
      <c r="H438" s="17" t="s">
        <v>3088</v>
      </c>
      <c r="I438" s="19"/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IF(表1[[#This Row],[不调整offset]]="x",IFERROR(VLOOKUP(表1[[#This Row],[8:image]],常量!J:N,4,FALSE),0),0)</f>
        <v>0</v>
      </c>
      <c r="C439">
        <f>IF(表1[[#This Row],[不调整offset]]="x",IFERROR(VLOOKUP(表1[[#This Row],[8:image]],常量!J:N,5,FALSE),0),0)</f>
        <v>0</v>
      </c>
      <c r="E439" t="s">
        <v>2587</v>
      </c>
      <c r="F439">
        <v>6</v>
      </c>
      <c r="G439" s="1" t="s">
        <v>411</v>
      </c>
      <c r="H439" s="17" t="s">
        <v>3089</v>
      </c>
      <c r="I439" s="19"/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IF(表1[[#This Row],[不调整offset]]="x",IFERROR(VLOOKUP(表1[[#This Row],[8:image]],常量!J:N,4,FALSE),0),0)</f>
        <v>0</v>
      </c>
      <c r="C440">
        <f>IF(表1[[#This Row],[不调整offset]]="x",IFERROR(VLOOKUP(表1[[#This Row],[8:image]],常量!J:N,5,FALSE),0),0)</f>
        <v>0</v>
      </c>
      <c r="E440" t="s">
        <v>2587</v>
      </c>
      <c r="F440">
        <v>6</v>
      </c>
      <c r="G440" s="1" t="s">
        <v>412</v>
      </c>
      <c r="H440" s="17" t="s">
        <v>3090</v>
      </c>
      <c r="I440" s="19"/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IF(表1[[#This Row],[不调整offset]]="x",IFERROR(VLOOKUP(表1[[#This Row],[8:image]],常量!J:N,4,FALSE),0),0)</f>
        <v>0</v>
      </c>
      <c r="C441">
        <f>IF(表1[[#This Row],[不调整offset]]="x",IFERROR(VLOOKUP(表1[[#This Row],[8:image]],常量!J:N,5,FALSE),0),0)</f>
        <v>0</v>
      </c>
      <c r="E441" t="s">
        <v>2587</v>
      </c>
      <c r="F441">
        <v>6</v>
      </c>
      <c r="G441" s="1" t="s">
        <v>413</v>
      </c>
      <c r="H441" s="17" t="s">
        <v>3091</v>
      </c>
      <c r="I441" s="19"/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IF(表1[[#This Row],[不调整offset]]="x",IFERROR(VLOOKUP(表1[[#This Row],[8:image]],常量!J:N,4,FALSE),0),0)</f>
        <v>0</v>
      </c>
      <c r="C442">
        <f>IF(表1[[#This Row],[不调整offset]]="x",IFERROR(VLOOKUP(表1[[#This Row],[8:image]],常量!J:N,5,FALSE),0),0)</f>
        <v>0</v>
      </c>
      <c r="E442" t="s">
        <v>2587</v>
      </c>
      <c r="F442">
        <v>6</v>
      </c>
      <c r="G442" s="1" t="s">
        <v>414</v>
      </c>
      <c r="H442" s="17" t="s">
        <v>3092</v>
      </c>
      <c r="I442" s="19"/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IF(表1[[#This Row],[不调整offset]]="x",IFERROR(VLOOKUP(表1[[#This Row],[8:image]],常量!J:N,4,FALSE),0),0)</f>
        <v>0</v>
      </c>
      <c r="C443">
        <f>IF(表1[[#This Row],[不调整offset]]="x",IFERROR(VLOOKUP(表1[[#This Row],[8:image]],常量!J:N,5,FALSE),0),0)</f>
        <v>0</v>
      </c>
      <c r="E443" t="s">
        <v>2587</v>
      </c>
      <c r="F443">
        <v>6</v>
      </c>
      <c r="G443" s="1" t="s">
        <v>415</v>
      </c>
      <c r="H443" s="17" t="s">
        <v>3093</v>
      </c>
      <c r="I443" s="19"/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IF(表1[[#This Row],[不调整offset]]="x",IFERROR(VLOOKUP(表1[[#This Row],[8:image]],常量!J:N,4,FALSE),0),0)</f>
        <v>0</v>
      </c>
      <c r="C444">
        <f>IF(表1[[#This Row],[不调整offset]]="x",IFERROR(VLOOKUP(表1[[#This Row],[8:image]],常量!J:N,5,FALSE),0),0)</f>
        <v>0</v>
      </c>
      <c r="E444" t="s">
        <v>2587</v>
      </c>
      <c r="F444">
        <v>6</v>
      </c>
      <c r="G444" s="1" t="s">
        <v>416</v>
      </c>
      <c r="H444" s="17" t="s">
        <v>3094</v>
      </c>
      <c r="I444" s="19"/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IF(表1[[#This Row],[不调整offset]]="x",IFERROR(VLOOKUP(表1[[#This Row],[8:image]],常量!J:N,4,FALSE),0),0)</f>
        <v>0</v>
      </c>
      <c r="C445">
        <f>IF(表1[[#This Row],[不调整offset]]="x",IFERROR(VLOOKUP(表1[[#This Row],[8:image]],常量!J:N,5,FALSE),0),0)</f>
        <v>0</v>
      </c>
      <c r="E445" t="s">
        <v>2587</v>
      </c>
      <c r="F445">
        <v>6</v>
      </c>
      <c r="G445" s="1" t="s">
        <v>1364</v>
      </c>
      <c r="H445" s="17" t="s">
        <v>3095</v>
      </c>
      <c r="I445" s="19"/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IF(表1[[#This Row],[不调整offset]]="x",IFERROR(VLOOKUP(表1[[#This Row],[8:image]],常量!J:N,4,FALSE),0),0)</f>
        <v>0</v>
      </c>
      <c r="C446">
        <f>IF(表1[[#This Row],[不调整offset]]="x",IFERROR(VLOOKUP(表1[[#This Row],[8:image]],常量!J:N,5,FALSE),0),0)</f>
        <v>0</v>
      </c>
      <c r="E446" t="s">
        <v>2587</v>
      </c>
      <c r="F446">
        <v>6</v>
      </c>
      <c r="G446" s="1" t="s">
        <v>417</v>
      </c>
      <c r="H446" s="17" t="s">
        <v>3096</v>
      </c>
      <c r="I446" s="19"/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IF(表1[[#This Row],[不调整offset]]="x",IFERROR(VLOOKUP(表1[[#This Row],[8:image]],常量!J:N,4,FALSE),0),0)</f>
        <v>0</v>
      </c>
      <c r="C447">
        <f>IF(表1[[#This Row],[不调整offset]]="x",IFERROR(VLOOKUP(表1[[#This Row],[8:image]],常量!J:N,5,FALSE),0),0)</f>
        <v>0</v>
      </c>
      <c r="E447" t="s">
        <v>2587</v>
      </c>
      <c r="F447">
        <v>6</v>
      </c>
      <c r="G447" s="1" t="s">
        <v>418</v>
      </c>
      <c r="H447" s="17" t="s">
        <v>3097</v>
      </c>
      <c r="I447" s="19"/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IF(表1[[#This Row],[不调整offset]]="x",IFERROR(VLOOKUP(表1[[#This Row],[8:image]],常量!J:N,4,FALSE),0),0)</f>
        <v>0</v>
      </c>
      <c r="C448">
        <f>IF(表1[[#This Row],[不调整offset]]="x",IFERROR(VLOOKUP(表1[[#This Row],[8:image]],常量!J:N,5,FALSE),0),0)</f>
        <v>0</v>
      </c>
      <c r="E448" t="s">
        <v>2587</v>
      </c>
      <c r="F448">
        <v>6</v>
      </c>
      <c r="G448" s="1" t="s">
        <v>419</v>
      </c>
      <c r="H448" s="17" t="s">
        <v>3098</v>
      </c>
      <c r="I448" s="19"/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IF(表1[[#This Row],[不调整offset]]="x",IFERROR(VLOOKUP(表1[[#This Row],[8:image]],常量!J:N,4,FALSE),0),0)</f>
        <v>0</v>
      </c>
      <c r="C449">
        <f>IF(表1[[#This Row],[不调整offset]]="x",IFERROR(VLOOKUP(表1[[#This Row],[8:image]],常量!J:N,5,FALSE),0),0)</f>
        <v>0</v>
      </c>
      <c r="E449" t="s">
        <v>2587</v>
      </c>
      <c r="F449">
        <v>6</v>
      </c>
      <c r="G449" s="1" t="s">
        <v>420</v>
      </c>
      <c r="H449" s="17" t="s">
        <v>3099</v>
      </c>
      <c r="I449" s="19"/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IF(表1[[#This Row],[不调整offset]]="x",IFERROR(VLOOKUP(表1[[#This Row],[8:image]],常量!J:N,4,FALSE),0),0)</f>
        <v>0</v>
      </c>
      <c r="C450">
        <f>IF(表1[[#This Row],[不调整offset]]="x",IFERROR(VLOOKUP(表1[[#This Row],[8:image]],常量!J:N,5,FALSE),0),0)</f>
        <v>0</v>
      </c>
      <c r="E450" t="s">
        <v>2587</v>
      </c>
      <c r="F450">
        <v>6</v>
      </c>
      <c r="G450" s="1" t="s">
        <v>421</v>
      </c>
      <c r="H450" s="17" t="s">
        <v>3100</v>
      </c>
      <c r="I450" s="19"/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IF(表1[[#This Row],[不调整offset]]="x",IFERROR(VLOOKUP(表1[[#This Row],[8:image]],常量!J:N,4,FALSE),0),0)</f>
        <v>0</v>
      </c>
      <c r="C451">
        <f>IF(表1[[#This Row],[不调整offset]]="x",IFERROR(VLOOKUP(表1[[#This Row],[8:image]],常量!J:N,5,FALSE),0),0)</f>
        <v>0</v>
      </c>
      <c r="E451" t="s">
        <v>2587</v>
      </c>
      <c r="F451">
        <v>6</v>
      </c>
      <c r="G451" s="1" t="s">
        <v>422</v>
      </c>
      <c r="H451" s="17" t="s">
        <v>3101</v>
      </c>
      <c r="I451" s="19"/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IF(表1[[#This Row],[不调整offset]]="x",IFERROR(VLOOKUP(表1[[#This Row],[8:image]],常量!J:N,4,FALSE),0),0)</f>
        <v>0</v>
      </c>
      <c r="C452">
        <f>IF(表1[[#This Row],[不调整offset]]="x",IFERROR(VLOOKUP(表1[[#This Row],[8:image]],常量!J:N,5,FALSE),0),0)</f>
        <v>0</v>
      </c>
      <c r="E452" t="s">
        <v>2587</v>
      </c>
      <c r="F452">
        <v>6</v>
      </c>
      <c r="G452" s="1" t="s">
        <v>423</v>
      </c>
      <c r="H452" s="17" t="s">
        <v>3102</v>
      </c>
      <c r="I452" s="19"/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IF(表1[[#This Row],[不调整offset]]="x",IFERROR(VLOOKUP(表1[[#This Row],[8:image]],常量!J:N,4,FALSE),0),0)</f>
        <v>0</v>
      </c>
      <c r="C453">
        <f>IF(表1[[#This Row],[不调整offset]]="x",IFERROR(VLOOKUP(表1[[#This Row],[8:image]],常量!J:N,5,FALSE),0),0)</f>
        <v>0</v>
      </c>
      <c r="E453" t="s">
        <v>2587</v>
      </c>
      <c r="F453">
        <v>6</v>
      </c>
      <c r="G453" s="1" t="s">
        <v>424</v>
      </c>
      <c r="H453" s="17" t="s">
        <v>3103</v>
      </c>
      <c r="I453" s="19"/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IF(表1[[#This Row],[不调整offset]]="x",IFERROR(VLOOKUP(表1[[#This Row],[8:image]],常量!J:N,4,FALSE),0),0)</f>
        <v>0</v>
      </c>
      <c r="C454">
        <f>IF(表1[[#This Row],[不调整offset]]="x",IFERROR(VLOOKUP(表1[[#This Row],[8:image]],常量!J:N,5,FALSE),0),0)</f>
        <v>0</v>
      </c>
      <c r="E454" t="s">
        <v>2587</v>
      </c>
      <c r="F454">
        <v>6</v>
      </c>
      <c r="G454" s="1" t="s">
        <v>425</v>
      </c>
      <c r="H454" s="17" t="s">
        <v>3104</v>
      </c>
      <c r="I454" s="19"/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IF(表1[[#This Row],[不调整offset]]="x",IFERROR(VLOOKUP(表1[[#This Row],[8:image]],常量!J:N,4,FALSE),0),0)</f>
        <v>0</v>
      </c>
      <c r="C455">
        <f>IF(表1[[#This Row],[不调整offset]]="x",IFERROR(VLOOKUP(表1[[#This Row],[8:image]],常量!J:N,5,FALSE),0),0)</f>
        <v>0</v>
      </c>
      <c r="E455" t="s">
        <v>2587</v>
      </c>
      <c r="F455">
        <v>6</v>
      </c>
      <c r="G455" s="1" t="s">
        <v>426</v>
      </c>
      <c r="H455" s="17" t="s">
        <v>3105</v>
      </c>
      <c r="I455" s="19"/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IF(表1[[#This Row],[不调整offset]]="x",IFERROR(VLOOKUP(表1[[#This Row],[8:image]],常量!J:N,4,FALSE),0),0)</f>
        <v>0</v>
      </c>
      <c r="C456">
        <f>IF(表1[[#This Row],[不调整offset]]="x",IFERROR(VLOOKUP(表1[[#This Row],[8:image]],常量!J:N,5,FALSE),0),0)</f>
        <v>0</v>
      </c>
      <c r="E456" t="s">
        <v>2587</v>
      </c>
      <c r="F456">
        <v>6</v>
      </c>
      <c r="G456" s="1" t="s">
        <v>427</v>
      </c>
      <c r="H456" s="17" t="s">
        <v>3106</v>
      </c>
      <c r="I456" s="19"/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IF(表1[[#This Row],[不调整offset]]="x",IFERROR(VLOOKUP(表1[[#This Row],[8:image]],常量!J:N,4,FALSE),0),0)</f>
        <v>0</v>
      </c>
      <c r="C457">
        <f>IF(表1[[#This Row],[不调整offset]]="x",IFERROR(VLOOKUP(表1[[#This Row],[8:image]],常量!J:N,5,FALSE),0),0)</f>
        <v>0</v>
      </c>
      <c r="E457" t="s">
        <v>2587</v>
      </c>
      <c r="F457">
        <v>6</v>
      </c>
      <c r="G457" s="1" t="s">
        <v>428</v>
      </c>
      <c r="H457" s="17" t="s">
        <v>3107</v>
      </c>
      <c r="I457" s="19"/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IF(表1[[#This Row],[不调整offset]]="x",IFERROR(VLOOKUP(表1[[#This Row],[8:image]],常量!J:N,4,FALSE),0),0)</f>
        <v>0</v>
      </c>
      <c r="C458">
        <f>IF(表1[[#This Row],[不调整offset]]="x",IFERROR(VLOOKUP(表1[[#This Row],[8:image]],常量!J:N,5,FALSE),0),0)</f>
        <v>0</v>
      </c>
      <c r="E458" t="s">
        <v>2587</v>
      </c>
      <c r="F458">
        <v>6</v>
      </c>
      <c r="G458" s="1" t="s">
        <v>429</v>
      </c>
      <c r="H458" s="17" t="s">
        <v>3108</v>
      </c>
      <c r="I458" s="19"/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IF(表1[[#This Row],[不调整offset]]="x",IFERROR(VLOOKUP(表1[[#This Row],[8:image]],常量!J:N,4,FALSE),0),0)</f>
        <v>0</v>
      </c>
      <c r="C459">
        <f>IF(表1[[#This Row],[不调整offset]]="x",IFERROR(VLOOKUP(表1[[#This Row],[8:image]],常量!J:N,5,FALSE),0),0)</f>
        <v>0</v>
      </c>
      <c r="E459" t="s">
        <v>2587</v>
      </c>
      <c r="F459">
        <v>6</v>
      </c>
      <c r="G459" s="1" t="s">
        <v>430</v>
      </c>
      <c r="H459" s="17" t="s">
        <v>3109</v>
      </c>
      <c r="I459" s="19"/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IF(表1[[#This Row],[不调整offset]]="x",IFERROR(VLOOKUP(表1[[#This Row],[8:image]],常量!J:N,4,FALSE),0),0)</f>
        <v>0</v>
      </c>
      <c r="C460">
        <f>IF(表1[[#This Row],[不调整offset]]="x",IFERROR(VLOOKUP(表1[[#This Row],[8:image]],常量!J:N,5,FALSE),0),0)</f>
        <v>0</v>
      </c>
      <c r="E460" t="s">
        <v>2587</v>
      </c>
      <c r="F460">
        <v>6</v>
      </c>
      <c r="G460" s="1" t="s">
        <v>431</v>
      </c>
      <c r="H460" s="17" t="s">
        <v>3110</v>
      </c>
      <c r="I460" s="19"/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IF(表1[[#This Row],[不调整offset]]="x",IFERROR(VLOOKUP(表1[[#This Row],[8:image]],常量!J:N,4,FALSE),0),0)</f>
        <v>0</v>
      </c>
      <c r="C461">
        <f>IF(表1[[#This Row],[不调整offset]]="x",IFERROR(VLOOKUP(表1[[#This Row],[8:image]],常量!J:N,5,FALSE),0),0)</f>
        <v>0</v>
      </c>
      <c r="E461" t="s">
        <v>2587</v>
      </c>
      <c r="F461">
        <v>6</v>
      </c>
      <c r="G461" s="1" t="s">
        <v>432</v>
      </c>
      <c r="H461" s="17" t="s">
        <v>3111</v>
      </c>
      <c r="I461" s="19"/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IF(表1[[#This Row],[不调整offset]]="x",IFERROR(VLOOKUP(表1[[#This Row],[8:image]],常量!J:N,4,FALSE),0),0)</f>
        <v>0</v>
      </c>
      <c r="C462">
        <f>IF(表1[[#This Row],[不调整offset]]="x",IFERROR(VLOOKUP(表1[[#This Row],[8:image]],常量!J:N,5,FALSE),0),0)</f>
        <v>0</v>
      </c>
      <c r="E462" t="s">
        <v>2587</v>
      </c>
      <c r="F462">
        <v>6</v>
      </c>
      <c r="G462" s="1" t="s">
        <v>433</v>
      </c>
      <c r="H462" s="17" t="s">
        <v>3112</v>
      </c>
      <c r="I462" s="19"/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IF(表1[[#This Row],[不调整offset]]="x",IFERROR(VLOOKUP(表1[[#This Row],[8:image]],常量!J:N,4,FALSE),0),0)</f>
        <v>0</v>
      </c>
      <c r="C463">
        <f>IF(表1[[#This Row],[不调整offset]]="x",IFERROR(VLOOKUP(表1[[#This Row],[8:image]],常量!J:N,5,FALSE),0),0)</f>
        <v>0</v>
      </c>
      <c r="E463" t="s">
        <v>2587</v>
      </c>
      <c r="F463">
        <v>6</v>
      </c>
      <c r="G463" s="1" t="s">
        <v>434</v>
      </c>
      <c r="H463" s="17" t="s">
        <v>3113</v>
      </c>
      <c r="I463" s="19"/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IF(表1[[#This Row],[不调整offset]]="x",IFERROR(VLOOKUP(表1[[#This Row],[8:image]],常量!J:N,4,FALSE),0),0)</f>
        <v>0</v>
      </c>
      <c r="C464">
        <f>IF(表1[[#This Row],[不调整offset]]="x",IFERROR(VLOOKUP(表1[[#This Row],[8:image]],常量!J:N,5,FALSE),0),0)</f>
        <v>0</v>
      </c>
      <c r="E464" t="s">
        <v>2587</v>
      </c>
      <c r="F464">
        <v>6</v>
      </c>
      <c r="G464" s="1" t="s">
        <v>435</v>
      </c>
      <c r="H464" s="17" t="s">
        <v>3114</v>
      </c>
      <c r="I464" s="19"/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IF(表1[[#This Row],[不调整offset]]="x",IFERROR(VLOOKUP(表1[[#This Row],[8:image]],常量!J:N,4,FALSE),0),0)</f>
        <v>0</v>
      </c>
      <c r="C465">
        <f>IF(表1[[#This Row],[不调整offset]]="x",IFERROR(VLOOKUP(表1[[#This Row],[8:image]],常量!J:N,5,FALSE),0),0)</f>
        <v>0</v>
      </c>
      <c r="E465" t="s">
        <v>2587</v>
      </c>
      <c r="F465">
        <v>6</v>
      </c>
      <c r="G465" s="1" t="s">
        <v>436</v>
      </c>
      <c r="H465" s="17" t="s">
        <v>3115</v>
      </c>
      <c r="I465" s="19"/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IF(表1[[#This Row],[不调整offset]]="x",IFERROR(VLOOKUP(表1[[#This Row],[8:image]],常量!J:N,4,FALSE),0),0)</f>
        <v>0</v>
      </c>
      <c r="C466">
        <f>IF(表1[[#This Row],[不调整offset]]="x",IFERROR(VLOOKUP(表1[[#This Row],[8:image]],常量!J:N,5,FALSE),0),0)</f>
        <v>0</v>
      </c>
      <c r="E466" t="s">
        <v>2587</v>
      </c>
      <c r="F466">
        <v>6</v>
      </c>
      <c r="G466" s="1" t="s">
        <v>437</v>
      </c>
      <c r="H466" s="17" t="s">
        <v>3116</v>
      </c>
      <c r="I466" s="19"/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IF(表1[[#This Row],[不调整offset]]="x",IFERROR(VLOOKUP(表1[[#This Row],[8:image]],常量!J:N,4,FALSE),0),0)</f>
        <v>0</v>
      </c>
      <c r="C467">
        <f>IF(表1[[#This Row],[不调整offset]]="x",IFERROR(VLOOKUP(表1[[#This Row],[8:image]],常量!J:N,5,FALSE),0),0)</f>
        <v>0</v>
      </c>
      <c r="E467" t="s">
        <v>2587</v>
      </c>
      <c r="F467">
        <v>6</v>
      </c>
      <c r="G467" s="1" t="s">
        <v>438</v>
      </c>
      <c r="H467" s="17" t="s">
        <v>3117</v>
      </c>
      <c r="I467" s="19"/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IF(表1[[#This Row],[不调整offset]]="x",IFERROR(VLOOKUP(表1[[#This Row],[8:image]],常量!J:N,4,FALSE),0),0)</f>
        <v>0</v>
      </c>
      <c r="C468">
        <f>IF(表1[[#This Row],[不调整offset]]="x",IFERROR(VLOOKUP(表1[[#This Row],[8:image]],常量!J:N,5,FALSE),0),0)</f>
        <v>0</v>
      </c>
      <c r="E468" t="s">
        <v>2587</v>
      </c>
      <c r="F468">
        <v>6</v>
      </c>
      <c r="G468" s="1" t="s">
        <v>439</v>
      </c>
      <c r="H468" s="17" t="s">
        <v>3118</v>
      </c>
      <c r="I468" s="19"/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IF(表1[[#This Row],[不调整offset]]="x",IFERROR(VLOOKUP(表1[[#This Row],[8:image]],常量!J:N,4,FALSE),0),0)</f>
        <v>0</v>
      </c>
      <c r="C469">
        <f>IF(表1[[#This Row],[不调整offset]]="x",IFERROR(VLOOKUP(表1[[#This Row],[8:image]],常量!J:N,5,FALSE),0),0)</f>
        <v>0</v>
      </c>
      <c r="E469" t="s">
        <v>2587</v>
      </c>
      <c r="F469">
        <v>6</v>
      </c>
      <c r="G469" s="1" t="s">
        <v>440</v>
      </c>
      <c r="H469" s="17" t="s">
        <v>3119</v>
      </c>
      <c r="I469" s="19"/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IF(表1[[#This Row],[不调整offset]]="x",IFERROR(VLOOKUP(表1[[#This Row],[8:image]],常量!J:N,4,FALSE),0),0)</f>
        <v>0</v>
      </c>
      <c r="C470">
        <f>IF(表1[[#This Row],[不调整offset]]="x",IFERROR(VLOOKUP(表1[[#This Row],[8:image]],常量!J:N,5,FALSE),0),0)</f>
        <v>0</v>
      </c>
      <c r="E470" t="s">
        <v>2587</v>
      </c>
      <c r="F470">
        <v>6</v>
      </c>
      <c r="G470" s="1" t="s">
        <v>441</v>
      </c>
      <c r="H470" s="17" t="s">
        <v>3120</v>
      </c>
      <c r="I470" s="19"/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IF(表1[[#This Row],[不调整offset]]="x",IFERROR(VLOOKUP(表1[[#This Row],[8:image]],常量!J:N,4,FALSE),0),0)</f>
        <v>0</v>
      </c>
      <c r="C471">
        <f>IF(表1[[#This Row],[不调整offset]]="x",IFERROR(VLOOKUP(表1[[#This Row],[8:image]],常量!J:N,5,FALSE),0),0)</f>
        <v>0</v>
      </c>
      <c r="E471" t="s">
        <v>2587</v>
      </c>
      <c r="F471">
        <v>6</v>
      </c>
      <c r="G471" s="1" t="s">
        <v>442</v>
      </c>
      <c r="H471" s="17" t="s">
        <v>3121</v>
      </c>
      <c r="I471" s="19"/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IF(表1[[#This Row],[不调整offset]]="x",IFERROR(VLOOKUP(表1[[#This Row],[8:image]],常量!J:N,4,FALSE),0),0)</f>
        <v>0</v>
      </c>
      <c r="C472">
        <f>IF(表1[[#This Row],[不调整offset]]="x",IFERROR(VLOOKUP(表1[[#This Row],[8:image]],常量!J:N,5,FALSE),0),0)</f>
        <v>0</v>
      </c>
      <c r="E472" t="s">
        <v>2587</v>
      </c>
      <c r="F472">
        <v>6</v>
      </c>
      <c r="G472" s="1" t="s">
        <v>443</v>
      </c>
      <c r="H472" s="17" t="s">
        <v>3122</v>
      </c>
      <c r="I472" s="19"/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IF(表1[[#This Row],[不调整offset]]="x",IFERROR(VLOOKUP(表1[[#This Row],[8:image]],常量!J:N,4,FALSE),0),0)</f>
        <v>0</v>
      </c>
      <c r="C473">
        <f>IF(表1[[#This Row],[不调整offset]]="x",IFERROR(VLOOKUP(表1[[#This Row],[8:image]],常量!J:N,5,FALSE),0),0)</f>
        <v>0</v>
      </c>
      <c r="E473" t="s">
        <v>2587</v>
      </c>
      <c r="F473">
        <v>6</v>
      </c>
      <c r="G473" s="1" t="s">
        <v>444</v>
      </c>
      <c r="H473" s="17" t="s">
        <v>3123</v>
      </c>
      <c r="I473" s="19"/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IF(表1[[#This Row],[不调整offset]]="x",IFERROR(VLOOKUP(表1[[#This Row],[8:image]],常量!J:N,4,FALSE),0),0)</f>
        <v>0</v>
      </c>
      <c r="C474">
        <f>IF(表1[[#This Row],[不调整offset]]="x",IFERROR(VLOOKUP(表1[[#This Row],[8:image]],常量!J:N,5,FALSE),0),0)</f>
        <v>0</v>
      </c>
      <c r="E474" t="s">
        <v>2587</v>
      </c>
      <c r="F474">
        <v>6</v>
      </c>
      <c r="G474" s="1" t="s">
        <v>445</v>
      </c>
      <c r="H474" s="17" t="s">
        <v>3124</v>
      </c>
      <c r="I474" s="19"/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IF(表1[[#This Row],[不调整offset]]="x",IFERROR(VLOOKUP(表1[[#This Row],[8:image]],常量!J:N,4,FALSE),0),0)</f>
        <v>0</v>
      </c>
      <c r="C475">
        <f>IF(表1[[#This Row],[不调整offset]]="x",IFERROR(VLOOKUP(表1[[#This Row],[8:image]],常量!J:N,5,FALSE),0),0)</f>
        <v>0</v>
      </c>
      <c r="E475" t="s">
        <v>2587</v>
      </c>
      <c r="F475">
        <v>6</v>
      </c>
      <c r="G475" s="1" t="s">
        <v>446</v>
      </c>
      <c r="H475" s="17" t="s">
        <v>3125</v>
      </c>
      <c r="I475" s="19"/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IF(表1[[#This Row],[不调整offset]]="x",IFERROR(VLOOKUP(表1[[#This Row],[8:image]],常量!J:N,4,FALSE),0),0)</f>
        <v>0</v>
      </c>
      <c r="C476">
        <f>IF(表1[[#This Row],[不调整offset]]="x",IFERROR(VLOOKUP(表1[[#This Row],[8:image]],常量!J:N,5,FALSE),0),0)</f>
        <v>0</v>
      </c>
      <c r="E476" t="s">
        <v>2587</v>
      </c>
      <c r="F476">
        <v>6</v>
      </c>
      <c r="G476" s="1" t="s">
        <v>447</v>
      </c>
      <c r="H476" s="17" t="s">
        <v>3126</v>
      </c>
      <c r="I476" s="19"/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IF(表1[[#This Row],[不调整offset]]="x",IFERROR(VLOOKUP(表1[[#This Row],[8:image]],常量!J:N,4,FALSE),0),0)</f>
        <v>0</v>
      </c>
      <c r="C477">
        <f>IF(表1[[#This Row],[不调整offset]]="x",IFERROR(VLOOKUP(表1[[#This Row],[8:image]],常量!J:N,5,FALSE),0),0)</f>
        <v>0</v>
      </c>
      <c r="E477" t="s">
        <v>2587</v>
      </c>
      <c r="F477">
        <v>6</v>
      </c>
      <c r="G477" s="1" t="s">
        <v>448</v>
      </c>
      <c r="H477" s="17" t="s">
        <v>3127</v>
      </c>
      <c r="I477" s="19"/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IF(表1[[#This Row],[不调整offset]]="x",IFERROR(VLOOKUP(表1[[#This Row],[8:image]],常量!J:N,4,FALSE),0),0)</f>
        <v>0</v>
      </c>
      <c r="C478">
        <f>IF(表1[[#This Row],[不调整offset]]="x",IFERROR(VLOOKUP(表1[[#This Row],[8:image]],常量!J:N,5,FALSE),0),0)</f>
        <v>0</v>
      </c>
      <c r="E478" t="s">
        <v>2587</v>
      </c>
      <c r="F478">
        <v>6</v>
      </c>
      <c r="G478" s="1" t="s">
        <v>449</v>
      </c>
      <c r="H478" s="17" t="s">
        <v>3128</v>
      </c>
      <c r="I478" s="19"/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IF(表1[[#This Row],[不调整offset]]="x",IFERROR(VLOOKUP(表1[[#This Row],[8:image]],常量!J:N,4,FALSE),0),0)</f>
        <v>0</v>
      </c>
      <c r="C479">
        <f>IF(表1[[#This Row],[不调整offset]]="x",IFERROR(VLOOKUP(表1[[#This Row],[8:image]],常量!J:N,5,FALSE),0),0)</f>
        <v>0</v>
      </c>
      <c r="E479" t="s">
        <v>2587</v>
      </c>
      <c r="F479">
        <v>6</v>
      </c>
      <c r="G479" s="1" t="s">
        <v>450</v>
      </c>
      <c r="H479" s="17" t="s">
        <v>3129</v>
      </c>
      <c r="I479" s="19"/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IF(表1[[#This Row],[不调整offset]]="x",IFERROR(VLOOKUP(表1[[#This Row],[8:image]],常量!J:N,4,FALSE),0),0)</f>
        <v>0</v>
      </c>
      <c r="C480">
        <f>IF(表1[[#This Row],[不调整offset]]="x",IFERROR(VLOOKUP(表1[[#This Row],[8:image]],常量!J:N,5,FALSE),0),0)</f>
        <v>0</v>
      </c>
      <c r="E480" t="s">
        <v>2587</v>
      </c>
      <c r="F480">
        <v>6</v>
      </c>
      <c r="G480" s="1" t="s">
        <v>451</v>
      </c>
      <c r="H480" s="17" t="s">
        <v>3130</v>
      </c>
      <c r="I480" s="19"/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IF(表1[[#This Row],[不调整offset]]="x",IFERROR(VLOOKUP(表1[[#This Row],[8:image]],常量!J:N,4,FALSE),0),0)</f>
        <v>0</v>
      </c>
      <c r="C481">
        <f>IF(表1[[#This Row],[不调整offset]]="x",IFERROR(VLOOKUP(表1[[#This Row],[8:image]],常量!J:N,5,FALSE),0),0)</f>
        <v>0</v>
      </c>
      <c r="E481" t="s">
        <v>2587</v>
      </c>
      <c r="F481">
        <v>6</v>
      </c>
      <c r="G481" s="1" t="s">
        <v>452</v>
      </c>
      <c r="H481" s="17" t="s">
        <v>3131</v>
      </c>
      <c r="I481" s="19"/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IF(表1[[#This Row],[不调整offset]]="x",IFERROR(VLOOKUP(表1[[#This Row],[8:image]],常量!J:N,4,FALSE),0),0)</f>
        <v>0</v>
      </c>
      <c r="C482">
        <f>IF(表1[[#This Row],[不调整offset]]="x",IFERROR(VLOOKUP(表1[[#This Row],[8:image]],常量!J:N,5,FALSE),0),0)</f>
        <v>0</v>
      </c>
      <c r="E482" t="s">
        <v>2587</v>
      </c>
      <c r="F482">
        <v>6</v>
      </c>
      <c r="G482" s="1" t="s">
        <v>453</v>
      </c>
      <c r="H482" s="17" t="s">
        <v>3132</v>
      </c>
      <c r="I482" s="19"/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IF(表1[[#This Row],[不调整offset]]="x",IFERROR(VLOOKUP(表1[[#This Row],[8:image]],常量!J:N,4,FALSE),0),0)</f>
        <v>0</v>
      </c>
      <c r="C483">
        <f>IF(表1[[#This Row],[不调整offset]]="x",IFERROR(VLOOKUP(表1[[#This Row],[8:image]],常量!J:N,5,FALSE),0),0)</f>
        <v>0</v>
      </c>
      <c r="E483" t="s">
        <v>2587</v>
      </c>
      <c r="F483">
        <v>6</v>
      </c>
      <c r="G483" s="1" t="s">
        <v>454</v>
      </c>
      <c r="H483" s="17" t="s">
        <v>3133</v>
      </c>
      <c r="I483" s="19"/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IF(表1[[#This Row],[不调整offset]]="x",IFERROR(VLOOKUP(表1[[#This Row],[8:image]],常量!J:N,4,FALSE),0),0)</f>
        <v>0</v>
      </c>
      <c r="C484">
        <f>IF(表1[[#This Row],[不调整offset]]="x",IFERROR(VLOOKUP(表1[[#This Row],[8:image]],常量!J:N,5,FALSE),0),0)</f>
        <v>0</v>
      </c>
      <c r="E484" t="s">
        <v>2587</v>
      </c>
      <c r="F484">
        <v>6</v>
      </c>
      <c r="G484" s="1" t="s">
        <v>455</v>
      </c>
      <c r="H484" s="17" t="s">
        <v>3134</v>
      </c>
      <c r="I484" s="19"/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IF(表1[[#This Row],[不调整offset]]="x",IFERROR(VLOOKUP(表1[[#This Row],[8:image]],常量!J:N,4,FALSE),0),0)</f>
        <v>0</v>
      </c>
      <c r="C485">
        <f>IF(表1[[#This Row],[不调整offset]]="x",IFERROR(VLOOKUP(表1[[#This Row],[8:image]],常量!J:N,5,FALSE),0),0)</f>
        <v>0</v>
      </c>
      <c r="E485" t="s">
        <v>2587</v>
      </c>
      <c r="F485">
        <v>6</v>
      </c>
      <c r="G485" s="1" t="s">
        <v>456</v>
      </c>
      <c r="H485" s="17" t="s">
        <v>3135</v>
      </c>
      <c r="I485" s="19"/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IF(表1[[#This Row],[不调整offset]]="x",IFERROR(VLOOKUP(表1[[#This Row],[8:image]],常量!J:N,4,FALSE),0),0)</f>
        <v>0</v>
      </c>
      <c r="C486">
        <f>IF(表1[[#This Row],[不调整offset]]="x",IFERROR(VLOOKUP(表1[[#This Row],[8:image]],常量!J:N,5,FALSE),0),0)</f>
        <v>0</v>
      </c>
      <c r="E486" t="s">
        <v>2587</v>
      </c>
      <c r="F486">
        <v>6</v>
      </c>
      <c r="G486" s="1" t="s">
        <v>457</v>
      </c>
      <c r="H486" s="17" t="s">
        <v>3136</v>
      </c>
      <c r="I486" s="19"/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IF(表1[[#This Row],[不调整offset]]="x",IFERROR(VLOOKUP(表1[[#This Row],[8:image]],常量!J:N,4,FALSE),0),0)</f>
        <v>0</v>
      </c>
      <c r="C487">
        <f>IF(表1[[#This Row],[不调整offset]]="x",IFERROR(VLOOKUP(表1[[#This Row],[8:image]],常量!J:N,5,FALSE),0),0)</f>
        <v>0</v>
      </c>
      <c r="E487" t="s">
        <v>2587</v>
      </c>
      <c r="F487">
        <v>6</v>
      </c>
      <c r="G487" s="1" t="s">
        <v>458</v>
      </c>
      <c r="H487" s="17" t="s">
        <v>3137</v>
      </c>
      <c r="I487" s="19"/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IF(表1[[#This Row],[不调整offset]]="x",IFERROR(VLOOKUP(表1[[#This Row],[8:image]],常量!J:N,4,FALSE),0),0)</f>
        <v>0</v>
      </c>
      <c r="C488">
        <f>IF(表1[[#This Row],[不调整offset]]="x",IFERROR(VLOOKUP(表1[[#This Row],[8:image]],常量!J:N,5,FALSE),0),0)</f>
        <v>0</v>
      </c>
      <c r="E488" t="s">
        <v>2587</v>
      </c>
      <c r="F488">
        <v>6</v>
      </c>
      <c r="G488" s="1" t="s">
        <v>459</v>
      </c>
      <c r="H488" s="17" t="s">
        <v>3138</v>
      </c>
      <c r="I488" s="19"/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IF(表1[[#This Row],[不调整offset]]="x",IFERROR(VLOOKUP(表1[[#This Row],[8:image]],常量!J:N,4,FALSE),0),0)</f>
        <v>0</v>
      </c>
      <c r="C489">
        <f>IF(表1[[#This Row],[不调整offset]]="x",IFERROR(VLOOKUP(表1[[#This Row],[8:image]],常量!J:N,5,FALSE),0),0)</f>
        <v>0</v>
      </c>
      <c r="E489" t="s">
        <v>2587</v>
      </c>
      <c r="F489">
        <v>6</v>
      </c>
      <c r="G489" s="1" t="s">
        <v>460</v>
      </c>
      <c r="H489" s="17" t="s">
        <v>3139</v>
      </c>
      <c r="I489" s="19"/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IF(表1[[#This Row],[不调整offset]]="x",IFERROR(VLOOKUP(表1[[#This Row],[8:image]],常量!J:N,4,FALSE),0),0)</f>
        <v>0</v>
      </c>
      <c r="C490">
        <f>IF(表1[[#This Row],[不调整offset]]="x",IFERROR(VLOOKUP(表1[[#This Row],[8:image]],常量!J:N,5,FALSE),0),0)</f>
        <v>0</v>
      </c>
      <c r="E490" t="s">
        <v>2587</v>
      </c>
      <c r="F490">
        <v>6</v>
      </c>
      <c r="G490" s="1" t="s">
        <v>461</v>
      </c>
      <c r="H490" s="17" t="s">
        <v>3140</v>
      </c>
      <c r="I490" s="19"/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IF(表1[[#This Row],[不调整offset]]="x",IFERROR(VLOOKUP(表1[[#This Row],[8:image]],常量!J:N,4,FALSE),0),0)</f>
        <v>0</v>
      </c>
      <c r="C491">
        <f>IF(表1[[#This Row],[不调整offset]]="x",IFERROR(VLOOKUP(表1[[#This Row],[8:image]],常量!J:N,5,FALSE),0),0)</f>
        <v>0</v>
      </c>
      <c r="E491" t="s">
        <v>2587</v>
      </c>
      <c r="F491">
        <v>6</v>
      </c>
      <c r="G491" s="1" t="s">
        <v>462</v>
      </c>
      <c r="H491" s="17" t="s">
        <v>3141</v>
      </c>
      <c r="I491" s="19"/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IF(表1[[#This Row],[不调整offset]]="x",IFERROR(VLOOKUP(表1[[#This Row],[8:image]],常量!J:N,4,FALSE),0),0)</f>
        <v>0</v>
      </c>
      <c r="C492">
        <f>IF(表1[[#This Row],[不调整offset]]="x",IFERROR(VLOOKUP(表1[[#This Row],[8:image]],常量!J:N,5,FALSE),0),0)</f>
        <v>0</v>
      </c>
      <c r="E492" t="s">
        <v>2587</v>
      </c>
      <c r="F492">
        <v>6</v>
      </c>
      <c r="G492" s="1" t="s">
        <v>463</v>
      </c>
      <c r="H492" s="17" t="s">
        <v>3142</v>
      </c>
      <c r="I492" s="19"/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IF(表1[[#This Row],[不调整offset]]="x",IFERROR(VLOOKUP(表1[[#This Row],[8:image]],常量!J:N,4,FALSE),0),0)</f>
        <v>0</v>
      </c>
      <c r="C493">
        <f>IF(表1[[#This Row],[不调整offset]]="x",IFERROR(VLOOKUP(表1[[#This Row],[8:image]],常量!J:N,5,FALSE),0),0)</f>
        <v>0</v>
      </c>
      <c r="E493" t="s">
        <v>2587</v>
      </c>
      <c r="F493">
        <v>6</v>
      </c>
      <c r="G493" s="1" t="s">
        <v>464</v>
      </c>
      <c r="H493" s="17" t="s">
        <v>3143</v>
      </c>
      <c r="I493" s="19"/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IF(表1[[#This Row],[不调整offset]]="x",IFERROR(VLOOKUP(表1[[#This Row],[8:image]],常量!J:N,4,FALSE),0),0)</f>
        <v>0</v>
      </c>
      <c r="C494">
        <f>IF(表1[[#This Row],[不调整offset]]="x",IFERROR(VLOOKUP(表1[[#This Row],[8:image]],常量!J:N,5,FALSE),0),0)</f>
        <v>0</v>
      </c>
      <c r="E494" t="s">
        <v>2587</v>
      </c>
      <c r="F494">
        <v>6</v>
      </c>
      <c r="G494" s="1" t="s">
        <v>465</v>
      </c>
      <c r="H494" s="17" t="s">
        <v>3144</v>
      </c>
      <c r="I494" s="19"/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IF(表1[[#This Row],[不调整offset]]="x",IFERROR(VLOOKUP(表1[[#This Row],[8:image]],常量!J:N,4,FALSE),0),0)</f>
        <v>0</v>
      </c>
      <c r="C495">
        <f>IF(表1[[#This Row],[不调整offset]]="x",IFERROR(VLOOKUP(表1[[#This Row],[8:image]],常量!J:N,5,FALSE),0),0)</f>
        <v>0</v>
      </c>
      <c r="E495" t="s">
        <v>2587</v>
      </c>
      <c r="F495">
        <v>6</v>
      </c>
      <c r="G495" s="1" t="s">
        <v>466</v>
      </c>
      <c r="H495" s="17" t="s">
        <v>3145</v>
      </c>
      <c r="I495" s="19"/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IF(表1[[#This Row],[不调整offset]]="x",IFERROR(VLOOKUP(表1[[#This Row],[8:image]],常量!J:N,4,FALSE),0),0)</f>
        <v>0</v>
      </c>
      <c r="C496">
        <f>IF(表1[[#This Row],[不调整offset]]="x",IFERROR(VLOOKUP(表1[[#This Row],[8:image]],常量!J:N,5,FALSE),0),0)</f>
        <v>0</v>
      </c>
      <c r="E496" t="s">
        <v>2587</v>
      </c>
      <c r="F496">
        <v>6</v>
      </c>
      <c r="G496" s="1" t="s">
        <v>467</v>
      </c>
      <c r="H496" s="17" t="s">
        <v>3146</v>
      </c>
      <c r="I496" s="19"/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IF(表1[[#This Row],[不调整offset]]="x",IFERROR(VLOOKUP(表1[[#This Row],[8:image]],常量!J:N,4,FALSE),0),0)</f>
        <v>0</v>
      </c>
      <c r="C497">
        <f>IF(表1[[#This Row],[不调整offset]]="x",IFERROR(VLOOKUP(表1[[#This Row],[8:image]],常量!J:N,5,FALSE),0),0)</f>
        <v>0</v>
      </c>
      <c r="E497" t="s">
        <v>2587</v>
      </c>
      <c r="F497">
        <v>6</v>
      </c>
      <c r="G497" s="1" t="s">
        <v>468</v>
      </c>
      <c r="H497" s="17" t="s">
        <v>3147</v>
      </c>
      <c r="I497" s="19"/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IF(表1[[#This Row],[不调整offset]]="x",IFERROR(VLOOKUP(表1[[#This Row],[8:image]],常量!J:N,4,FALSE),0),0)</f>
        <v>0</v>
      </c>
      <c r="C498">
        <f>IF(表1[[#This Row],[不调整offset]]="x",IFERROR(VLOOKUP(表1[[#This Row],[8:image]],常量!J:N,5,FALSE),0),0)</f>
        <v>0</v>
      </c>
      <c r="E498" t="s">
        <v>2587</v>
      </c>
      <c r="F498">
        <v>6</v>
      </c>
      <c r="G498" s="1" t="s">
        <v>469</v>
      </c>
      <c r="H498" s="17" t="s">
        <v>3148</v>
      </c>
      <c r="I498" s="19"/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P498" s="5"/>
    </row>
    <row r="499" spans="1:16" ht="14.25" customHeight="1">
      <c r="A499">
        <v>507</v>
      </c>
      <c r="B499">
        <f>IF(表1[[#This Row],[不调整offset]]="x",IFERROR(VLOOKUP(表1[[#This Row],[8:image]],常量!J:N,4,FALSE),0),0)</f>
        <v>0</v>
      </c>
      <c r="C499">
        <f>IF(表1[[#This Row],[不调整offset]]="x",IFERROR(VLOOKUP(表1[[#This Row],[8:image]],常量!J:N,5,FALSE),0),0)</f>
        <v>0</v>
      </c>
      <c r="E499" t="s">
        <v>2587</v>
      </c>
      <c r="F499">
        <v>6</v>
      </c>
      <c r="G499" s="1" t="s">
        <v>470</v>
      </c>
      <c r="H499" s="17" t="s">
        <v>3149</v>
      </c>
      <c r="I499" s="19"/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IF(表1[[#This Row],[不调整offset]]="x",IFERROR(VLOOKUP(表1[[#This Row],[8:image]],常量!J:N,4,FALSE),0),0)</f>
        <v>0</v>
      </c>
      <c r="C500">
        <f>IF(表1[[#This Row],[不调整offset]]="x",IFERROR(VLOOKUP(表1[[#This Row],[8:image]],常量!J:N,5,FALSE),0),0)</f>
        <v>0</v>
      </c>
      <c r="E500" t="s">
        <v>2587</v>
      </c>
      <c r="F500">
        <v>6</v>
      </c>
      <c r="G500" s="1" t="s">
        <v>471</v>
      </c>
      <c r="H500" s="17" t="s">
        <v>3150</v>
      </c>
      <c r="I500" s="19"/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IF(表1[[#This Row],[不调整offset]]="x",IFERROR(VLOOKUP(表1[[#This Row],[8:image]],常量!J:N,4,FALSE),0),0)</f>
        <v>0</v>
      </c>
      <c r="C501">
        <f>IF(表1[[#This Row],[不调整offset]]="x",IFERROR(VLOOKUP(表1[[#This Row],[8:image]],常量!J:N,5,FALSE),0),0)</f>
        <v>0</v>
      </c>
      <c r="E501" t="s">
        <v>2587</v>
      </c>
      <c r="F501">
        <v>6</v>
      </c>
      <c r="G501" s="1" t="s">
        <v>472</v>
      </c>
      <c r="H501" s="17" t="s">
        <v>3151</v>
      </c>
      <c r="I501" s="19"/>
      <c r="J501" t="str">
        <f>IF(LEN(VLOOKUP(表1[[#This Row],[id]],数据引用!A:C,3,FALSE))&gt;0,VLOOKUP(表1[[#This Row],[id]],数据引用!A:C,3,FALSE),"")</f>
        <v>+2防御，HEAVY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P501" s="5"/>
    </row>
    <row r="502" spans="1:16" ht="14.25" customHeight="1">
      <c r="A502">
        <v>510</v>
      </c>
      <c r="B502">
        <f>IF(表1[[#This Row],[不调整offset]]="x",IFERROR(VLOOKUP(表1[[#This Row],[8:image]],常量!J:N,4,FALSE),0),0)</f>
        <v>0</v>
      </c>
      <c r="C502">
        <f>IF(表1[[#This Row],[不调整offset]]="x",IFERROR(VLOOKUP(表1[[#This Row],[8:image]],常量!J:N,5,FALSE),0),0)</f>
        <v>0</v>
      </c>
      <c r="E502" t="s">
        <v>2587</v>
      </c>
      <c r="F502">
        <v>6</v>
      </c>
      <c r="G502" s="1" t="s">
        <v>473</v>
      </c>
      <c r="H502" s="17" t="s">
        <v>3152</v>
      </c>
      <c r="I502" s="19"/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IF(表1[[#This Row],[不调整offset]]="x",IFERROR(VLOOKUP(表1[[#This Row],[8:image]],常量!J:N,4,FALSE),0),0)</f>
        <v>0</v>
      </c>
      <c r="C503">
        <f>IF(表1[[#This Row],[不调整offset]]="x",IFERROR(VLOOKUP(表1[[#This Row],[8:image]],常量!J:N,5,FALSE),0),0)</f>
        <v>0</v>
      </c>
      <c r="E503" t="s">
        <v>2587</v>
      </c>
      <c r="F503">
        <v>6</v>
      </c>
      <c r="G503" s="1" t="s">
        <v>474</v>
      </c>
      <c r="H503" s="17" t="s">
        <v>3153</v>
      </c>
      <c r="I503" s="19"/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IF(表1[[#This Row],[不调整offset]]="x",IFERROR(VLOOKUP(表1[[#This Row],[8:image]],常量!J:N,4,FALSE),0),0)</f>
        <v>0</v>
      </c>
      <c r="C504">
        <f>IF(表1[[#This Row],[不调整offset]]="x",IFERROR(VLOOKUP(表1[[#This Row],[8:image]],常量!J:N,5,FALSE),0),0)</f>
        <v>0</v>
      </c>
      <c r="E504" t="s">
        <v>2587</v>
      </c>
      <c r="F504">
        <v>6</v>
      </c>
      <c r="G504" s="1" t="s">
        <v>475</v>
      </c>
      <c r="H504" s="17" t="s">
        <v>3154</v>
      </c>
      <c r="I504" s="19"/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P504" s="5"/>
    </row>
    <row r="505" spans="1:16" ht="14.25" customHeight="1">
      <c r="A505">
        <v>514</v>
      </c>
      <c r="B505">
        <f>IF(表1[[#This Row],[不调整offset]]="x",IFERROR(VLOOKUP(表1[[#This Row],[8:image]],常量!J:N,4,FALSE),0),0)</f>
        <v>0</v>
      </c>
      <c r="C505">
        <f>IF(表1[[#This Row],[不调整offset]]="x",IFERROR(VLOOKUP(表1[[#This Row],[8:image]],常量!J:N,5,FALSE),0),0)</f>
        <v>0</v>
      </c>
      <c r="E505" t="s">
        <v>2587</v>
      </c>
      <c r="F505">
        <v>6</v>
      </c>
      <c r="G505" s="1" t="s">
        <v>476</v>
      </c>
      <c r="H505" s="17" t="s">
        <v>3155</v>
      </c>
      <c r="I505" s="19"/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P505" s="5"/>
    </row>
    <row r="506" spans="1:16" ht="14.25" customHeight="1">
      <c r="A506">
        <v>515</v>
      </c>
      <c r="B506">
        <f>IF(表1[[#This Row],[不调整offset]]="x",IFERROR(VLOOKUP(表1[[#This Row],[8:image]],常量!J:N,4,FALSE),0),0)</f>
        <v>0</v>
      </c>
      <c r="C506">
        <f>IF(表1[[#This Row],[不调整offset]]="x",IFERROR(VLOOKUP(表1[[#This Row],[8:image]],常量!J:N,5,FALSE),0),0)</f>
        <v>0</v>
      </c>
      <c r="E506" t="s">
        <v>2587</v>
      </c>
      <c r="F506">
        <v>6</v>
      </c>
      <c r="G506" s="1" t="s">
        <v>477</v>
      </c>
      <c r="H506" s="17" t="s">
        <v>3156</v>
      </c>
      <c r="I506" s="19"/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P506" s="5"/>
    </row>
    <row r="507" spans="1:16" ht="14.25" customHeight="1">
      <c r="A507">
        <v>516</v>
      </c>
      <c r="B507">
        <f>IF(表1[[#This Row],[不调整offset]]="x",IFERROR(VLOOKUP(表1[[#This Row],[8:image]],常量!J:N,4,FALSE),0),0)</f>
        <v>0</v>
      </c>
      <c r="C507">
        <f>IF(表1[[#This Row],[不调整offset]]="x",IFERROR(VLOOKUP(表1[[#This Row],[8:image]],常量!J:N,5,FALSE),0),0)</f>
        <v>0</v>
      </c>
      <c r="E507" t="s">
        <v>2587</v>
      </c>
      <c r="F507">
        <v>6</v>
      </c>
      <c r="G507" s="1" t="s">
        <v>478</v>
      </c>
      <c r="H507" s="17" t="s">
        <v>3157</v>
      </c>
      <c r="I507" s="19"/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P507" s="5"/>
    </row>
    <row r="508" spans="1:16" ht="14.25" customHeight="1">
      <c r="A508">
        <v>517</v>
      </c>
      <c r="B508">
        <f>IF(表1[[#This Row],[不调整offset]]="x",IFERROR(VLOOKUP(表1[[#This Row],[8:image]],常量!J:N,4,FALSE),0),0)</f>
        <v>0</v>
      </c>
      <c r="C508">
        <f>IF(表1[[#This Row],[不调整offset]]="x",IFERROR(VLOOKUP(表1[[#This Row],[8:image]],常量!J:N,5,FALSE),0),0)</f>
        <v>0</v>
      </c>
      <c r="E508" t="s">
        <v>2587</v>
      </c>
      <c r="F508">
        <v>6</v>
      </c>
      <c r="G508" s="1" t="s">
        <v>479</v>
      </c>
      <c r="H508" s="17" t="s">
        <v>3158</v>
      </c>
      <c r="I508" s="19"/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customHeight="1">
      <c r="A509">
        <v>518</v>
      </c>
      <c r="B509">
        <f>IF(表1[[#This Row],[不调整offset]]="x",IFERROR(VLOOKUP(表1[[#This Row],[8:image]],常量!J:N,4,FALSE),0),0)</f>
        <v>0</v>
      </c>
      <c r="C509">
        <f>IF(表1[[#This Row],[不调整offset]]="x",IFERROR(VLOOKUP(表1[[#This Row],[8:image]],常量!J:N,5,FALSE),0),0)</f>
        <v>0</v>
      </c>
      <c r="E509" t="s">
        <v>2587</v>
      </c>
      <c r="F509">
        <v>6</v>
      </c>
      <c r="G509" s="1" t="s">
        <v>480</v>
      </c>
      <c r="H509" s="17" t="s">
        <v>3159</v>
      </c>
      <c r="I509" s="19"/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customHeight="1">
      <c r="A510">
        <v>519</v>
      </c>
      <c r="B510">
        <f>IF(表1[[#This Row],[不调整offset]]="x",IFERROR(VLOOKUP(表1[[#This Row],[8:image]],常量!J:N,4,FALSE),0),0)</f>
        <v>0</v>
      </c>
      <c r="C510">
        <f>IF(表1[[#This Row],[不调整offset]]="x",IFERROR(VLOOKUP(表1[[#This Row],[8:image]],常量!J:N,5,FALSE),0),0)</f>
        <v>0</v>
      </c>
      <c r="E510" t="s">
        <v>2587</v>
      </c>
      <c r="F510">
        <v>6</v>
      </c>
      <c r="G510" s="1" t="s">
        <v>481</v>
      </c>
      <c r="H510" s="17" t="s">
        <v>3160</v>
      </c>
      <c r="I510" s="19"/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P510" s="5"/>
    </row>
    <row r="511" spans="1:16" ht="14.25" customHeight="1">
      <c r="A511">
        <v>520</v>
      </c>
      <c r="B511">
        <f>IF(表1[[#This Row],[不调整offset]]="x",IFERROR(VLOOKUP(表1[[#This Row],[8:image]],常量!J:N,4,FALSE),0),0)</f>
        <v>0</v>
      </c>
      <c r="C511">
        <f>IF(表1[[#This Row],[不调整offset]]="x",IFERROR(VLOOKUP(表1[[#This Row],[8:image]],常量!J:N,5,FALSE),0),0)</f>
        <v>0</v>
      </c>
      <c r="E511" t="s">
        <v>2587</v>
      </c>
      <c r="F511">
        <v>6</v>
      </c>
      <c r="G511" s="1" t="s">
        <v>482</v>
      </c>
      <c r="H511" s="17" t="s">
        <v>3161</v>
      </c>
      <c r="I511" s="19"/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P511" s="5"/>
    </row>
    <row r="512" spans="1:16" ht="14.25" customHeight="1">
      <c r="A512">
        <v>521</v>
      </c>
      <c r="B512">
        <f>IF(表1[[#This Row],[不调整offset]]="x",IFERROR(VLOOKUP(表1[[#This Row],[8:image]],常量!J:N,4,FALSE),0),0)</f>
        <v>0</v>
      </c>
      <c r="C512">
        <f>IF(表1[[#This Row],[不调整offset]]="x",IFERROR(VLOOKUP(表1[[#This Row],[8:image]],常量!J:N,5,FALSE),0),0)</f>
        <v>0</v>
      </c>
      <c r="E512" t="s">
        <v>2587</v>
      </c>
      <c r="F512">
        <v>6</v>
      </c>
      <c r="G512" s="1" t="s">
        <v>483</v>
      </c>
      <c r="H512" s="17" t="s">
        <v>3162</v>
      </c>
      <c r="I512" s="19"/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P512" s="5"/>
    </row>
    <row r="513" spans="1:16" ht="14.25" customHeight="1">
      <c r="A513">
        <v>522</v>
      </c>
      <c r="B513">
        <f>IF(表1[[#This Row],[不调整offset]]="x",IFERROR(VLOOKUP(表1[[#This Row],[8:image]],常量!J:N,4,FALSE),0),0)</f>
        <v>0</v>
      </c>
      <c r="C513">
        <f>IF(表1[[#This Row],[不调整offset]]="x",IFERROR(VLOOKUP(表1[[#This Row],[8:image]],常量!J:N,5,FALSE),0),0)</f>
        <v>0</v>
      </c>
      <c r="E513" t="s">
        <v>2587</v>
      </c>
      <c r="F513">
        <v>6</v>
      </c>
      <c r="G513" s="1" t="s">
        <v>484</v>
      </c>
      <c r="H513" s="17" t="s">
        <v>3163</v>
      </c>
      <c r="I513" s="19"/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P513" s="5"/>
    </row>
    <row r="514" spans="1:16" ht="14.25" customHeight="1">
      <c r="A514">
        <v>523</v>
      </c>
      <c r="B514">
        <f>IF(表1[[#This Row],[不调整offset]]="x",IFERROR(VLOOKUP(表1[[#This Row],[8:image]],常量!J:N,4,FALSE),0),0)</f>
        <v>0</v>
      </c>
      <c r="C514">
        <f>IF(表1[[#This Row],[不调整offset]]="x",IFERROR(VLOOKUP(表1[[#This Row],[8:image]],常量!J:N,5,FALSE),0),0)</f>
        <v>0</v>
      </c>
      <c r="E514" t="s">
        <v>2587</v>
      </c>
      <c r="F514">
        <v>6</v>
      </c>
      <c r="G514" s="1" t="s">
        <v>485</v>
      </c>
      <c r="H514" s="17" t="s">
        <v>3164</v>
      </c>
      <c r="I514" s="19"/>
      <c r="J514" t="str">
        <f>IF(LEN(VLOOKUP(表1[[#This Row],[id]],数据引用!A:C,3,FALSE))&gt;0,VLOOKUP(表1[[#This Row],[id]],数据引用!A:C,3,FALSE),"")</f>
        <v>移动时造成伤害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font-size:12;"&gt;移动时造成伤害&lt;/text&gt;&lt;text transform="matrix(1 0 0 1 0 10.3205)" style="fill:#FFFFFF; font-family:'FZXS12--GB1-0'; font-size:12;"&gt;移动时造成伤害&lt;/text&gt;&lt;/svg&gt;</v>
      </c>
      <c r="P514" s="5"/>
    </row>
    <row r="515" spans="1:16" ht="14.25" customHeight="1">
      <c r="A515">
        <v>524</v>
      </c>
      <c r="B515">
        <f>IF(表1[[#This Row],[不调整offset]]="x",IFERROR(VLOOKUP(表1[[#This Row],[8:image]],常量!J:N,4,FALSE),0),0)</f>
        <v>0</v>
      </c>
      <c r="C515">
        <f>IF(表1[[#This Row],[不调整offset]]="x",IFERROR(VLOOKUP(表1[[#This Row],[8:image]],常量!J:N,5,FALSE),0),0)</f>
        <v>0</v>
      </c>
      <c r="E515" t="s">
        <v>2587</v>
      </c>
      <c r="F515">
        <v>6</v>
      </c>
      <c r="G515" s="1" t="s">
        <v>486</v>
      </c>
      <c r="H515" s="17" t="s">
        <v>3165</v>
      </c>
      <c r="I515" s="19"/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P515" s="5"/>
    </row>
    <row r="516" spans="1:16" ht="14.25" customHeight="1">
      <c r="A516">
        <v>525</v>
      </c>
      <c r="B516">
        <f>IF(表1[[#This Row],[不调整offset]]="x",IFERROR(VLOOKUP(表1[[#This Row],[8:image]],常量!J:N,4,FALSE),0),0)</f>
        <v>0</v>
      </c>
      <c r="C516">
        <f>IF(表1[[#This Row],[不调整offset]]="x",IFERROR(VLOOKUP(表1[[#This Row],[8:image]],常量!J:N,5,FALSE),0),0)</f>
        <v>0</v>
      </c>
      <c r="E516" t="s">
        <v>2587</v>
      </c>
      <c r="F516">
        <v>6</v>
      </c>
      <c r="G516" s="1" t="s">
        <v>487</v>
      </c>
      <c r="H516" s="17" t="s">
        <v>3166</v>
      </c>
      <c r="I516" s="19"/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P516" s="5"/>
    </row>
    <row r="517" spans="1:16" ht="14.25" customHeight="1">
      <c r="A517">
        <v>526</v>
      </c>
      <c r="B517">
        <f>IF(表1[[#This Row],[不调整offset]]="x",IFERROR(VLOOKUP(表1[[#This Row],[8:image]],常量!J:N,4,FALSE),0),0)</f>
        <v>0</v>
      </c>
      <c r="C517">
        <f>IF(表1[[#This Row],[不调整offset]]="x",IFERROR(VLOOKUP(表1[[#This Row],[8:image]],常量!J:N,5,FALSE),0),0)</f>
        <v>0</v>
      </c>
      <c r="E517" t="s">
        <v>2587</v>
      </c>
      <c r="F517">
        <v>6</v>
      </c>
      <c r="G517" s="1" t="s">
        <v>488</v>
      </c>
      <c r="H517" s="17" t="s">
        <v>3167</v>
      </c>
      <c r="I517" s="19"/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P517" s="5"/>
    </row>
    <row r="518" spans="1:16" ht="14.25" customHeight="1">
      <c r="A518">
        <v>527</v>
      </c>
      <c r="B518">
        <f>IF(表1[[#This Row],[不调整offset]]="x",IFERROR(VLOOKUP(表1[[#This Row],[8:image]],常量!J:N,4,FALSE),0),0)</f>
        <v>0</v>
      </c>
      <c r="C518">
        <f>IF(表1[[#This Row],[不调整offset]]="x",IFERROR(VLOOKUP(表1[[#This Row],[8:image]],常量!J:N,5,FALSE),0),0)</f>
        <v>0</v>
      </c>
      <c r="E518" t="s">
        <v>2587</v>
      </c>
      <c r="F518">
        <v>6</v>
      </c>
      <c r="G518" s="1" t="s">
        <v>489</v>
      </c>
      <c r="H518" s="17" t="s">
        <v>3168</v>
      </c>
      <c r="I518" s="19"/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P518" s="5"/>
    </row>
    <row r="519" spans="1:16" ht="14.25" customHeight="1">
      <c r="A519">
        <v>528</v>
      </c>
      <c r="B519">
        <f>IF(表1[[#This Row],[不调整offset]]="x",IFERROR(VLOOKUP(表1[[#This Row],[8:image]],常量!J:N,4,FALSE),0),0)</f>
        <v>0</v>
      </c>
      <c r="C519">
        <f>IF(表1[[#This Row],[不调整offset]]="x",IFERROR(VLOOKUP(表1[[#This Row],[8:image]],常量!J:N,5,FALSE),0),0)</f>
        <v>0</v>
      </c>
      <c r="E519" t="s">
        <v>2587</v>
      </c>
      <c r="F519">
        <v>6</v>
      </c>
      <c r="G519" s="1" t="s">
        <v>490</v>
      </c>
      <c r="H519" s="17" t="s">
        <v>3169</v>
      </c>
      <c r="I519" s="19"/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P519" s="5"/>
    </row>
    <row r="520" spans="1:16" ht="14.25" customHeight="1">
      <c r="A520">
        <v>529</v>
      </c>
      <c r="B520">
        <f>IF(表1[[#This Row],[不调整offset]]="x",IFERROR(VLOOKUP(表1[[#This Row],[8:image]],常量!J:N,4,FALSE),0),0)</f>
        <v>0</v>
      </c>
      <c r="C520">
        <f>IF(表1[[#This Row],[不调整offset]]="x",IFERROR(VLOOKUP(表1[[#This Row],[8:image]],常量!J:N,5,FALSE),0),0)</f>
        <v>0</v>
      </c>
      <c r="E520" t="s">
        <v>2587</v>
      </c>
      <c r="F520">
        <v>6</v>
      </c>
      <c r="G520" s="1" t="s">
        <v>491</v>
      </c>
      <c r="H520" s="17" t="s">
        <v>3170</v>
      </c>
      <c r="I520" s="19"/>
      <c r="J520" t="str">
        <f>IF(LEN(VLOOKUP(表1[[#This Row],[id]],数据引用!A:C,3,FALSE))&gt;0,VLOOKUP(表1[[#This Row],[id]],数据引用!A:C,3,FALSE),"")</f>
        <v>利用周围的敌人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font-size:12;"&gt;利用周围的敌人&lt;/text&gt;&lt;text transform="matrix(1 0 0 1 0 10.3205)" style="fill:#FFFFFF; font-family:'FZXS12--GB1-0'; font-size:12;"&gt;利用周围的敌人&lt;/text&gt;&lt;/svg&gt;</v>
      </c>
      <c r="P520" s="5"/>
    </row>
    <row r="521" spans="1:16" ht="14.25" customHeight="1">
      <c r="A521">
        <v>530</v>
      </c>
      <c r="B521">
        <f>IF(表1[[#This Row],[不调整offset]]="x",IFERROR(VLOOKUP(表1[[#This Row],[8:image]],常量!J:N,4,FALSE),0),0)</f>
        <v>0</v>
      </c>
      <c r="C521">
        <f>IF(表1[[#This Row],[不调整offset]]="x",IFERROR(VLOOKUP(表1[[#This Row],[8:image]],常量!J:N,5,FALSE),0),0)</f>
        <v>0</v>
      </c>
      <c r="E521" t="s">
        <v>2587</v>
      </c>
      <c r="F521">
        <v>6</v>
      </c>
      <c r="G521" s="1" t="s">
        <v>266</v>
      </c>
      <c r="H521" s="17" t="s">
        <v>3171</v>
      </c>
      <c r="I521" s="19"/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IF(表1[[#This Row],[不调整offset]]="x",IFERROR(VLOOKUP(表1[[#This Row],[8:image]],常量!J:N,4,FALSE),0),0)</f>
        <v>0</v>
      </c>
      <c r="C522">
        <f>IF(表1[[#This Row],[不调整offset]]="x",IFERROR(VLOOKUP(表1[[#This Row],[8:image]],常量!J:N,5,FALSE),0),0)</f>
        <v>0</v>
      </c>
      <c r="E522" t="s">
        <v>2587</v>
      </c>
      <c r="F522">
        <v>6</v>
      </c>
      <c r="G522" s="1" t="s">
        <v>492</v>
      </c>
      <c r="H522" s="17" t="s">
        <v>3172</v>
      </c>
      <c r="I522" s="19"/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P522" s="5"/>
    </row>
    <row r="523" spans="1:16" ht="14.25" customHeight="1">
      <c r="A523">
        <v>532</v>
      </c>
      <c r="B523">
        <f>IF(表1[[#This Row],[不调整offset]]="x",IFERROR(VLOOKUP(表1[[#This Row],[8:image]],常量!J:N,4,FALSE),0),0)</f>
        <v>0</v>
      </c>
      <c r="C523">
        <f>IF(表1[[#This Row],[不调整offset]]="x",IFERROR(VLOOKUP(表1[[#This Row],[8:image]],常量!J:N,5,FALSE),0),0)</f>
        <v>0</v>
      </c>
      <c r="E523" t="s">
        <v>2587</v>
      </c>
      <c r="F523">
        <v>6</v>
      </c>
      <c r="G523" s="1" t="s">
        <v>493</v>
      </c>
      <c r="H523" s="17" t="s">
        <v>3173</v>
      </c>
      <c r="I523" s="19"/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P523" s="5"/>
    </row>
    <row r="524" spans="1:16" ht="14.25" customHeight="1">
      <c r="A524">
        <v>533</v>
      </c>
      <c r="B524">
        <f>IF(表1[[#This Row],[不调整offset]]="x",IFERROR(VLOOKUP(表1[[#This Row],[8:image]],常量!J:N,4,FALSE),0),0)</f>
        <v>0</v>
      </c>
      <c r="C524">
        <f>IF(表1[[#This Row],[不调整offset]]="x",IFERROR(VLOOKUP(表1[[#This Row],[8:image]],常量!J:N,5,FALSE),0),0)</f>
        <v>0</v>
      </c>
      <c r="E524" t="s">
        <v>2587</v>
      </c>
      <c r="F524">
        <v>6</v>
      </c>
      <c r="G524" s="1" t="s">
        <v>494</v>
      </c>
      <c r="H524" s="17" t="s">
        <v>3174</v>
      </c>
      <c r="I524" s="19"/>
      <c r="J524" t="str">
        <f>IF(LEN(VLOOKUP(表1[[#This Row],[id]],数据引用!A:C,3,FALSE))&gt;0,VLOOKUP(表1[[#This Row],[id]],数据引用!A:C,3,FALSE),"")</f>
        <v>起搏器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P524" s="5"/>
    </row>
    <row r="525" spans="1:16" ht="14.25" customHeight="1">
      <c r="A525">
        <v>534</v>
      </c>
      <c r="B525">
        <f>IF(表1[[#This Row],[不调整offset]]="x",IFERROR(VLOOKUP(表1[[#This Row],[8:image]],常量!J:N,4,FALSE),0),0)</f>
        <v>0</v>
      </c>
      <c r="C525">
        <f>IF(表1[[#This Row],[不调整offset]]="x",IFERROR(VLOOKUP(表1[[#This Row],[8:image]],常量!J:N,5,FALSE),0),0)</f>
        <v>0</v>
      </c>
      <c r="E525" t="s">
        <v>2587</v>
      </c>
      <c r="F525">
        <v>6</v>
      </c>
      <c r="G525" s="1" t="s">
        <v>495</v>
      </c>
      <c r="H525" s="17" t="s">
        <v>3175</v>
      </c>
      <c r="I525" s="19"/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customHeight="1">
      <c r="A526">
        <v>535</v>
      </c>
      <c r="B526">
        <f>IF(表1[[#This Row],[不调整offset]]="x",IFERROR(VLOOKUP(表1[[#This Row],[8:image]],常量!J:N,4,FALSE),0),0)</f>
        <v>0</v>
      </c>
      <c r="C526">
        <f>IF(表1[[#This Row],[不调整offset]]="x",IFERROR(VLOOKUP(表1[[#This Row],[8:image]],常量!J:N,5,FALSE),0),0)</f>
        <v>0</v>
      </c>
      <c r="E526" t="s">
        <v>2587</v>
      </c>
      <c r="F526">
        <v>6</v>
      </c>
      <c r="G526" s="1" t="s">
        <v>496</v>
      </c>
      <c r="H526" s="17" t="s">
        <v>3176</v>
      </c>
      <c r="I526" s="19"/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P526" s="5"/>
    </row>
    <row r="527" spans="1:16" ht="14.25" customHeight="1">
      <c r="A527">
        <v>536</v>
      </c>
      <c r="B527">
        <f>IF(表1[[#This Row],[不调整offset]]="x",IFERROR(VLOOKUP(表1[[#This Row],[8:image]],常量!J:N,4,FALSE),0),0)</f>
        <v>0</v>
      </c>
      <c r="C527">
        <f>IF(表1[[#This Row],[不调整offset]]="x",IFERROR(VLOOKUP(表1[[#This Row],[8:image]],常量!J:N,5,FALSE),0),0)</f>
        <v>0</v>
      </c>
      <c r="E527" t="s">
        <v>2587</v>
      </c>
      <c r="F527">
        <v>6</v>
      </c>
      <c r="G527" s="1" t="s">
        <v>497</v>
      </c>
      <c r="H527" s="17" t="s">
        <v>3177</v>
      </c>
      <c r="I527" s="19"/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P527" s="5"/>
    </row>
    <row r="528" spans="1:16" ht="14.25" customHeight="1">
      <c r="A528">
        <v>537</v>
      </c>
      <c r="B528">
        <f>IF(表1[[#This Row],[不调整offset]]="x",IFERROR(VLOOKUP(表1[[#This Row],[8:image]],常量!J:N,4,FALSE),0),0)</f>
        <v>0</v>
      </c>
      <c r="C528">
        <f>IF(表1[[#This Row],[不调整offset]]="x",IFERROR(VLOOKUP(表1[[#This Row],[8:image]],常量!J:N,5,FALSE),0),0)</f>
        <v>0</v>
      </c>
      <c r="E528" t="s">
        <v>2587</v>
      </c>
      <c r="F528">
        <v>6</v>
      </c>
      <c r="G528" s="1" t="s">
        <v>498</v>
      </c>
      <c r="H528" s="17" t="s">
        <v>3178</v>
      </c>
      <c r="I528" s="19"/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P528" s="5"/>
    </row>
    <row r="529" spans="1:16" ht="14.25" customHeight="1">
      <c r="A529">
        <v>538</v>
      </c>
      <c r="B529">
        <f>IF(表1[[#This Row],[不调整offset]]="x",IFERROR(VLOOKUP(表1[[#This Row],[8:image]],常量!J:N,4,FALSE),0),0)</f>
        <v>0</v>
      </c>
      <c r="C529">
        <f>IF(表1[[#This Row],[不调整offset]]="x",IFERROR(VLOOKUP(表1[[#This Row],[8:image]],常量!J:N,5,FALSE),0),0)</f>
        <v>0</v>
      </c>
      <c r="E529" t="s">
        <v>2587</v>
      </c>
      <c r="F529">
        <v>6</v>
      </c>
      <c r="G529" s="1" t="s">
        <v>499</v>
      </c>
      <c r="H529" s="17" t="s">
        <v>3179</v>
      </c>
      <c r="I529" s="19"/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P529" s="5"/>
    </row>
    <row r="530" spans="1:16" ht="14.25" customHeight="1">
      <c r="A530">
        <v>539</v>
      </c>
      <c r="B530">
        <f>IF(表1[[#This Row],[不调整offset]]="x",IFERROR(VLOOKUP(表1[[#This Row],[8:image]],常量!J:N,4,FALSE),0),0)</f>
        <v>0</v>
      </c>
      <c r="C530">
        <f>IF(表1[[#This Row],[不调整offset]]="x",IFERROR(VLOOKUP(表1[[#This Row],[8:image]],常量!J:N,5,FALSE),0),0)</f>
        <v>0</v>
      </c>
      <c r="E530" t="s">
        <v>2587</v>
      </c>
      <c r="F530">
        <v>6</v>
      </c>
      <c r="G530" s="1" t="s">
        <v>500</v>
      </c>
      <c r="H530" s="17" t="s">
        <v>3180</v>
      </c>
      <c r="I530" s="19"/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P530" s="5"/>
    </row>
    <row r="531" spans="1:16" ht="14.25" customHeight="1">
      <c r="A531">
        <v>540</v>
      </c>
      <c r="B531">
        <f>IF(表1[[#This Row],[不调整offset]]="x",IFERROR(VLOOKUP(表1[[#This Row],[8:image]],常量!J:N,4,FALSE),0),0)</f>
        <v>0</v>
      </c>
      <c r="C531">
        <f>IF(表1[[#This Row],[不调整offset]]="x",IFERROR(VLOOKUP(表1[[#This Row],[8:image]],常量!J:N,5,FALSE),0),0)</f>
        <v>0</v>
      </c>
      <c r="E531" t="s">
        <v>2587</v>
      </c>
      <c r="F531">
        <v>6</v>
      </c>
      <c r="G531" s="1" t="s">
        <v>501</v>
      </c>
      <c r="H531" s="17" t="s">
        <v>3181</v>
      </c>
      <c r="I531" s="19"/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customHeight="1">
      <c r="A532">
        <v>541</v>
      </c>
      <c r="B532">
        <f>IF(表1[[#This Row],[不调整offset]]="x",IFERROR(VLOOKUP(表1[[#This Row],[8:image]],常量!J:N,4,FALSE),0),0)</f>
        <v>0</v>
      </c>
      <c r="C532">
        <f>IF(表1[[#This Row],[不调整offset]]="x",IFERROR(VLOOKUP(表1[[#This Row],[8:image]],常量!J:N,5,FALSE),0),0)</f>
        <v>0</v>
      </c>
      <c r="E532" t="s">
        <v>2587</v>
      </c>
      <c r="F532">
        <v>6</v>
      </c>
      <c r="G532" s="1" t="s">
        <v>502</v>
      </c>
      <c r="H532" s="17" t="s">
        <v>3182</v>
      </c>
      <c r="I532" s="19"/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P532" s="5"/>
    </row>
    <row r="533" spans="1:16" ht="14.25" customHeight="1">
      <c r="A533">
        <v>542</v>
      </c>
      <c r="B533">
        <f>IF(表1[[#This Row],[不调整offset]]="x",IFERROR(VLOOKUP(表1[[#This Row],[8:image]],常量!J:N,4,FALSE),0),0)</f>
        <v>0</v>
      </c>
      <c r="C533">
        <f>IF(表1[[#This Row],[不调整offset]]="x",IFERROR(VLOOKUP(表1[[#This Row],[8:image]],常量!J:N,5,FALSE),0),0)</f>
        <v>0</v>
      </c>
      <c r="E533" t="s">
        <v>2587</v>
      </c>
      <c r="F533">
        <v>6</v>
      </c>
      <c r="G533" s="1" t="s">
        <v>503</v>
      </c>
      <c r="H533" s="17" t="s">
        <v>3183</v>
      </c>
      <c r="I533" s="19"/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P533" s="5"/>
    </row>
    <row r="534" spans="1:16" ht="14.25" customHeight="1">
      <c r="A534">
        <v>543</v>
      </c>
      <c r="B534">
        <f>IF(表1[[#This Row],[不调整offset]]="x",IFERROR(VLOOKUP(表1[[#This Row],[8:image]],常量!J:N,4,FALSE),0),0)</f>
        <v>0</v>
      </c>
      <c r="C534">
        <f>IF(表1[[#This Row],[不调整offset]]="x",IFERROR(VLOOKUP(表1[[#This Row],[8:image]],常量!J:N,5,FALSE),0),0)</f>
        <v>0</v>
      </c>
      <c r="E534" t="s">
        <v>2587</v>
      </c>
      <c r="F534">
        <v>6</v>
      </c>
      <c r="G534" s="1" t="s">
        <v>504</v>
      </c>
      <c r="H534" s="17" t="s">
        <v>3184</v>
      </c>
      <c r="I534" s="19"/>
      <c r="J534" t="str">
        <f>IF(LEN(VLOOKUP(表1[[#This Row],[id]],数据引用!A:C,3,FALSE))&gt;0,VLOOKUP(表1[[#This Row],[id]],数据引用!A:C,3,FALSE),"")</f>
        <v>+1 伤害，视野变异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伤害，视野变异&lt;/text&gt;&lt;text transform="matrix(1 0 0 1 0 10.3205)" style="fill:#FFFFFF; font-family:'FZXS12--GB1-0'; font-size:12;"&gt;+1 伤害，视野变异&lt;/text&gt;&lt;/svg&gt;</v>
      </c>
      <c r="P534" s="5"/>
    </row>
    <row r="535" spans="1:16" ht="14.25" customHeight="1">
      <c r="A535">
        <v>544</v>
      </c>
      <c r="B535">
        <f>IF(表1[[#This Row],[不调整offset]]="x",IFERROR(VLOOKUP(表1[[#This Row],[8:image]],常量!J:N,4,FALSE),0),0)</f>
        <v>0</v>
      </c>
      <c r="C535">
        <f>IF(表1[[#This Row],[不调整offset]]="x",IFERROR(VLOOKUP(表1[[#This Row],[8:image]],常量!J:N,5,FALSE),0),0)</f>
        <v>0</v>
      </c>
      <c r="E535" t="s">
        <v>2587</v>
      </c>
      <c r="F535">
        <v>6</v>
      </c>
      <c r="G535" s="1" t="s">
        <v>505</v>
      </c>
      <c r="H535" s="17" t="s">
        <v>3185</v>
      </c>
      <c r="I535" s="19"/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P535" s="5"/>
    </row>
    <row r="536" spans="1:16" ht="14.25" customHeight="1">
      <c r="A536">
        <v>545</v>
      </c>
      <c r="B536">
        <f>IF(表1[[#This Row],[不调整offset]]="x",IFERROR(VLOOKUP(表1[[#This Row],[8:image]],常量!J:N,4,FALSE),0),0)</f>
        <v>0</v>
      </c>
      <c r="C536">
        <f>IF(表1[[#This Row],[不调整offset]]="x",IFERROR(VLOOKUP(表1[[#This Row],[8:image]],常量!J:N,5,FALSE),0),0)</f>
        <v>0</v>
      </c>
      <c r="E536" t="s">
        <v>2587</v>
      </c>
      <c r="F536">
        <v>6</v>
      </c>
      <c r="G536" s="1" t="s">
        <v>506</v>
      </c>
      <c r="H536" s="17" t="s">
        <v>3186</v>
      </c>
      <c r="I536" s="19"/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P536" s="5"/>
    </row>
    <row r="537" spans="1:16" ht="14.25" customHeight="1">
      <c r="A537">
        <v>546</v>
      </c>
      <c r="B537">
        <f>IF(表1[[#This Row],[不调整offset]]="x",IFERROR(VLOOKUP(表1[[#This Row],[8:image]],常量!J:N,4,FALSE),0),0)</f>
        <v>0</v>
      </c>
      <c r="C537">
        <f>IF(表1[[#This Row],[不调整offset]]="x",IFERROR(VLOOKUP(表1[[#This Row],[8:image]],常量!J:N,5,FALSE),0),0)</f>
        <v>0</v>
      </c>
      <c r="E537" t="s">
        <v>2587</v>
      </c>
      <c r="F537">
        <v>6</v>
      </c>
      <c r="G537" s="1" t="s">
        <v>507</v>
      </c>
      <c r="H537" s="17" t="s">
        <v>3187</v>
      </c>
      <c r="I537" s="19"/>
      <c r="J537" t="str">
        <f>IF(LEN(VLOOKUP(表1[[#This Row],[id]],数据引用!A:C,3,FALSE))&gt;0,VLOOKUP(表1[[#This Row],[id]],数据引用!A:C,3,FALSE),"")</f>
        <v>四次元背包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P537" s="5"/>
    </row>
    <row r="538" spans="1:16" ht="14.25" customHeight="1">
      <c r="A538">
        <v>547</v>
      </c>
      <c r="B538">
        <f>IF(表1[[#This Row],[不调整offset]]="x",IFERROR(VLOOKUP(表1[[#This Row],[8:image]],常量!J:N,4,FALSE),0),0)</f>
        <v>0</v>
      </c>
      <c r="C538">
        <f>IF(表1[[#This Row],[不调整offset]]="x",IFERROR(VLOOKUP(表1[[#This Row],[8:image]],常量!J:N,5,FALSE),0),0)</f>
        <v>0</v>
      </c>
      <c r="E538" t="s">
        <v>2587</v>
      </c>
      <c r="F538">
        <v>6</v>
      </c>
      <c r="G538" s="1" t="s">
        <v>508</v>
      </c>
      <c r="H538" s="17" t="s">
        <v>3188</v>
      </c>
      <c r="I538" s="19"/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P538" s="5"/>
    </row>
    <row r="539" spans="1:16" ht="14.25" customHeight="1">
      <c r="A539">
        <v>548</v>
      </c>
      <c r="B539">
        <f>IF(表1[[#This Row],[不调整offset]]="x",IFERROR(VLOOKUP(表1[[#This Row],[8:image]],常量!J:N,4,FALSE),0),0)</f>
        <v>0</v>
      </c>
      <c r="C539">
        <f>IF(表1[[#This Row],[不调整offset]]="x",IFERROR(VLOOKUP(表1[[#This Row],[8:image]],常量!J:N,5,FALSE),0),0)</f>
        <v>0</v>
      </c>
      <c r="E539" t="s">
        <v>2587</v>
      </c>
      <c r="F539">
        <v>6</v>
      </c>
      <c r="G539" s="1" t="s">
        <v>509</v>
      </c>
      <c r="H539" s="17" t="s">
        <v>3189</v>
      </c>
      <c r="I539" s="19"/>
      <c r="J539" t="str">
        <f>IF(LEN(VLOOKUP(表1[[#This Row],[id]],数据引用!A:C,3,FALSE))&gt;0,VLOOKUP(表1[[#This Row],[id]],数据引用!A:C,3,FALSE),"")</f>
        <v>疯狂购物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font-size:12;"&gt;疯狂购物&lt;/text&gt;&lt;text transform="matrix(1 0 0 1 0 10.3205)" style="fill:#FFFFFF; font-family:'FZXS12--GB1-0'; font-size:12;"&gt;疯狂购物&lt;/text&gt;&lt;/svg&gt;</v>
      </c>
      <c r="P539" s="5"/>
    </row>
    <row r="540" spans="1:16" ht="14.25" customHeight="1">
      <c r="A540">
        <v>549</v>
      </c>
      <c r="B540">
        <f>IF(表1[[#This Row],[不调整offset]]="x",IFERROR(VLOOKUP(表1[[#This Row],[8:image]],常量!J:N,4,FALSE),0),0)</f>
        <v>0</v>
      </c>
      <c r="C540">
        <f>IF(表1[[#This Row],[不调整offset]]="x",IFERROR(VLOOKUP(表1[[#This Row],[8:image]],常量!J:N,5,FALSE),0),0)</f>
        <v>0</v>
      </c>
      <c r="E540" t="s">
        <v>2587</v>
      </c>
      <c r="F540">
        <v>6</v>
      </c>
      <c r="G540" s="1" t="s">
        <v>510</v>
      </c>
      <c r="H540" s="17" t="s">
        <v>3190</v>
      </c>
      <c r="I540" s="19"/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customHeight="1">
      <c r="A541">
        <v>550</v>
      </c>
      <c r="B541">
        <f>IF(表1[[#This Row],[不调整offset]]="x",IFERROR(VLOOKUP(表1[[#This Row],[8:image]],常量!J:N,4,FALSE),0),0)</f>
        <v>0</v>
      </c>
      <c r="C541">
        <f>IF(表1[[#This Row],[不调整offset]]="x",IFERROR(VLOOKUP(表1[[#This Row],[8:image]],常量!J:N,5,FALSE),0),0)</f>
        <v>0</v>
      </c>
      <c r="E541" t="s">
        <v>2587</v>
      </c>
      <c r="F541">
        <v>6</v>
      </c>
      <c r="G541" s="1" t="s">
        <v>511</v>
      </c>
      <c r="H541" s="17" t="s">
        <v>3191</v>
      </c>
      <c r="I541" s="19"/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customHeight="1">
      <c r="A542">
        <v>551</v>
      </c>
      <c r="B542">
        <f>IF(表1[[#This Row],[不调整offset]]="x",IFERROR(VLOOKUP(表1[[#This Row],[8:image]],常量!J:N,4,FALSE),0),0)</f>
        <v>0</v>
      </c>
      <c r="C542">
        <f>IF(表1[[#This Row],[不调整offset]]="x",IFERROR(VLOOKUP(表1[[#This Row],[8:image]],常量!J:N,5,FALSE),0),0)</f>
        <v>0</v>
      </c>
      <c r="E542" t="s">
        <v>2587</v>
      </c>
      <c r="F542">
        <v>6</v>
      </c>
      <c r="G542" s="1" t="s">
        <v>512</v>
      </c>
      <c r="H542" s="17" t="s">
        <v>3192</v>
      </c>
      <c r="I542" s="19"/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customHeight="1">
      <c r="A543">
        <v>552</v>
      </c>
      <c r="B543">
        <f>IF(表1[[#This Row],[不调整offset]]="x",IFERROR(VLOOKUP(表1[[#This Row],[8:image]],常量!J:N,4,FALSE),0),0)</f>
        <v>0</v>
      </c>
      <c r="C543">
        <f>IF(表1[[#This Row],[不调整offset]]="x",IFERROR(VLOOKUP(表1[[#This Row],[8:image]],常量!J:N,5,FALSE),0),0)</f>
        <v>0</v>
      </c>
      <c r="E543" t="s">
        <v>2587</v>
      </c>
      <c r="F543">
        <v>6</v>
      </c>
      <c r="G543" s="1" t="s">
        <v>513</v>
      </c>
      <c r="H543" s="17" t="s">
        <v>3193</v>
      </c>
      <c r="I543" s="19"/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P543" s="5"/>
    </row>
    <row r="544" spans="1:16" ht="14.25" customHeight="1">
      <c r="A544">
        <v>553</v>
      </c>
      <c r="B544">
        <f>IF(表1[[#This Row],[不调整offset]]="x",IFERROR(VLOOKUP(表1[[#This Row],[8:image]],常量!J:N,4,FALSE),0),0)</f>
        <v>0</v>
      </c>
      <c r="C544">
        <f>IF(表1[[#This Row],[不调整offset]]="x",IFERROR(VLOOKUP(表1[[#This Row],[8:image]],常量!J:N,5,FALSE),0),0)</f>
        <v>0</v>
      </c>
      <c r="E544" t="s">
        <v>2587</v>
      </c>
      <c r="F544">
        <v>6</v>
      </c>
      <c r="G544" s="1" t="s">
        <v>514</v>
      </c>
      <c r="H544" s="17" t="s">
        <v>3194</v>
      </c>
      <c r="I544" s="19"/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P544" s="5"/>
    </row>
    <row r="545" spans="1:16" ht="14.25" customHeight="1">
      <c r="A545">
        <v>554</v>
      </c>
      <c r="B545">
        <f>IF(表1[[#This Row],[不调整offset]]="x",IFERROR(VLOOKUP(表1[[#This Row],[8:image]],常量!J:N,4,FALSE),0),0)</f>
        <v>0</v>
      </c>
      <c r="C545">
        <f>IF(表1[[#This Row],[不调整offset]]="x",IFERROR(VLOOKUP(表1[[#This Row],[8:image]],常量!J:N,5,FALSE),0),0)</f>
        <v>0</v>
      </c>
      <c r="E545" t="s">
        <v>2587</v>
      </c>
      <c r="F545">
        <v>6</v>
      </c>
      <c r="G545" s="1" t="s">
        <v>515</v>
      </c>
      <c r="H545" s="17" t="s">
        <v>3195</v>
      </c>
      <c r="I545" s="19"/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P545" s="5"/>
    </row>
    <row r="546" spans="1:16" ht="14.25" customHeight="1">
      <c r="A546">
        <v>555</v>
      </c>
      <c r="B546">
        <f>IF(表1[[#This Row],[不调整offset]]="x",IFERROR(VLOOKUP(表1[[#This Row],[8:image]],常量!J:N,4,FALSE),0),0)</f>
        <v>0</v>
      </c>
      <c r="C546">
        <f>IF(表1[[#This Row],[不调整offset]]="x",IFERROR(VLOOKUP(表1[[#This Row],[8:image]],常量!J:N,5,FALSE),0),0)</f>
        <v>0</v>
      </c>
      <c r="E546" t="s">
        <v>2587</v>
      </c>
      <c r="F546">
        <v>6</v>
      </c>
      <c r="G546" s="1" t="s">
        <v>516</v>
      </c>
      <c r="H546" s="17" t="s">
        <v>3196</v>
      </c>
      <c r="I546" s="19"/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P546" s="5"/>
    </row>
    <row r="547" spans="1:16" ht="14.25" customHeight="1">
      <c r="A547">
        <v>556</v>
      </c>
      <c r="B547">
        <f>IF(表1[[#This Row],[不调整offset]]="x",IFERROR(VLOOKUP(表1[[#This Row],[8:image]],常量!J:N,4,FALSE),0),0)</f>
        <v>0</v>
      </c>
      <c r="C547">
        <f>IF(表1[[#This Row],[不调整offset]]="x",IFERROR(VLOOKUP(表1[[#This Row],[8:image]],常量!J:N,5,FALSE),0),0)</f>
        <v>0</v>
      </c>
      <c r="E547" t="s">
        <v>2587</v>
      </c>
      <c r="F547">
        <v>6</v>
      </c>
      <c r="G547" s="1" t="s">
        <v>517</v>
      </c>
      <c r="H547" s="17" t="s">
        <v>3197</v>
      </c>
      <c r="I547" s="19"/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customHeight="1">
      <c r="A548">
        <v>557</v>
      </c>
      <c r="B548">
        <f>IF(表1[[#This Row],[不调整offset]]="x",IFERROR(VLOOKUP(表1[[#This Row],[8:image]],常量!J:N,4,FALSE),0),0)</f>
        <v>0</v>
      </c>
      <c r="C548">
        <f>IF(表1[[#This Row],[不调整offset]]="x",IFERROR(VLOOKUP(表1[[#This Row],[8:image]],常量!J:N,5,FALSE),0),0)</f>
        <v>0</v>
      </c>
      <c r="E548" t="s">
        <v>2587</v>
      </c>
      <c r="F548">
        <v>6</v>
      </c>
      <c r="G548" s="1" t="s">
        <v>518</v>
      </c>
      <c r="H548" s="17" t="s">
        <v>3198</v>
      </c>
      <c r="I548" s="19"/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customHeight="1">
      <c r="A549">
        <v>558</v>
      </c>
      <c r="B549">
        <f>IF(表1[[#This Row],[不调整offset]]="x",IFERROR(VLOOKUP(表1[[#This Row],[8:image]],常量!J:N,4,FALSE),0),0)</f>
        <v>0</v>
      </c>
      <c r="C549">
        <f>IF(表1[[#This Row],[不调整offset]]="x",IFERROR(VLOOKUP(表1[[#This Row],[8:image]],常量!J:N,5,FALSE),0),0)</f>
        <v>0</v>
      </c>
      <c r="E549" t="s">
        <v>2587</v>
      </c>
      <c r="F549">
        <v>6</v>
      </c>
      <c r="G549" s="1" t="s">
        <v>519</v>
      </c>
      <c r="H549" s="17" t="s">
        <v>3199</v>
      </c>
      <c r="I549" s="19"/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customHeight="1">
      <c r="A550">
        <v>559</v>
      </c>
      <c r="B550">
        <f>IF(表1[[#This Row],[不调整offset]]="x",IFERROR(VLOOKUP(表1[[#This Row],[8:image]],常量!J:N,4,FALSE),0),0)</f>
        <v>0</v>
      </c>
      <c r="C550">
        <f>IF(表1[[#This Row],[不调整offset]]="x",IFERROR(VLOOKUP(表1[[#This Row],[8:image]],常量!J:N,5,FALSE),0),0)</f>
        <v>0</v>
      </c>
      <c r="E550" t="s">
        <v>2587</v>
      </c>
      <c r="F550">
        <v>6</v>
      </c>
      <c r="G550" s="1" t="s">
        <v>520</v>
      </c>
      <c r="H550" s="17" t="s">
        <v>3200</v>
      </c>
      <c r="I550" s="19"/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customHeight="1">
      <c r="A551">
        <v>560</v>
      </c>
      <c r="B551">
        <f>IF(表1[[#This Row],[不调整offset]]="x",IFERROR(VLOOKUP(表1[[#This Row],[8:image]],常量!J:N,4,FALSE),0),0)</f>
        <v>0</v>
      </c>
      <c r="C551">
        <f>IF(表1[[#This Row],[不调整offset]]="x",IFERROR(VLOOKUP(表1[[#This Row],[8:image]],常量!J:N,5,FALSE),0),0)</f>
        <v>0</v>
      </c>
      <c r="E551" t="s">
        <v>2587</v>
      </c>
      <c r="F551">
        <v>6</v>
      </c>
      <c r="G551" s="1" t="s">
        <v>521</v>
      </c>
      <c r="H551" s="17" t="s">
        <v>3201</v>
      </c>
      <c r="I551" s="19"/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P551" s="5"/>
    </row>
    <row r="552" spans="1:16" ht="14.25" customHeight="1">
      <c r="A552">
        <v>561</v>
      </c>
      <c r="B552">
        <f>IF(表1[[#This Row],[不调整offset]]="x",IFERROR(VLOOKUP(表1[[#This Row],[8:image]],常量!J:N,4,FALSE),0),0)</f>
        <v>0</v>
      </c>
      <c r="C552">
        <f>IF(表1[[#This Row],[不调整offset]]="x",IFERROR(VLOOKUP(表1[[#This Row],[8:image]],常量!J:N,5,FALSE),0),0)</f>
        <v>0</v>
      </c>
      <c r="E552" t="s">
        <v>2587</v>
      </c>
      <c r="F552">
        <v>6</v>
      </c>
      <c r="G552" s="1" t="s">
        <v>522</v>
      </c>
      <c r="H552" s="16" t="s">
        <v>3202</v>
      </c>
      <c r="I552" s="19"/>
      <c r="J552" t="str">
        <f>IF(LEN(VLOOKUP(表1[[#This Row],[id]],数据引用!A:C,3,FALSE))&gt;0,VLOOKUP(表1[[#This Row],[id]],数据引用!A:C,3,FALSE),"")</f>
        <v/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2" s="5"/>
    </row>
    <row r="553" spans="1:16" ht="14.25" customHeight="1">
      <c r="A553">
        <v>562</v>
      </c>
      <c r="B553">
        <f>IF(表1[[#This Row],[不调整offset]]="x",IFERROR(VLOOKUP(表1[[#This Row],[8:image]],常量!J:N,4,FALSE),0),0)</f>
        <v>0</v>
      </c>
      <c r="C553">
        <f>IF(表1[[#This Row],[不调整offset]]="x",IFERROR(VLOOKUP(表1[[#This Row],[8:image]],常量!J:N,5,FALSE),0),0)</f>
        <v>0</v>
      </c>
      <c r="E553" t="s">
        <v>2587</v>
      </c>
      <c r="F553">
        <v>6</v>
      </c>
      <c r="G553" s="1" t="s">
        <v>523</v>
      </c>
      <c r="H553" s="17" t="s">
        <v>3203</v>
      </c>
      <c r="I553" s="19"/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53" s="5"/>
    </row>
    <row r="554" spans="1:16" ht="14.25" customHeight="1">
      <c r="A554">
        <v>563</v>
      </c>
      <c r="B554">
        <f>IF(表1[[#This Row],[不调整offset]]="x",IFERROR(VLOOKUP(表1[[#This Row],[8:image]],常量!J:N,4,FALSE),0),0)</f>
        <v>0</v>
      </c>
      <c r="C554">
        <f>IF(表1[[#This Row],[不调整offset]]="x",IFERROR(VLOOKUP(表1[[#This Row],[8:image]],常量!J:N,5,FALSE),0),0)</f>
        <v>0</v>
      </c>
      <c r="E554" t="s">
        <v>2587</v>
      </c>
      <c r="F554">
        <v>6</v>
      </c>
      <c r="G554" s="1" t="s">
        <v>524</v>
      </c>
      <c r="H554" s="16" t="s">
        <v>3204</v>
      </c>
      <c r="I554" s="19"/>
      <c r="J554" t="str">
        <f>IF(LEN(VLOOKUP(表1[[#This Row],[id]],数据引用!A:C,3,FALSE))&gt;0,VLOOKUP(表1[[#This Row],[id]],数据引用!A:C,3,FALSE),"")</f>
        <v/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4" s="5"/>
    </row>
    <row r="555" spans="1:16" ht="14.25" customHeight="1">
      <c r="A555">
        <v>564</v>
      </c>
      <c r="B555">
        <f>IF(表1[[#This Row],[不调整offset]]="x",IFERROR(VLOOKUP(表1[[#This Row],[8:image]],常量!J:N,4,FALSE),0),0)</f>
        <v>0</v>
      </c>
      <c r="C555">
        <f>IF(表1[[#This Row],[不调整offset]]="x",IFERROR(VLOOKUP(表1[[#This Row],[8:image]],常量!J:N,5,FALSE),0),0)</f>
        <v>0</v>
      </c>
      <c r="E555" t="s">
        <v>2587</v>
      </c>
      <c r="F555">
        <v>6</v>
      </c>
      <c r="G555" s="1" t="s">
        <v>525</v>
      </c>
      <c r="H555" s="17" t="s">
        <v>3205</v>
      </c>
      <c r="I555" s="19"/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customHeight="1">
      <c r="A556">
        <v>565</v>
      </c>
      <c r="B556">
        <f>IF(表1[[#This Row],[不调整offset]]="x",IFERROR(VLOOKUP(表1[[#This Row],[8:image]],常量!J:N,4,FALSE),0),0)</f>
        <v>0</v>
      </c>
      <c r="C556">
        <f>IF(表1[[#This Row],[不调整offset]]="x",IFERROR(VLOOKUP(表1[[#This Row],[8:image]],常量!J:N,5,FALSE),0),0)</f>
        <v>0</v>
      </c>
      <c r="E556" t="s">
        <v>2587</v>
      </c>
      <c r="F556">
        <v>6</v>
      </c>
      <c r="G556" s="1" t="s">
        <v>526</v>
      </c>
      <c r="H556" s="16" t="s">
        <v>3206</v>
      </c>
      <c r="I556" s="19"/>
      <c r="J556" t="str">
        <f>IF(LEN(VLOOKUP(表1[[#This Row],[id]],数据引用!A:C,3,FALSE))&gt;0,VLOOKUP(表1[[#This Row],[id]],数据引用!A:C,3,FALSE),"")</f>
        <v/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6" s="5"/>
    </row>
    <row r="557" spans="1:16" ht="14.25" customHeight="1">
      <c r="A557">
        <v>566</v>
      </c>
      <c r="B557">
        <f>IF(表1[[#This Row],[不调整offset]]="x",IFERROR(VLOOKUP(表1[[#This Row],[8:image]],常量!J:N,4,FALSE),0),0)</f>
        <v>0</v>
      </c>
      <c r="C557">
        <f>IF(表1[[#This Row],[不调整offset]]="x",IFERROR(VLOOKUP(表1[[#This Row],[8:image]],常量!J:N,5,FALSE),0),0)</f>
        <v>0</v>
      </c>
      <c r="E557" t="s">
        <v>2587</v>
      </c>
      <c r="F557">
        <v>6</v>
      </c>
      <c r="G557" s="1" t="s">
        <v>527</v>
      </c>
      <c r="H557" s="17" t="s">
        <v>3207</v>
      </c>
      <c r="I557" s="19"/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P557" s="5"/>
    </row>
    <row r="558" spans="1:16" ht="14.25" customHeight="1">
      <c r="A558">
        <v>567</v>
      </c>
      <c r="B558">
        <f>IF(表1[[#This Row],[不调整offset]]="x",IFERROR(VLOOKUP(表1[[#This Row],[8:image]],常量!J:N,4,FALSE),0),0)</f>
        <v>0</v>
      </c>
      <c r="C558">
        <f>IF(表1[[#This Row],[不调整offset]]="x",IFERROR(VLOOKUP(表1[[#This Row],[8:image]],常量!J:N,5,FALSE),0),0)</f>
        <v>0</v>
      </c>
      <c r="E558" t="s">
        <v>2587</v>
      </c>
      <c r="F558">
        <v>6</v>
      </c>
      <c r="G558" s="1" t="s">
        <v>528</v>
      </c>
      <c r="H558" s="17" t="s">
        <v>3208</v>
      </c>
      <c r="I558" s="19"/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P558" s="5"/>
    </row>
    <row r="559" spans="1:16" ht="14.25" customHeight="1">
      <c r="A559">
        <v>568</v>
      </c>
      <c r="B559">
        <f>IF(表1[[#This Row],[不调整offset]]="x",IFERROR(VLOOKUP(表1[[#This Row],[8:image]],常量!J:N,4,FALSE),0),0)</f>
        <v>0</v>
      </c>
      <c r="C559">
        <f>IF(表1[[#This Row],[不调整offset]]="x",IFERROR(VLOOKUP(表1[[#This Row],[8:image]],常量!J:N,5,FALSE),0),0)</f>
        <v>0</v>
      </c>
      <c r="E559" t="s">
        <v>2587</v>
      </c>
      <c r="F559">
        <v>6</v>
      </c>
      <c r="G559" s="1" t="s">
        <v>529</v>
      </c>
      <c r="H559" s="17" t="s">
        <v>3209</v>
      </c>
      <c r="I559" s="19"/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customHeight="1">
      <c r="A560">
        <v>569</v>
      </c>
      <c r="B560">
        <f>IF(表1[[#This Row],[不调整offset]]="x",IFERROR(VLOOKUP(表1[[#This Row],[8:image]],常量!J:N,4,FALSE),0),0)</f>
        <v>0</v>
      </c>
      <c r="C560">
        <f>IF(表1[[#This Row],[不调整offset]]="x",IFERROR(VLOOKUP(表1[[#This Row],[8:image]],常量!J:N,5,FALSE),0),0)</f>
        <v>0</v>
      </c>
      <c r="E560" t="s">
        <v>2587</v>
      </c>
      <c r="F560">
        <v>6</v>
      </c>
      <c r="G560" s="1" t="s">
        <v>530</v>
      </c>
      <c r="H560" s="17" t="s">
        <v>3210</v>
      </c>
      <c r="I560" s="19"/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P560" s="5"/>
    </row>
    <row r="561" spans="1:16" ht="14.25" customHeight="1">
      <c r="A561">
        <v>570</v>
      </c>
      <c r="B561">
        <f>IF(表1[[#This Row],[不调整offset]]="x",IFERROR(VLOOKUP(表1[[#This Row],[8:image]],常量!J:N,4,FALSE),0),0)</f>
        <v>0</v>
      </c>
      <c r="C561">
        <f>IF(表1[[#This Row],[不调整offset]]="x",IFERROR(VLOOKUP(表1[[#This Row],[8:image]],常量!J:N,5,FALSE),0),0)</f>
        <v>0</v>
      </c>
      <c r="E561" t="s">
        <v>2587</v>
      </c>
      <c r="F561">
        <v>6</v>
      </c>
      <c r="G561" s="1" t="s">
        <v>523</v>
      </c>
      <c r="H561" s="17" t="s">
        <v>3211</v>
      </c>
      <c r="I561" s="19"/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61" s="5"/>
    </row>
    <row r="562" spans="1:16" ht="14.25" customHeight="1">
      <c r="A562">
        <v>571</v>
      </c>
      <c r="B562">
        <f>IF(表1[[#This Row],[不调整offset]]="x",IFERROR(VLOOKUP(表1[[#This Row],[8:image]],常量!J:N,4,FALSE),0),0)</f>
        <v>0</v>
      </c>
      <c r="C562">
        <f>IF(表1[[#This Row],[不调整offset]]="x",IFERROR(VLOOKUP(表1[[#This Row],[8:image]],常量!J:N,5,FALSE),0),0)</f>
        <v>0</v>
      </c>
      <c r="E562" t="s">
        <v>2587</v>
      </c>
      <c r="F562">
        <v>6</v>
      </c>
      <c r="G562" s="1" t="s">
        <v>531</v>
      </c>
      <c r="H562" s="17" t="s">
        <v>3212</v>
      </c>
      <c r="I562" s="19"/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P562" s="5"/>
    </row>
    <row r="563" spans="1:16" ht="14.25" customHeight="1">
      <c r="A563">
        <v>572</v>
      </c>
      <c r="B563">
        <f>IF(表1[[#This Row],[不调整offset]]="x",IFERROR(VLOOKUP(表1[[#This Row],[8:image]],常量!J:N,4,FALSE),0),0)</f>
        <v>0</v>
      </c>
      <c r="C563">
        <f>IF(表1[[#This Row],[不调整offset]]="x",IFERROR(VLOOKUP(表1[[#This Row],[8:image]],常量!J:N,5,FALSE),0),0)</f>
        <v>0</v>
      </c>
      <c r="E563" t="s">
        <v>2587</v>
      </c>
      <c r="F563">
        <v>6</v>
      </c>
      <c r="G563" s="1" t="s">
        <v>532</v>
      </c>
      <c r="H563" s="17" t="s">
        <v>3213</v>
      </c>
      <c r="I563" s="19"/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P563" s="5"/>
    </row>
    <row r="564" spans="1:16" ht="14.25" customHeight="1">
      <c r="A564">
        <v>573</v>
      </c>
      <c r="B564">
        <f>IF(表1[[#This Row],[不调整offset]]="x",IFERROR(VLOOKUP(表1[[#This Row],[8:image]],常量!J:N,4,FALSE),0),0)</f>
        <v>0</v>
      </c>
      <c r="C564">
        <f>IF(表1[[#This Row],[不调整offset]]="x",IFERROR(VLOOKUP(表1[[#This Row],[8:image]],常量!J:N,5,FALSE),0),0)</f>
        <v>0</v>
      </c>
      <c r="E564" t="s">
        <v>2587</v>
      </c>
      <c r="F564">
        <v>6</v>
      </c>
      <c r="G564" s="1" t="s">
        <v>533</v>
      </c>
      <c r="H564" s="17" t="s">
        <v>3214</v>
      </c>
      <c r="I564" s="19"/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P564" s="5"/>
    </row>
    <row r="565" spans="1:16" ht="14.25" customHeight="1">
      <c r="A565">
        <v>574</v>
      </c>
      <c r="B565">
        <f>IF(表1[[#This Row],[不调整offset]]="x",IFERROR(VLOOKUP(表1[[#This Row],[8:image]],常量!J:N,4,FALSE),0),0)</f>
        <v>0</v>
      </c>
      <c r="C565">
        <f>IF(表1[[#This Row],[不调整offset]]="x",IFERROR(VLOOKUP(表1[[#This Row],[8:image]],常量!J:N,5,FALSE),0),0)</f>
        <v>0</v>
      </c>
      <c r="E565" t="s">
        <v>2587</v>
      </c>
      <c r="F565">
        <v>6</v>
      </c>
      <c r="G565" s="1" t="s">
        <v>534</v>
      </c>
      <c r="H565" s="16" t="s">
        <v>3215</v>
      </c>
      <c r="I565" s="19"/>
      <c r="J565" t="str">
        <f>IF(LEN(VLOOKUP(表1[[#This Row],[id]],数据引用!A:C,3,FALSE))&gt;0,VLOOKUP(表1[[#This Row],[id]],数据引用!A:C,3,FALSE),"")</f>
        <v/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5" s="5"/>
    </row>
    <row r="566" spans="1:16" ht="14.25" customHeight="1">
      <c r="A566">
        <v>575</v>
      </c>
      <c r="B566">
        <f>IF(表1[[#This Row],[不调整offset]]="x",IFERROR(VLOOKUP(表1[[#This Row],[8:image]],常量!J:N,4,FALSE),0),0)</f>
        <v>0</v>
      </c>
      <c r="C566">
        <f>IF(表1[[#This Row],[不调整offset]]="x",IFERROR(VLOOKUP(表1[[#This Row],[8:image]],常量!J:N,5,FALSE),0),0)</f>
        <v>0</v>
      </c>
      <c r="E566" t="s">
        <v>2587</v>
      </c>
      <c r="F566">
        <v>6</v>
      </c>
      <c r="G566" s="1" t="s">
        <v>535</v>
      </c>
      <c r="H566" s="17" t="s">
        <v>3216</v>
      </c>
      <c r="I566" s="19"/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P566" s="5"/>
    </row>
    <row r="567" spans="1:16" ht="14.25" customHeight="1">
      <c r="A567">
        <v>576</v>
      </c>
      <c r="B567">
        <f>IF(表1[[#This Row],[不调整offset]]="x",IFERROR(VLOOKUP(表1[[#This Row],[8:image]],常量!J:N,4,FALSE),0),0)</f>
        <v>0</v>
      </c>
      <c r="C567">
        <f>IF(表1[[#This Row],[不调整offset]]="x",IFERROR(VLOOKUP(表1[[#This Row],[8:image]],常量!J:N,5,FALSE),0),0)</f>
        <v>0</v>
      </c>
      <c r="E567" t="s">
        <v>2587</v>
      </c>
      <c r="F567">
        <v>6</v>
      </c>
      <c r="G567" s="1" t="s">
        <v>536</v>
      </c>
      <c r="H567" s="17" t="s">
        <v>3217</v>
      </c>
      <c r="I567" s="19"/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P567" s="5"/>
    </row>
    <row r="568" spans="1:16" ht="14.25" customHeight="1">
      <c r="A568">
        <v>577</v>
      </c>
      <c r="B568">
        <f>IF(表1[[#This Row],[不调整offset]]="x",IFERROR(VLOOKUP(表1[[#This Row],[8:image]],常量!J:N,4,FALSE),0),0)</f>
        <v>0</v>
      </c>
      <c r="C568">
        <f>IF(表1[[#This Row],[不调整offset]]="x",IFERROR(VLOOKUP(表1[[#This Row],[8:image]],常量!J:N,5,FALSE),0),0)</f>
        <v>0</v>
      </c>
      <c r="E568" t="s">
        <v>2587</v>
      </c>
      <c r="F568">
        <v>6</v>
      </c>
      <c r="G568" s="1" t="s">
        <v>537</v>
      </c>
      <c r="H568" s="17" t="s">
        <v>3218</v>
      </c>
      <c r="I568" s="19"/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68" s="5"/>
    </row>
    <row r="569" spans="1:16" ht="14.25" customHeight="1">
      <c r="A569">
        <v>578</v>
      </c>
      <c r="B569">
        <f>IF(表1[[#This Row],[不调整offset]]="x",IFERROR(VLOOKUP(表1[[#This Row],[8:image]],常量!J:N,4,FALSE),0),0)</f>
        <v>0</v>
      </c>
      <c r="C569">
        <f>IF(表1[[#This Row],[不调整offset]]="x",IFERROR(VLOOKUP(表1[[#This Row],[8:image]],常量!J:N,5,FALSE),0),0)</f>
        <v>0</v>
      </c>
      <c r="E569" t="s">
        <v>2587</v>
      </c>
      <c r="F569">
        <v>6</v>
      </c>
      <c r="G569" s="1" t="s">
        <v>538</v>
      </c>
      <c r="H569" s="17" t="s">
        <v>3219</v>
      </c>
      <c r="I569" s="19"/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69" s="5"/>
    </row>
    <row r="570" spans="1:16" ht="14.25" customHeight="1">
      <c r="A570">
        <v>579</v>
      </c>
      <c r="B570">
        <f>IF(表1[[#This Row],[不调整offset]]="x",IFERROR(VLOOKUP(表1[[#This Row],[8:image]],常量!J:N,4,FALSE),0),0)</f>
        <v>0</v>
      </c>
      <c r="C570">
        <f>IF(表1[[#This Row],[不调整offset]]="x",IFERROR(VLOOKUP(表1[[#This Row],[8:image]],常量!J:N,5,FALSE),0),0)</f>
        <v>0</v>
      </c>
      <c r="E570" t="s">
        <v>2587</v>
      </c>
      <c r="F570">
        <v>6</v>
      </c>
      <c r="G570" s="1" t="s">
        <v>539</v>
      </c>
      <c r="H570" s="17" t="s">
        <v>3220</v>
      </c>
      <c r="I570" s="19"/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P570" s="5"/>
    </row>
    <row r="571" spans="1:16" ht="14.25" customHeight="1">
      <c r="A571">
        <v>580</v>
      </c>
      <c r="B571">
        <f>IF(表1[[#This Row],[不调整offset]]="x",IFERROR(VLOOKUP(表1[[#This Row],[8:image]],常量!J:N,4,FALSE),0),0)</f>
        <v>0</v>
      </c>
      <c r="C571">
        <f>IF(表1[[#This Row],[不调整offset]]="x",IFERROR(VLOOKUP(表1[[#This Row],[8:image]],常量!J:N,5,FALSE),0),0)</f>
        <v>0</v>
      </c>
      <c r="E571" t="s">
        <v>2587</v>
      </c>
      <c r="F571">
        <v>6</v>
      </c>
      <c r="G571" s="1" t="s">
        <v>540</v>
      </c>
      <c r="H571" s="17" t="s">
        <v>3221</v>
      </c>
      <c r="I571" s="19"/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71" s="5"/>
    </row>
    <row r="572" spans="1:16" ht="14.25" customHeight="1">
      <c r="A572">
        <v>581</v>
      </c>
      <c r="B572">
        <f>IF(表1[[#This Row],[不调整offset]]="x",IFERROR(VLOOKUP(表1[[#This Row],[8:image]],常量!J:N,4,FALSE),0),0)</f>
        <v>0</v>
      </c>
      <c r="C572">
        <f>IF(表1[[#This Row],[不调整offset]]="x",IFERROR(VLOOKUP(表1[[#This Row],[8:image]],常量!J:N,5,FALSE),0),0)</f>
        <v>0</v>
      </c>
      <c r="E572" t="s">
        <v>2587</v>
      </c>
      <c r="F572">
        <v>6</v>
      </c>
      <c r="G572" s="1" t="s">
        <v>269</v>
      </c>
      <c r="H572" s="17" t="s">
        <v>3222</v>
      </c>
      <c r="I572" s="19"/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572" s="5"/>
    </row>
    <row r="573" spans="1:16" ht="14.25" customHeight="1">
      <c r="A573">
        <v>582</v>
      </c>
      <c r="B573">
        <f>IF(表1[[#This Row],[不调整offset]]="x",IFERROR(VLOOKUP(表1[[#This Row],[8:image]],常量!J:N,4,FALSE),0),0)</f>
        <v>0</v>
      </c>
      <c r="C573">
        <f>IF(表1[[#This Row],[不调整offset]]="x",IFERROR(VLOOKUP(表1[[#This Row],[8:image]],常量!J:N,5,FALSE),0),0)</f>
        <v>0</v>
      </c>
      <c r="E573" t="s">
        <v>2587</v>
      </c>
      <c r="F573">
        <v>6</v>
      </c>
      <c r="G573" s="1" t="s">
        <v>541</v>
      </c>
      <c r="H573" s="17" t="s">
        <v>3223</v>
      </c>
      <c r="I573" s="19"/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P573" s="5"/>
    </row>
    <row r="574" spans="1:16" ht="14.25" customHeight="1">
      <c r="A574">
        <v>583</v>
      </c>
      <c r="B574">
        <f>IF(表1[[#This Row],[不调整offset]]="x",IFERROR(VLOOKUP(表1[[#This Row],[8:image]],常量!J:N,4,FALSE),0),0)</f>
        <v>0</v>
      </c>
      <c r="C574">
        <f>IF(表1[[#This Row],[不调整offset]]="x",IFERROR(VLOOKUP(表1[[#This Row],[8:image]],常量!J:N,5,FALSE),0),0)</f>
        <v>0</v>
      </c>
      <c r="E574" t="s">
        <v>2587</v>
      </c>
      <c r="F574">
        <v>6</v>
      </c>
      <c r="G574" s="1" t="s">
        <v>542</v>
      </c>
      <c r="H574" s="17" t="s">
        <v>3224</v>
      </c>
      <c r="I574" s="19"/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P574" s="5"/>
    </row>
    <row r="575" spans="1:16" ht="14.25" customHeight="1">
      <c r="A575">
        <v>584</v>
      </c>
      <c r="B575">
        <f>IF(表1[[#This Row],[不调整offset]]="x",IFERROR(VLOOKUP(表1[[#This Row],[8:image]],常量!J:N,4,FALSE),0),0)</f>
        <v>0</v>
      </c>
      <c r="C575">
        <f>IF(表1[[#This Row],[不调整offset]]="x",IFERROR(VLOOKUP(表1[[#This Row],[8:image]],常量!J:N,5,FALSE),0),0)</f>
        <v>0</v>
      </c>
      <c r="E575" t="s">
        <v>2587</v>
      </c>
      <c r="F575">
        <v>6</v>
      </c>
      <c r="G575" s="1" t="s">
        <v>543</v>
      </c>
      <c r="H575" s="17" t="s">
        <v>3225</v>
      </c>
      <c r="I575" s="19"/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P575" s="5"/>
    </row>
    <row r="576" spans="1:16" ht="14.25" customHeight="1">
      <c r="A576">
        <v>585</v>
      </c>
      <c r="B576">
        <f>IF(表1[[#This Row],[不调整offset]]="x",IFERROR(VLOOKUP(表1[[#This Row],[8:image]],常量!J:N,4,FALSE),0),0)</f>
        <v>0</v>
      </c>
      <c r="C576">
        <f>IF(表1[[#This Row],[不调整offset]]="x",IFERROR(VLOOKUP(表1[[#This Row],[8:image]],常量!J:N,5,FALSE),0),0)</f>
        <v>0</v>
      </c>
      <c r="E576" t="s">
        <v>2587</v>
      </c>
      <c r="F576">
        <v>6</v>
      </c>
      <c r="G576" s="1" t="s">
        <v>544</v>
      </c>
      <c r="H576" s="17" t="s">
        <v>3226</v>
      </c>
      <c r="I576" s="19"/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P576" s="5"/>
    </row>
    <row r="577" spans="1:16" ht="14.25" customHeight="1">
      <c r="A577">
        <v>586</v>
      </c>
      <c r="B577">
        <f>IF(表1[[#This Row],[不调整offset]]="x",IFERROR(VLOOKUP(表1[[#This Row],[8:image]],常量!J:N,4,FALSE),0),0)</f>
        <v>0</v>
      </c>
      <c r="C577">
        <f>IF(表1[[#This Row],[不调整offset]]="x",IFERROR(VLOOKUP(表1[[#This Row],[8:image]],常量!J:N,5,FALSE),0),0)</f>
        <v>0</v>
      </c>
      <c r="E577" t="s">
        <v>2587</v>
      </c>
      <c r="F577">
        <v>6</v>
      </c>
      <c r="G577" s="1" t="s">
        <v>545</v>
      </c>
      <c r="H577" s="17" t="s">
        <v>3227</v>
      </c>
      <c r="I577" s="19"/>
      <c r="J577" t="str">
        <f>IF(LEN(VLOOKUP(表1[[#This Row],[id]],数据引用!A:C,3,FALSE))&gt;0,VLOOKUP(表1[[#This Row],[id]],数据引用!A:C,3,FALSE),"")</f>
        <v>可以挖掘任何东西，同时受到伤害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font-size:12;"&gt;可以挖掘任何东西，同时受到伤害&lt;/text&gt;&lt;text transform="matrix(1 0 0 1 0 10.3205)" style="fill:#FFFFFF; font-family:'FZXS12--GB1-0'; font-size:12;"&gt;可以挖掘任何东西，同时受到伤害&lt;/text&gt;&lt;/svg&gt;</v>
      </c>
      <c r="P577" s="5"/>
    </row>
    <row r="578" spans="1:16" ht="14.25" customHeight="1">
      <c r="A578">
        <v>587</v>
      </c>
      <c r="B578">
        <f>IF(表1[[#This Row],[不调整offset]]="x",IFERROR(VLOOKUP(表1[[#This Row],[8:image]],常量!J:N,4,FALSE),0),0)</f>
        <v>0</v>
      </c>
      <c r="C578">
        <f>IF(表1[[#This Row],[不调整offset]]="x",IFERROR(VLOOKUP(表1[[#This Row],[8:image]],常量!J:N,5,FALSE),0),0)</f>
        <v>0</v>
      </c>
      <c r="E578" t="s">
        <v>2587</v>
      </c>
      <c r="F578">
        <v>6</v>
      </c>
      <c r="G578" s="1" t="s">
        <v>546</v>
      </c>
      <c r="H578" s="17" t="s">
        <v>3228</v>
      </c>
      <c r="I578" s="19"/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P578" s="5"/>
    </row>
    <row r="579" spans="1:16" ht="14.25" customHeight="1">
      <c r="A579">
        <v>588</v>
      </c>
      <c r="B579">
        <f>IF(表1[[#This Row],[不调整offset]]="x",IFERROR(VLOOKUP(表1[[#This Row],[8:image]],常量!J:N,4,FALSE),0),0)</f>
        <v>0</v>
      </c>
      <c r="C579">
        <f>IF(表1[[#This Row],[不调整offset]]="x",IFERROR(VLOOKUP(表1[[#This Row],[8:image]],常量!J:N,5,FALSE),0),0)</f>
        <v>0</v>
      </c>
      <c r="E579" t="s">
        <v>2587</v>
      </c>
      <c r="F579">
        <v>6</v>
      </c>
      <c r="G579" s="1" t="s">
        <v>547</v>
      </c>
      <c r="H579" s="17" t="s">
        <v>3229</v>
      </c>
      <c r="I579" s="19"/>
      <c r="J579" t="str">
        <f>IF(LEN(VLOOKUP(表1[[#This Row],[id]],数据引用!A:C,3,FALSE))&gt;0,VLOOKUP(表1[[#This Row],[id]],数据引用!A:C,3,FALSE),"")</f>
        <v>+2挖掘等级，被打断移除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font-size:12;"&gt;+2挖掘等级，被打断移除&lt;/text&gt;&lt;text transform="matrix(1 0 0 1 0 10.3205)" style="fill:#FFFFFF; font-family:'FZXS12--GB1-0'; font-size:12;"&gt;+2挖掘等级，被打断移除&lt;/text&gt;&lt;/svg&gt;</v>
      </c>
      <c r="P579" s="5"/>
    </row>
    <row r="580" spans="1:16" ht="14.25" customHeight="1">
      <c r="A580">
        <v>589</v>
      </c>
      <c r="B580">
        <f>IF(表1[[#This Row],[不调整offset]]="x",IFERROR(VLOOKUP(表1[[#This Row],[8:image]],常量!J:N,4,FALSE),0),0)</f>
        <v>0</v>
      </c>
      <c r="C580">
        <f>IF(表1[[#This Row],[不调整offset]]="x",IFERROR(VLOOKUP(表1[[#This Row],[8:image]],常量!J:N,5,FALSE),0),0)</f>
        <v>0</v>
      </c>
      <c r="E580" t="s">
        <v>2587</v>
      </c>
      <c r="F580">
        <v>6</v>
      </c>
      <c r="G580" s="1" t="s">
        <v>548</v>
      </c>
      <c r="H580" s="17" t="s">
        <v>3230</v>
      </c>
      <c r="I580" s="19"/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P580" s="5"/>
    </row>
    <row r="581" spans="1:16" ht="14.25" customHeight="1">
      <c r="A581">
        <v>590</v>
      </c>
      <c r="B581">
        <f>IF(表1[[#This Row],[不调整offset]]="x",IFERROR(VLOOKUP(表1[[#This Row],[8:image]],常量!J:N,4,FALSE),0),0)</f>
        <v>0</v>
      </c>
      <c r="C581">
        <f>IF(表1[[#This Row],[不调整offset]]="x",IFERROR(VLOOKUP(表1[[#This Row],[8:image]],常量!J:N,5,FALSE),0),0)</f>
        <v>0</v>
      </c>
      <c r="E581" t="s">
        <v>2587</v>
      </c>
      <c r="F581">
        <v>6</v>
      </c>
      <c r="G581" s="1" t="s">
        <v>537</v>
      </c>
      <c r="H581" s="17" t="s">
        <v>3231</v>
      </c>
      <c r="I581" s="19"/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81" s="5"/>
    </row>
    <row r="582" spans="1:16" ht="14.25" customHeight="1">
      <c r="A582">
        <v>591</v>
      </c>
      <c r="B582">
        <f>IF(表1[[#This Row],[不调整offset]]="x",IFERROR(VLOOKUP(表1[[#This Row],[8:image]],常量!J:N,4,FALSE),0),0)</f>
        <v>0</v>
      </c>
      <c r="C582">
        <f>IF(表1[[#This Row],[不调整offset]]="x",IFERROR(VLOOKUP(表1[[#This Row],[8:image]],常量!J:N,5,FALSE),0),0)</f>
        <v>0</v>
      </c>
      <c r="E582" t="s">
        <v>2587</v>
      </c>
      <c r="F582">
        <v>6</v>
      </c>
      <c r="G582" s="1" t="s">
        <v>538</v>
      </c>
      <c r="H582" s="17" t="s">
        <v>3232</v>
      </c>
      <c r="I582" s="19"/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82" s="5"/>
    </row>
    <row r="583" spans="1:16" ht="14.25" customHeight="1">
      <c r="A583">
        <v>592</v>
      </c>
      <c r="B583">
        <f>IF(表1[[#This Row],[不调整offset]]="x",IFERROR(VLOOKUP(表1[[#This Row],[8:image]],常量!J:N,4,FALSE),0),0)</f>
        <v>0</v>
      </c>
      <c r="C583">
        <f>IF(表1[[#This Row],[不调整offset]]="x",IFERROR(VLOOKUP(表1[[#This Row],[8:image]],常量!J:N,5,FALSE),0),0)</f>
        <v>0</v>
      </c>
      <c r="E583" t="s">
        <v>2587</v>
      </c>
      <c r="F583">
        <v>6</v>
      </c>
      <c r="G583" s="1" t="s">
        <v>549</v>
      </c>
      <c r="H583" s="17" t="s">
        <v>3233</v>
      </c>
      <c r="I583" s="19"/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P583" s="5"/>
    </row>
    <row r="584" spans="1:16" ht="14.25" customHeight="1">
      <c r="A584">
        <v>593</v>
      </c>
      <c r="B584">
        <f>IF(表1[[#This Row],[不调整offset]]="x",IFERROR(VLOOKUP(表1[[#This Row],[8:image]],常量!J:N,4,FALSE),0),0)</f>
        <v>0</v>
      </c>
      <c r="C584">
        <f>IF(表1[[#This Row],[不调整offset]]="x",IFERROR(VLOOKUP(表1[[#This Row],[8:image]],常量!J:N,5,FALSE),0),0)</f>
        <v>0</v>
      </c>
      <c r="E584" t="s">
        <v>2587</v>
      </c>
      <c r="F584">
        <v>6</v>
      </c>
      <c r="G584" s="1" t="s">
        <v>394</v>
      </c>
      <c r="H584" s="17" t="s">
        <v>3234</v>
      </c>
      <c r="I584" s="19"/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customHeight="1">
      <c r="A585">
        <v>594</v>
      </c>
      <c r="B585">
        <f>IF(表1[[#This Row],[不调整offset]]="x",IFERROR(VLOOKUP(表1[[#This Row],[8:image]],常量!J:N,4,FALSE),0),0)</f>
        <v>0</v>
      </c>
      <c r="C585">
        <f>IF(表1[[#This Row],[不调整offset]]="x",IFERROR(VLOOKUP(表1[[#This Row],[8:image]],常量!J:N,5,FALSE),0),0)</f>
        <v>0</v>
      </c>
      <c r="E585" t="s">
        <v>2587</v>
      </c>
      <c r="F585">
        <v>6</v>
      </c>
      <c r="G585" s="1" t="s">
        <v>540</v>
      </c>
      <c r="H585" s="17" t="s">
        <v>3235</v>
      </c>
      <c r="I585" s="19"/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85" s="5"/>
    </row>
    <row r="586" spans="1:16" ht="14.25" customHeight="1">
      <c r="A586">
        <v>595</v>
      </c>
      <c r="B586">
        <f>IF(表1[[#This Row],[不调整offset]]="x",IFERROR(VLOOKUP(表1[[#This Row],[8:image]],常量!J:N,4,FALSE),0),0)</f>
        <v>0</v>
      </c>
      <c r="C586">
        <f>IF(表1[[#This Row],[不调整offset]]="x",IFERROR(VLOOKUP(表1[[#This Row],[8:image]],常量!J:N,5,FALSE),0),0)</f>
        <v>0</v>
      </c>
      <c r="E586" t="s">
        <v>2587</v>
      </c>
      <c r="F586">
        <v>6</v>
      </c>
      <c r="G586" s="1" t="s">
        <v>550</v>
      </c>
      <c r="H586" s="17" t="s">
        <v>3236</v>
      </c>
      <c r="I586" s="19"/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customHeight="1">
      <c r="A587">
        <v>596</v>
      </c>
      <c r="B587">
        <f>IF(表1[[#This Row],[不调整offset]]="x",IFERROR(VLOOKUP(表1[[#This Row],[8:image]],常量!J:N,4,FALSE),0),0)</f>
        <v>0</v>
      </c>
      <c r="C587">
        <f>IF(表1[[#This Row],[不调整offset]]="x",IFERROR(VLOOKUP(表1[[#This Row],[8:image]],常量!J:N,5,FALSE),0),0)</f>
        <v>0</v>
      </c>
      <c r="E587" t="s">
        <v>2587</v>
      </c>
      <c r="F587">
        <v>6</v>
      </c>
      <c r="G587" s="1" t="s">
        <v>551</v>
      </c>
      <c r="H587" s="17" t="s">
        <v>3237</v>
      </c>
      <c r="I587" s="19"/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customHeight="1">
      <c r="A588">
        <v>597</v>
      </c>
      <c r="B588">
        <f>IF(表1[[#This Row],[不调整offset]]="x",IFERROR(VLOOKUP(表1[[#This Row],[8:image]],常量!J:N,4,FALSE),0),0)</f>
        <v>0</v>
      </c>
      <c r="C588">
        <f>IF(表1[[#This Row],[不调整offset]]="x",IFERROR(VLOOKUP(表1[[#This Row],[8:image]],常量!J:N,5,FALSE),0),0)</f>
        <v>0</v>
      </c>
      <c r="E588" t="s">
        <v>2587</v>
      </c>
      <c r="F588">
        <v>6</v>
      </c>
      <c r="G588" s="1" t="s">
        <v>552</v>
      </c>
      <c r="H588" s="17" t="s">
        <v>3238</v>
      </c>
      <c r="I588" s="19"/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IF(表1[[#This Row],[不调整offset]]="x",IFERROR(VLOOKUP(表1[[#This Row],[8:image]],常量!J:N,4,FALSE),0),0)</f>
        <v>0</v>
      </c>
      <c r="C589">
        <f>IF(表1[[#This Row],[不调整offset]]="x",IFERROR(VLOOKUP(表1[[#This Row],[8:image]],常量!J:N,5,FALSE),0),0)</f>
        <v>0</v>
      </c>
      <c r="E589" t="s">
        <v>2587</v>
      </c>
      <c r="F589">
        <v>6</v>
      </c>
      <c r="G589" s="1" t="s">
        <v>553</v>
      </c>
      <c r="H589" s="17" t="s">
        <v>3239</v>
      </c>
      <c r="I589" s="19"/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IF(表1[[#This Row],[不调整offset]]="x",IFERROR(VLOOKUP(表1[[#This Row],[8:image]],常量!J:N,4,FALSE),0),0)</f>
        <v>0</v>
      </c>
      <c r="C590">
        <f>IF(表1[[#This Row],[不调整offset]]="x",IFERROR(VLOOKUP(表1[[#This Row],[8:image]],常量!J:N,5,FALSE),0),0)</f>
        <v>0</v>
      </c>
      <c r="E590" t="s">
        <v>2587</v>
      </c>
      <c r="F590">
        <v>6</v>
      </c>
      <c r="G590" s="1" t="s">
        <v>554</v>
      </c>
      <c r="H590" s="17" t="s">
        <v>3240</v>
      </c>
      <c r="I590" s="19"/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IF(表1[[#This Row],[不调整offset]]="x",IFERROR(VLOOKUP(表1[[#This Row],[8:image]],常量!J:N,4,FALSE),0),0)</f>
        <v>0</v>
      </c>
      <c r="C591">
        <f>IF(表1[[#This Row],[不调整offset]]="x",IFERROR(VLOOKUP(表1[[#This Row],[8:image]],常量!J:N,5,FALSE),0),0)</f>
        <v>0</v>
      </c>
      <c r="E591" t="s">
        <v>2587</v>
      </c>
      <c r="F591">
        <v>6</v>
      </c>
      <c r="G591" s="1" t="s">
        <v>555</v>
      </c>
      <c r="H591" s="17" t="s">
        <v>3241</v>
      </c>
      <c r="I591" s="19"/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IF(表1[[#This Row],[不调整offset]]="x",IFERROR(VLOOKUP(表1[[#This Row],[8:image]],常量!J:N,4,FALSE),0),0)</f>
        <v>0</v>
      </c>
      <c r="C592">
        <f>IF(表1[[#This Row],[不调整offset]]="x",IFERROR(VLOOKUP(表1[[#This Row],[8:image]],常量!J:N,5,FALSE),0),0)</f>
        <v>0</v>
      </c>
      <c r="E592" t="s">
        <v>2587</v>
      </c>
      <c r="F592">
        <v>6</v>
      </c>
      <c r="G592" s="1" t="s">
        <v>556</v>
      </c>
      <c r="H592" s="17" t="s">
        <v>3242</v>
      </c>
      <c r="I592" s="19"/>
      <c r="J592" t="str">
        <f>IF(LEN(VLOOKUP(表1[[#This Row],[id]],数据引用!A:C,3,FALSE))&gt;0,VLOOKUP(表1[[#This Row],[id]],数据引用!A:C,3,FALSE),"")</f>
        <v>魔法视野，被打断移除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font-size:12;"&gt;魔法视野，被打断移除&lt;/text&gt;&lt;text transform="matrix(1 0 0 1 0 10.3205)" style="fill:#FFFFFF; font-family:'FZXS12--GB1-0'; font-size:12;"&gt;魔法视野，被打断移除&lt;/text&gt;&lt;/svg&gt;</v>
      </c>
      <c r="P592" s="5"/>
    </row>
    <row r="593" spans="1:16" ht="14.25" customHeight="1">
      <c r="A593">
        <v>602</v>
      </c>
      <c r="B593">
        <f>IF(表1[[#This Row],[不调整offset]]="x",IFERROR(VLOOKUP(表1[[#This Row],[8:image]],常量!J:N,4,FALSE),0),0)</f>
        <v>0</v>
      </c>
      <c r="C593">
        <f>IF(表1[[#This Row],[不调整offset]]="x",IFERROR(VLOOKUP(表1[[#This Row],[8:image]],常量!J:N,5,FALSE),0),0)</f>
        <v>0</v>
      </c>
      <c r="E593" t="s">
        <v>2587</v>
      </c>
      <c r="F593">
        <v>6</v>
      </c>
      <c r="G593" s="1" t="s">
        <v>557</v>
      </c>
      <c r="H593" s="17" t="s">
        <v>3243</v>
      </c>
      <c r="I593" s="19"/>
      <c r="J593" t="str">
        <f>IF(LEN(VLOOKUP(表1[[#This Row],[id]],数据引用!A:C,3,FALSE))&gt;0,VLOOKUP(表1[[#This Row],[id]],数据引用!A:C,3,FALSE),"")</f>
        <v>墙壁上的火把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font-size:12;"&gt;墙壁上的火把&lt;/text&gt;&lt;text transform="matrix(1 0 0 1 0 10.3205)" style="fill:#FFFFFF; font-family:'FZXS12--GB1-0'; font-size:12;"&gt;墙壁上的火把&lt;/text&gt;&lt;/svg&gt;</v>
      </c>
      <c r="P593" s="5"/>
    </row>
    <row r="594" spans="1:16" ht="14.25" customHeight="1">
      <c r="A594">
        <v>603</v>
      </c>
      <c r="B594">
        <f>IF(表1[[#This Row],[不调整offset]]="x",IFERROR(VLOOKUP(表1[[#This Row],[8:image]],常量!J:N,4,FALSE),0),0)</f>
        <v>0</v>
      </c>
      <c r="C594">
        <f>IF(表1[[#This Row],[不调整offset]]="x",IFERROR(VLOOKUP(表1[[#This Row],[8:image]],常量!J:N,5,FALSE),0),0)</f>
        <v>0</v>
      </c>
      <c r="E594" t="s">
        <v>2587</v>
      </c>
      <c r="F594">
        <v>6</v>
      </c>
      <c r="G594" s="1" t="s">
        <v>558</v>
      </c>
      <c r="H594" s="17" t="s">
        <v>3244</v>
      </c>
      <c r="I594" s="19"/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P594" s="5"/>
    </row>
    <row r="595" spans="1:16" ht="14.25" customHeight="1">
      <c r="A595">
        <v>604</v>
      </c>
      <c r="B595">
        <f>IF(表1[[#This Row],[不调整offset]]="x",IFERROR(VLOOKUP(表1[[#This Row],[8:image]],常量!J:N,4,FALSE),0),0)</f>
        <v>0</v>
      </c>
      <c r="C595">
        <f>IF(表1[[#This Row],[不调整offset]]="x",IFERROR(VLOOKUP(表1[[#This Row],[8:image]],常量!J:N,5,FALSE),0),0)</f>
        <v>0</v>
      </c>
      <c r="E595" t="s">
        <v>2587</v>
      </c>
      <c r="F595">
        <v>6</v>
      </c>
      <c r="G595" s="1" t="s">
        <v>559</v>
      </c>
      <c r="H595" s="17" t="s">
        <v>3245</v>
      </c>
      <c r="I595" s="19"/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IF(表1[[#This Row],[不调整offset]]="x",IFERROR(VLOOKUP(表1[[#This Row],[8:image]],常量!J:N,4,FALSE),0),0)</f>
        <v>0</v>
      </c>
      <c r="C596">
        <f>IF(表1[[#This Row],[不调整offset]]="x",IFERROR(VLOOKUP(表1[[#This Row],[8:image]],常量!J:N,5,FALSE),0),0)</f>
        <v>0</v>
      </c>
      <c r="E596" t="s">
        <v>2587</v>
      </c>
      <c r="F596">
        <v>6</v>
      </c>
      <c r="G596" s="1" t="s">
        <v>560</v>
      </c>
      <c r="H596" s="17" t="s">
        <v>3246</v>
      </c>
      <c r="I596" s="19"/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IF(表1[[#This Row],[不调整offset]]="x",IFERROR(VLOOKUP(表1[[#This Row],[8:image]],常量!J:N,4,FALSE),0),0)</f>
        <v>0</v>
      </c>
      <c r="C597">
        <f>IF(表1[[#This Row],[不调整offset]]="x",IFERROR(VLOOKUP(表1[[#This Row],[8:image]],常量!J:N,5,FALSE),0),0)</f>
        <v>0</v>
      </c>
      <c r="E597" t="s">
        <v>2587</v>
      </c>
      <c r="F597">
        <v>6</v>
      </c>
      <c r="G597" s="1" t="s">
        <v>561</v>
      </c>
      <c r="H597" s="17" t="s">
        <v>3247</v>
      </c>
      <c r="I597" s="19"/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P597" s="5"/>
    </row>
    <row r="598" spans="1:16" ht="14.25" customHeight="1">
      <c r="A598">
        <v>607</v>
      </c>
      <c r="B598">
        <f>IF(表1[[#This Row],[不调整offset]]="x",IFERROR(VLOOKUP(表1[[#This Row],[8:image]],常量!J:N,4,FALSE),0),0)</f>
        <v>0</v>
      </c>
      <c r="C598">
        <f>IF(表1[[#This Row],[不调整offset]]="x",IFERROR(VLOOKUP(表1[[#This Row],[8:image]],常量!J:N,5,FALSE),0),0)</f>
        <v>0</v>
      </c>
      <c r="E598" t="s">
        <v>2587</v>
      </c>
      <c r="F598">
        <v>6</v>
      </c>
      <c r="G598" s="1" t="s">
        <v>562</v>
      </c>
      <c r="H598" s="17" t="s">
        <v>3248</v>
      </c>
      <c r="I598" s="19"/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P598" s="5"/>
    </row>
    <row r="599" spans="1:16" ht="14.25" customHeight="1">
      <c r="A599">
        <v>608</v>
      </c>
      <c r="B599">
        <f>IF(表1[[#This Row],[不调整offset]]="x",IFERROR(VLOOKUP(表1[[#This Row],[8:image]],常量!J:N,4,FALSE),0),0)</f>
        <v>0</v>
      </c>
      <c r="C599">
        <f>IF(表1[[#This Row],[不调整offset]]="x",IFERROR(VLOOKUP(表1[[#This Row],[8:image]],常量!J:N,5,FALSE),0),0)</f>
        <v>0</v>
      </c>
      <c r="E599" t="s">
        <v>2587</v>
      </c>
      <c r="F599">
        <v>6</v>
      </c>
      <c r="G599" s="1" t="s">
        <v>563</v>
      </c>
      <c r="H599" s="17" t="s">
        <v>3249</v>
      </c>
      <c r="I599" s="19"/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P599" s="5"/>
    </row>
    <row r="600" spans="1:16" ht="14.25" customHeight="1">
      <c r="A600">
        <v>609</v>
      </c>
      <c r="B600">
        <f>IF(表1[[#This Row],[不调整offset]]="x",IFERROR(VLOOKUP(表1[[#This Row],[8:image]],常量!J:N,4,FALSE),0),0)</f>
        <v>0</v>
      </c>
      <c r="C600">
        <f>IF(表1[[#This Row],[不调整offset]]="x",IFERROR(VLOOKUP(表1[[#This Row],[8:image]],常量!J:N,5,FALSE),0),0)</f>
        <v>0</v>
      </c>
      <c r="E600" t="s">
        <v>2587</v>
      </c>
      <c r="F600">
        <v>6</v>
      </c>
      <c r="G600" s="1" t="s">
        <v>564</v>
      </c>
      <c r="H600" s="17" t="s">
        <v>3250</v>
      </c>
      <c r="I600" s="19"/>
      <c r="J600" t="str">
        <f>IF(LEN(VLOOKUP(表1[[#This Row],[id]],数据引用!A:C,3,FALSE))&gt;0,VLOOKUP(表1[[#This Row],[id]],数据引用!A:C,3,FALSE),"")</f>
        <v>+4伤害，被打断移除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font-size:12;"&gt;+4伤害，被打断移除&lt;/text&gt;&lt;text transform="matrix(1 0 0 1 0 10.3205)" style="fill:#FFFFFF; font-family:'FZXS12--GB1-0'; font-size:12;"&gt;+4伤害，被打断移除&lt;/text&gt;&lt;/svg&gt;</v>
      </c>
      <c r="P600" s="5"/>
    </row>
    <row r="601" spans="1:16" ht="14.25" customHeight="1">
      <c r="A601">
        <v>610</v>
      </c>
      <c r="B601">
        <f>IF(表1[[#This Row],[不调整offset]]="x",IFERROR(VLOOKUP(表1[[#This Row],[8:image]],常量!J:N,4,FALSE),0),0)</f>
        <v>0</v>
      </c>
      <c r="C601">
        <f>IF(表1[[#This Row],[不调整offset]]="x",IFERROR(VLOOKUP(表1[[#This Row],[8:image]],常量!J:N,5,FALSE),0),0)</f>
        <v>0</v>
      </c>
      <c r="E601" t="s">
        <v>2587</v>
      </c>
      <c r="F601">
        <v>6</v>
      </c>
      <c r="G601" s="1" t="s">
        <v>565</v>
      </c>
      <c r="H601" s="17" t="s">
        <v>3251</v>
      </c>
      <c r="I601" s="19"/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P601" s="5"/>
    </row>
    <row r="602" spans="1:16" ht="14.25" customHeight="1">
      <c r="A602">
        <v>611</v>
      </c>
      <c r="B602">
        <f>IF(表1[[#This Row],[不调整offset]]="x",IFERROR(VLOOKUP(表1[[#This Row],[8:image]],常量!J:N,4,FALSE),0),0)</f>
        <v>0</v>
      </c>
      <c r="C602">
        <f>IF(表1[[#This Row],[不调整offset]]="x",IFERROR(VLOOKUP(表1[[#This Row],[8:image]],常量!J:N,5,FALSE),0),0)</f>
        <v>0</v>
      </c>
      <c r="E602" t="s">
        <v>2587</v>
      </c>
      <c r="F602">
        <v>6</v>
      </c>
      <c r="G602" s="1" t="s">
        <v>566</v>
      </c>
      <c r="H602" s="17" t="s">
        <v>3252</v>
      </c>
      <c r="I602" s="19"/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P602" s="5"/>
    </row>
    <row r="603" spans="1:16" ht="14.25" customHeight="1">
      <c r="A603">
        <v>612</v>
      </c>
      <c r="B603">
        <f>IF(表1[[#This Row],[不调整offset]]="x",IFERROR(VLOOKUP(表1[[#This Row],[8:image]],常量!J:N,4,FALSE),0),0)</f>
        <v>0</v>
      </c>
      <c r="C603">
        <f>IF(表1[[#This Row],[不调整offset]]="x",IFERROR(VLOOKUP(表1[[#This Row],[8:image]],常量!J:N,5,FALSE),0),0)</f>
        <v>0</v>
      </c>
      <c r="E603" t="s">
        <v>2587</v>
      </c>
      <c r="F603">
        <v>6</v>
      </c>
      <c r="G603" s="1" t="s">
        <v>567</v>
      </c>
      <c r="H603" s="17" t="s">
        <v>3253</v>
      </c>
      <c r="I603" s="19"/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P603" s="5"/>
    </row>
    <row r="604" spans="1:16" ht="14.25" customHeight="1">
      <c r="A604">
        <v>613</v>
      </c>
      <c r="B604">
        <f>IF(表1[[#This Row],[不调整offset]]="x",IFERROR(VLOOKUP(表1[[#This Row],[8:image]],常量!J:N,4,FALSE),0),0)</f>
        <v>0</v>
      </c>
      <c r="C604">
        <f>IF(表1[[#This Row],[不调整offset]]="x",IFERROR(VLOOKUP(表1[[#This Row],[8:image]],常量!J:N,5,FALSE),0),0)</f>
        <v>0</v>
      </c>
      <c r="E604" t="s">
        <v>2587</v>
      </c>
      <c r="F604">
        <v>6</v>
      </c>
      <c r="G604" s="1" t="s">
        <v>568</v>
      </c>
      <c r="H604" s="17" t="s">
        <v>3254</v>
      </c>
      <c r="I604" s="19"/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customHeight="1">
      <c r="A605">
        <v>614</v>
      </c>
      <c r="B605">
        <f>IF(表1[[#This Row],[不调整offset]]="x",IFERROR(VLOOKUP(表1[[#This Row],[8:image]],常量!J:N,4,FALSE),0),0)</f>
        <v>0</v>
      </c>
      <c r="C605">
        <f>IF(表1[[#This Row],[不调整offset]]="x",IFERROR(VLOOKUP(表1[[#This Row],[8:image]],常量!J:N,5,FALSE),0),0)</f>
        <v>0</v>
      </c>
      <c r="E605" t="s">
        <v>2587</v>
      </c>
      <c r="F605">
        <v>6</v>
      </c>
      <c r="G605" s="1" t="s">
        <v>569</v>
      </c>
      <c r="H605" s="17" t="s">
        <v>3255</v>
      </c>
      <c r="I605" s="19"/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customHeight="1">
      <c r="A606">
        <v>615</v>
      </c>
      <c r="B606">
        <f>IF(表1[[#This Row],[不调整offset]]="x",IFERROR(VLOOKUP(表1[[#This Row],[8:image]],常量!J:N,4,FALSE),0),0)</f>
        <v>0</v>
      </c>
      <c r="C606">
        <f>IF(表1[[#This Row],[不调整offset]]="x",IFERROR(VLOOKUP(表1[[#This Row],[8:image]],常量!J:N,5,FALSE),0),0)</f>
        <v>0</v>
      </c>
      <c r="E606" t="s">
        <v>2587</v>
      </c>
      <c r="F606">
        <v>6</v>
      </c>
      <c r="G606" s="1" t="s">
        <v>570</v>
      </c>
      <c r="H606" s="17" t="s">
        <v>3256</v>
      </c>
      <c r="I606" s="19"/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customHeight="1">
      <c r="A607">
        <v>616</v>
      </c>
      <c r="B607">
        <f>IF(表1[[#This Row],[不调整offset]]="x",IFERROR(VLOOKUP(表1[[#This Row],[8:image]],常量!J:N,4,FALSE),0),0)</f>
        <v>0</v>
      </c>
      <c r="C607">
        <f>IF(表1[[#This Row],[不调整offset]]="x",IFERROR(VLOOKUP(表1[[#This Row],[8:image]],常量!J:N,5,FALSE),0),0)</f>
        <v>0</v>
      </c>
      <c r="E607" t="s">
        <v>2587</v>
      </c>
      <c r="F607">
        <v>6</v>
      </c>
      <c r="G607" s="1" t="s">
        <v>571</v>
      </c>
      <c r="H607" s="17" t="s">
        <v>3257</v>
      </c>
      <c r="I607" s="19"/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customHeight="1">
      <c r="A608">
        <v>617</v>
      </c>
      <c r="B608">
        <f>IF(表1[[#This Row],[不调整offset]]="x",IFERROR(VLOOKUP(表1[[#This Row],[8:image]],常量!J:N,4,FALSE),0),0)</f>
        <v>0</v>
      </c>
      <c r="C608">
        <f>IF(表1[[#This Row],[不调整offset]]="x",IFERROR(VLOOKUP(表1[[#This Row],[8:image]],常量!J:N,5,FALSE),0),0)</f>
        <v>0</v>
      </c>
      <c r="E608" t="s">
        <v>2587</v>
      </c>
      <c r="F608">
        <v>6</v>
      </c>
      <c r="G608" s="1" t="s">
        <v>572</v>
      </c>
      <c r="H608" s="17" t="s">
        <v>3258</v>
      </c>
      <c r="I608" s="19"/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P608" s="5"/>
    </row>
    <row r="609" spans="1:16" ht="14.25" customHeight="1">
      <c r="A609">
        <v>618</v>
      </c>
      <c r="B609">
        <f>IF(表1[[#This Row],[不调整offset]]="x",IFERROR(VLOOKUP(表1[[#This Row],[8:image]],常量!J:N,4,FALSE),0),0)</f>
        <v>0</v>
      </c>
      <c r="C609">
        <f>IF(表1[[#This Row],[不调整offset]]="x",IFERROR(VLOOKUP(表1[[#This Row],[8:image]],常量!J:N,5,FALSE),0),0)</f>
        <v>0</v>
      </c>
      <c r="E609" t="s">
        <v>2587</v>
      </c>
      <c r="F609">
        <v>6</v>
      </c>
      <c r="G609" s="1" t="s">
        <v>573</v>
      </c>
      <c r="H609" s="17" t="s">
        <v>3259</v>
      </c>
      <c r="I609" s="19"/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customHeight="1">
      <c r="A610">
        <v>619</v>
      </c>
      <c r="B610">
        <f>IF(表1[[#This Row],[不调整offset]]="x",IFERROR(VLOOKUP(表1[[#This Row],[8:image]],常量!J:N,4,FALSE),0),0)</f>
        <v>0</v>
      </c>
      <c r="C610">
        <f>IF(表1[[#This Row],[不调整offset]]="x",IFERROR(VLOOKUP(表1[[#This Row],[8:image]],常量!J:N,5,FALSE),0),0)</f>
        <v>0</v>
      </c>
      <c r="E610" t="s">
        <v>2587</v>
      </c>
      <c r="F610">
        <v>6</v>
      </c>
      <c r="G610" s="1" t="s">
        <v>574</v>
      </c>
      <c r="H610" s="17" t="s">
        <v>3260</v>
      </c>
      <c r="I610" s="19"/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customHeight="1">
      <c r="A611">
        <v>620</v>
      </c>
      <c r="B611">
        <f>IF(表1[[#This Row],[不调整offset]]="x",IFERROR(VLOOKUP(表1[[#This Row],[8:image]],常量!J:N,4,FALSE),0),0)</f>
        <v>0</v>
      </c>
      <c r="C611">
        <f>IF(表1[[#This Row],[不调整offset]]="x",IFERROR(VLOOKUP(表1[[#This Row],[8:image]],常量!J:N,5,FALSE),0),0)</f>
        <v>0</v>
      </c>
      <c r="E611" t="s">
        <v>2587</v>
      </c>
      <c r="F611">
        <v>6</v>
      </c>
      <c r="G611" s="1" t="s">
        <v>575</v>
      </c>
      <c r="H611" s="17" t="s">
        <v>3261</v>
      </c>
      <c r="I611" s="19"/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customHeight="1">
      <c r="A612">
        <v>621</v>
      </c>
      <c r="B612">
        <f>IF(表1[[#This Row],[不调整offset]]="x",IFERROR(VLOOKUP(表1[[#This Row],[8:image]],常量!J:N,4,FALSE),0),0)</f>
        <v>0</v>
      </c>
      <c r="C612">
        <f>IF(表1[[#This Row],[不调整offset]]="x",IFERROR(VLOOKUP(表1[[#This Row],[8:image]],常量!J:N,5,FALSE),0),0)</f>
        <v>0</v>
      </c>
      <c r="E612" t="s">
        <v>2587</v>
      </c>
      <c r="F612">
        <v>6</v>
      </c>
      <c r="G612" s="1" t="s">
        <v>576</v>
      </c>
      <c r="H612" s="17" t="s">
        <v>3262</v>
      </c>
      <c r="I612" s="19"/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customHeight="1">
      <c r="A613">
        <v>622</v>
      </c>
      <c r="B613">
        <f>IF(表1[[#This Row],[不调整offset]]="x",IFERROR(VLOOKUP(表1[[#This Row],[8:image]],常量!J:N,4,FALSE),0),0)</f>
        <v>0</v>
      </c>
      <c r="C613">
        <f>IF(表1[[#This Row],[不调整offset]]="x",IFERROR(VLOOKUP(表1[[#This Row],[8:image]],常量!J:N,5,FALSE),0),0)</f>
        <v>0</v>
      </c>
      <c r="E613" t="s">
        <v>2587</v>
      </c>
      <c r="F613">
        <v>6</v>
      </c>
      <c r="G613" s="1" t="s">
        <v>577</v>
      </c>
      <c r="H613" s="17" t="s">
        <v>3263</v>
      </c>
      <c r="I613" s="19"/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customHeight="1">
      <c r="A614">
        <v>623</v>
      </c>
      <c r="B614">
        <f>IF(表1[[#This Row],[不调整offset]]="x",IFERROR(VLOOKUP(表1[[#This Row],[8:image]],常量!J:N,4,FALSE),0),0)</f>
        <v>0</v>
      </c>
      <c r="C614">
        <f>IF(表1[[#This Row],[不调整offset]]="x",IFERROR(VLOOKUP(表1[[#This Row],[8:image]],常量!J:N,5,FALSE),0),0)</f>
        <v>0</v>
      </c>
      <c r="E614" t="s">
        <v>2587</v>
      </c>
      <c r="F614">
        <v>6</v>
      </c>
      <c r="G614" s="1" t="s">
        <v>578</v>
      </c>
      <c r="H614" s="17" t="s">
        <v>3264</v>
      </c>
      <c r="I614" s="19"/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customHeight="1">
      <c r="A615">
        <v>650</v>
      </c>
      <c r="B615">
        <f>IF(表1[[#This Row],[不调整offset]]="x",IFERROR(VLOOKUP(表1[[#This Row],[8:image]],常量!J:N,4,FALSE),0),0)</f>
        <v>0</v>
      </c>
      <c r="C615">
        <f>IF(表1[[#This Row],[不调整offset]]="x",IFERROR(VLOOKUP(表1[[#This Row],[8:image]],常量!J:N,5,FALSE),0),0)</f>
        <v>0</v>
      </c>
      <c r="E615" t="s">
        <v>2587</v>
      </c>
      <c r="F615">
        <v>6</v>
      </c>
      <c r="G615" s="1" t="s">
        <v>579</v>
      </c>
      <c r="H615" s="17" t="s">
        <v>3265</v>
      </c>
      <c r="I615" s="19"/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customHeight="1">
      <c r="A616">
        <v>651</v>
      </c>
      <c r="B616">
        <f>IF(表1[[#This Row],[不调整offset]]="x",IFERROR(VLOOKUP(表1[[#This Row],[8:image]],常量!J:N,4,FALSE),0),0)</f>
        <v>0</v>
      </c>
      <c r="C616">
        <f>IF(表1[[#This Row],[不调整offset]]="x",IFERROR(VLOOKUP(表1[[#This Row],[8:image]],常量!J:N,5,FALSE),0),0)</f>
        <v>0</v>
      </c>
      <c r="E616" t="s">
        <v>2587</v>
      </c>
      <c r="F616">
        <v>6</v>
      </c>
      <c r="G616" s="1" t="s">
        <v>580</v>
      </c>
      <c r="H616" s="17" t="s">
        <v>3266</v>
      </c>
      <c r="I616" s="19"/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customHeight="1">
      <c r="A617">
        <v>652</v>
      </c>
      <c r="B617">
        <f>IF(表1[[#This Row],[不调整offset]]="x",IFERROR(VLOOKUP(表1[[#This Row],[8:image]],常量!J:N,4,FALSE),0),0)</f>
        <v>0</v>
      </c>
      <c r="C617">
        <f>IF(表1[[#This Row],[不调整offset]]="x",IFERROR(VLOOKUP(表1[[#This Row],[8:image]],常量!J:N,5,FALSE),0),0)</f>
        <v>0</v>
      </c>
      <c r="E617" t="s">
        <v>2587</v>
      </c>
      <c r="F617">
        <v>6</v>
      </c>
      <c r="G617" s="1" t="s">
        <v>581</v>
      </c>
      <c r="H617" s="17" t="s">
        <v>3267</v>
      </c>
      <c r="I617" s="19"/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customHeight="1">
      <c r="A618">
        <v>653</v>
      </c>
      <c r="B618">
        <f>IF(表1[[#This Row],[不调整offset]]="x",IFERROR(VLOOKUP(表1[[#This Row],[8:image]],常量!J:N,4,FALSE),0),0)</f>
        <v>0</v>
      </c>
      <c r="C618">
        <f>IF(表1[[#This Row],[不调整offset]]="x",IFERROR(VLOOKUP(表1[[#This Row],[8:image]],常量!J:N,5,FALSE),0),0)</f>
        <v>0</v>
      </c>
      <c r="E618" t="s">
        <v>2587</v>
      </c>
      <c r="F618">
        <v>6</v>
      </c>
      <c r="G618" s="1" t="s">
        <v>582</v>
      </c>
      <c r="H618" s="17" t="s">
        <v>3268</v>
      </c>
      <c r="I618" s="19"/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customHeight="1">
      <c r="A619">
        <v>654</v>
      </c>
      <c r="B619">
        <f>IF(表1[[#This Row],[不调整offset]]="x",IFERROR(VLOOKUP(表1[[#This Row],[8:image]],常量!J:N,4,FALSE),0),0)</f>
        <v>0</v>
      </c>
      <c r="C619">
        <f>IF(表1[[#This Row],[不调整offset]]="x",IFERROR(VLOOKUP(表1[[#This Row],[8:image]],常量!J:N,5,FALSE),0),0)</f>
        <v>0</v>
      </c>
      <c r="E619" t="s">
        <v>2587</v>
      </c>
      <c r="F619">
        <v>6</v>
      </c>
      <c r="G619" s="1" t="s">
        <v>583</v>
      </c>
      <c r="H619" s="17" t="s">
        <v>3269</v>
      </c>
      <c r="I619" s="19"/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customHeight="1">
      <c r="A620">
        <v>655</v>
      </c>
      <c r="B620">
        <f>IF(表1[[#This Row],[不调整offset]]="x",IFERROR(VLOOKUP(表1[[#This Row],[8:image]],常量!J:N,4,FALSE),0),0)</f>
        <v>0</v>
      </c>
      <c r="C620">
        <f>IF(表1[[#This Row],[不调整offset]]="x",IFERROR(VLOOKUP(表1[[#This Row],[8:image]],常量!J:N,5,FALSE),0),0)</f>
        <v>0</v>
      </c>
      <c r="E620" t="s">
        <v>2587</v>
      </c>
      <c r="F620">
        <v>6</v>
      </c>
      <c r="G620" s="1" t="s">
        <v>584</v>
      </c>
      <c r="H620" s="17" t="s">
        <v>3270</v>
      </c>
      <c r="I620" s="19"/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customHeight="1">
      <c r="A621">
        <v>656</v>
      </c>
      <c r="B621">
        <f>IF(表1[[#This Row],[不调整offset]]="x",IFERROR(VLOOKUP(表1[[#This Row],[8:image]],常量!J:N,4,FALSE),0),0)</f>
        <v>0</v>
      </c>
      <c r="C621">
        <f>IF(表1[[#This Row],[不调整offset]]="x",IFERROR(VLOOKUP(表1[[#This Row],[8:image]],常量!J:N,5,FALSE),0),0)</f>
        <v>0</v>
      </c>
      <c r="E621" t="s">
        <v>2587</v>
      </c>
      <c r="F621">
        <v>6</v>
      </c>
      <c r="G621" s="1" t="s">
        <v>585</v>
      </c>
      <c r="H621" s="17" t="s">
        <v>3271</v>
      </c>
      <c r="I621" s="19"/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customHeight="1">
      <c r="A622">
        <v>700</v>
      </c>
      <c r="B622">
        <f>IF(表1[[#This Row],[不调整offset]]="x",IFERROR(VLOOKUP(表1[[#This Row],[8:image]],常量!J:N,4,FALSE),0),0)</f>
        <v>0</v>
      </c>
      <c r="C622">
        <f>IF(表1[[#This Row],[不调整offset]]="x",IFERROR(VLOOKUP(表1[[#This Row],[8:image]],常量!J:N,5,FALSE),0),0)</f>
        <v>0</v>
      </c>
      <c r="E622" t="s">
        <v>2589</v>
      </c>
      <c r="F622">
        <v>18</v>
      </c>
      <c r="G622" s="1" t="s">
        <v>586</v>
      </c>
      <c r="H622" s="17" t="s">
        <v>3272</v>
      </c>
      <c r="I622" s="19"/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IF(表1[[#This Row],[不调整offset]]="x",IFERROR(VLOOKUP(表1[[#This Row],[8:image]],常量!J:N,4,FALSE),0),0)</f>
        <v>0</v>
      </c>
      <c r="C623">
        <f>IF(表1[[#This Row],[不调整offset]]="x",IFERROR(VLOOKUP(表1[[#This Row],[8:image]],常量!J:N,5,FALSE),0),0)</f>
        <v>0</v>
      </c>
      <c r="E623">
        <v>1</v>
      </c>
      <c r="F623">
        <v>12</v>
      </c>
      <c r="G623" s="1" t="s">
        <v>587</v>
      </c>
      <c r="H623" s="17" t="s">
        <v>3273</v>
      </c>
      <c r="I623" s="17" t="s">
        <v>4303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customHeight="1">
      <c r="A624">
        <v>702</v>
      </c>
      <c r="B624">
        <f>IF(表1[[#This Row],[不调整offset]]="x",IFERROR(VLOOKUP(表1[[#This Row],[8:image]],常量!J:N,4,FALSE),0),0)</f>
        <v>0</v>
      </c>
      <c r="C624">
        <f>IF(表1[[#This Row],[不调整offset]]="x",IFERROR(VLOOKUP(表1[[#This Row],[8:image]],常量!J:N,5,FALSE),0),0)</f>
        <v>0</v>
      </c>
      <c r="E624">
        <v>1</v>
      </c>
      <c r="F624">
        <v>12</v>
      </c>
      <c r="G624" s="1" t="s">
        <v>588</v>
      </c>
      <c r="H624" s="17" t="s">
        <v>3274</v>
      </c>
      <c r="I624" s="17" t="s">
        <v>4304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customHeight="1">
      <c r="A625">
        <v>703</v>
      </c>
      <c r="B625">
        <f>IF(表1[[#This Row],[不调整offset]]="x",IFERROR(VLOOKUP(表1[[#This Row],[8:image]],常量!J:N,4,FALSE),0),0)</f>
        <v>0</v>
      </c>
      <c r="C625">
        <f>IF(表1[[#This Row],[不调整offset]]="x",IFERROR(VLOOKUP(表1[[#This Row],[8:image]],常量!J:N,5,FALSE),0),0)</f>
        <v>0</v>
      </c>
      <c r="E625">
        <v>1</v>
      </c>
      <c r="F625">
        <v>12</v>
      </c>
      <c r="G625" s="1" t="s">
        <v>589</v>
      </c>
      <c r="H625" s="17" t="s">
        <v>3275</v>
      </c>
      <c r="I625" s="17" t="s">
        <v>4305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customHeight="1">
      <c r="A626">
        <v>704</v>
      </c>
      <c r="B626">
        <f>IF(表1[[#This Row],[不调整offset]]="x",IFERROR(VLOOKUP(表1[[#This Row],[8:image]],常量!J:N,4,FALSE),0),0)</f>
        <v>0</v>
      </c>
      <c r="C626">
        <f>IF(表1[[#This Row],[不调整offset]]="x",IFERROR(VLOOKUP(表1[[#This Row],[8:image]],常量!J:N,5,FALSE),0),0)</f>
        <v>0</v>
      </c>
      <c r="E626">
        <v>1</v>
      </c>
      <c r="F626">
        <v>12</v>
      </c>
      <c r="G626" s="1" t="s">
        <v>590</v>
      </c>
      <c r="H626" s="17" t="s">
        <v>3276</v>
      </c>
      <c r="I626" s="17" t="s">
        <v>4306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customHeight="1">
      <c r="A627">
        <v>705</v>
      </c>
      <c r="B627">
        <f>IF(表1[[#This Row],[不调整offset]]="x",IFERROR(VLOOKUP(表1[[#This Row],[8:image]],常量!J:N,4,FALSE),0),0)</f>
        <v>0</v>
      </c>
      <c r="C627">
        <f>IF(表1[[#This Row],[不调整offset]]="x",IFERROR(VLOOKUP(表1[[#This Row],[8:image]],常量!J:N,5,FALSE),0),0)</f>
        <v>0</v>
      </c>
      <c r="E627">
        <v>1</v>
      </c>
      <c r="F627">
        <v>12</v>
      </c>
      <c r="G627" s="1" t="s">
        <v>591</v>
      </c>
      <c r="H627" s="17" t="s">
        <v>3277</v>
      </c>
      <c r="I627" s="17" t="s">
        <v>4307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customHeight="1">
      <c r="A628">
        <v>706</v>
      </c>
      <c r="B628">
        <f>IF(表1[[#This Row],[不调整offset]]="x",IFERROR(VLOOKUP(表1[[#This Row],[8:image]],常量!J:N,4,FALSE),0),0)</f>
        <v>0</v>
      </c>
      <c r="C628">
        <f>IF(表1[[#This Row],[不调整offset]]="x",IFERROR(VLOOKUP(表1[[#This Row],[8:image]],常量!J:N,5,FALSE),0),0)</f>
        <v>0</v>
      </c>
      <c r="E628">
        <v>1</v>
      </c>
      <c r="F628">
        <v>12</v>
      </c>
      <c r="G628" s="1" t="s">
        <v>592</v>
      </c>
      <c r="H628" s="17" t="s">
        <v>3278</v>
      </c>
      <c r="I628" s="19"/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IF(表1[[#This Row],[不调整offset]]="x",IFERROR(VLOOKUP(表1[[#This Row],[8:image]],常量!J:N,4,FALSE),0),0)</f>
        <v>0</v>
      </c>
      <c r="C629">
        <f>IF(表1[[#This Row],[不调整offset]]="x",IFERROR(VLOOKUP(表1[[#This Row],[8:image]],常量!J:N,5,FALSE),0),0)</f>
        <v>0</v>
      </c>
      <c r="E629">
        <v>1</v>
      </c>
      <c r="F629">
        <v>12</v>
      </c>
      <c r="G629" s="1" t="s">
        <v>593</v>
      </c>
      <c r="H629" s="17" t="s">
        <v>3279</v>
      </c>
      <c r="I629" s="19"/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customHeight="1">
      <c r="A630">
        <v>708</v>
      </c>
      <c r="B630">
        <f>IF(表1[[#This Row],[不调整offset]]="x",IFERROR(VLOOKUP(表1[[#This Row],[8:image]],常量!J:N,4,FALSE),0),0)</f>
        <v>0</v>
      </c>
      <c r="C630">
        <f>IF(表1[[#This Row],[不调整offset]]="x",IFERROR(VLOOKUP(表1[[#This Row],[8:image]],常量!J:N,5,FALSE),0),0)</f>
        <v>0</v>
      </c>
      <c r="E630">
        <v>1</v>
      </c>
      <c r="F630">
        <v>12</v>
      </c>
      <c r="G630" s="1" t="s">
        <v>594</v>
      </c>
      <c r="H630" s="17" t="s">
        <v>3280</v>
      </c>
      <c r="I630" s="19"/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IF(表1[[#This Row],[不调整offset]]="x",IFERROR(VLOOKUP(表1[[#This Row],[8:image]],常量!J:N,4,FALSE),0),0)</f>
        <v>0</v>
      </c>
      <c r="C631">
        <f>IF(表1[[#This Row],[不调整offset]]="x",IFERROR(VLOOKUP(表1[[#This Row],[8:image]],常量!J:N,5,FALSE),0),0)</f>
        <v>0</v>
      </c>
      <c r="E631">
        <v>1</v>
      </c>
      <c r="F631">
        <v>12</v>
      </c>
      <c r="G631" s="1" t="s">
        <v>595</v>
      </c>
      <c r="H631" s="17" t="s">
        <v>3281</v>
      </c>
      <c r="I631" s="19"/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customHeight="1">
      <c r="A632">
        <v>710</v>
      </c>
      <c r="B632">
        <f>IF(表1[[#This Row],[不调整offset]]="x",IFERROR(VLOOKUP(表1[[#This Row],[8:image]],常量!J:N,4,FALSE),0),0)</f>
        <v>0</v>
      </c>
      <c r="C632">
        <f>IF(表1[[#This Row],[不调整offset]]="x",IFERROR(VLOOKUP(表1[[#This Row],[8:image]],常量!J:N,5,FALSE),0),0)</f>
        <v>0</v>
      </c>
      <c r="E632">
        <v>1</v>
      </c>
      <c r="F632">
        <v>12</v>
      </c>
      <c r="G632" s="1" t="s">
        <v>596</v>
      </c>
      <c r="H632" s="17" t="s">
        <v>3282</v>
      </c>
      <c r="I632" s="19"/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customHeight="1">
      <c r="A633">
        <v>711</v>
      </c>
      <c r="B633">
        <f>IF(表1[[#This Row],[不调整offset]]="x",IFERROR(VLOOKUP(表1[[#This Row],[8:image]],常量!J:N,4,FALSE),0),0)</f>
        <v>0</v>
      </c>
      <c r="C633">
        <f>IF(表1[[#This Row],[不调整offset]]="x",IFERROR(VLOOKUP(表1[[#This Row],[8:image]],常量!J:N,5,FALSE),0),0)</f>
        <v>0</v>
      </c>
      <c r="E633">
        <v>1</v>
      </c>
      <c r="F633">
        <v>12</v>
      </c>
      <c r="G633" s="1" t="s">
        <v>27</v>
      </c>
      <c r="H633" s="17" t="s">
        <v>3283</v>
      </c>
      <c r="I633" s="19"/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customHeight="1">
      <c r="A634">
        <v>712</v>
      </c>
      <c r="B634">
        <f>IF(表1[[#This Row],[不调整offset]]="x",IFERROR(VLOOKUP(表1[[#This Row],[8:image]],常量!J:N,4,FALSE),0),0)</f>
        <v>0</v>
      </c>
      <c r="C634">
        <f>IF(表1[[#This Row],[不调整offset]]="x",IFERROR(VLOOKUP(表1[[#This Row],[8:image]],常量!J:N,5,FALSE),0),0)</f>
        <v>0</v>
      </c>
      <c r="E634">
        <v>1</v>
      </c>
      <c r="F634">
        <v>12</v>
      </c>
      <c r="G634" s="1" t="s">
        <v>597</v>
      </c>
      <c r="H634" s="17" t="s">
        <v>3284</v>
      </c>
      <c r="I634" s="17" t="s">
        <v>4308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customHeight="1">
      <c r="A635">
        <v>713</v>
      </c>
      <c r="B635">
        <f>IF(表1[[#This Row],[不调整offset]]="x",IFERROR(VLOOKUP(表1[[#This Row],[8:image]],常量!J:N,4,FALSE),0),0)</f>
        <v>0</v>
      </c>
      <c r="C635">
        <f>IF(表1[[#This Row],[不调整offset]]="x",IFERROR(VLOOKUP(表1[[#This Row],[8:image]],常量!J:N,5,FALSE),0),0)</f>
        <v>0</v>
      </c>
      <c r="E635" t="s">
        <v>2587</v>
      </c>
      <c r="F635">
        <v>6</v>
      </c>
      <c r="G635" s="1" t="s">
        <v>598</v>
      </c>
      <c r="H635" s="17" t="s">
        <v>3285</v>
      </c>
      <c r="I635" s="19"/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customHeight="1">
      <c r="A636">
        <v>714</v>
      </c>
      <c r="B636">
        <f>IF(表1[[#This Row],[不调整offset]]="x",IFERROR(VLOOKUP(表1[[#This Row],[8:image]],常量!J:N,4,FALSE),0),0)</f>
        <v>0</v>
      </c>
      <c r="C636">
        <f>IF(表1[[#This Row],[不调整offset]]="x",IFERROR(VLOOKUP(表1[[#This Row],[8:image]],常量!J:N,5,FALSE),0),0)</f>
        <v>0</v>
      </c>
      <c r="E636" t="s">
        <v>2587</v>
      </c>
      <c r="F636">
        <v>6</v>
      </c>
      <c r="G636" s="1" t="s">
        <v>599</v>
      </c>
      <c r="H636" s="16" t="s">
        <v>3286</v>
      </c>
      <c r="I636" s="19"/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IF(表1[[#This Row],[不调整offset]]="x",IFERROR(VLOOKUP(表1[[#This Row],[8:image]],常量!J:N,4,FALSE),0),0)</f>
        <v>0</v>
      </c>
      <c r="C637">
        <f>IF(表1[[#This Row],[不调整offset]]="x",IFERROR(VLOOKUP(表1[[#This Row],[8:image]],常量!J:N,5,FALSE),0),0)</f>
        <v>0</v>
      </c>
      <c r="E637">
        <v>1</v>
      </c>
      <c r="F637">
        <v>12</v>
      </c>
      <c r="G637" s="1" t="s">
        <v>600</v>
      </c>
      <c r="H637" s="17" t="s">
        <v>3287</v>
      </c>
      <c r="I637" s="19"/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customHeight="1">
      <c r="A638">
        <v>901</v>
      </c>
      <c r="B638">
        <f>IF(表1[[#This Row],[不调整offset]]="x",IFERROR(VLOOKUP(表1[[#This Row],[8:image]],常量!J:N,4,FALSE),0),0)</f>
        <v>0</v>
      </c>
      <c r="C638">
        <f>IF(表1[[#This Row],[不调整offset]]="x",IFERROR(VLOOKUP(表1[[#This Row],[8:image]],常量!J:N,5,FALSE),0),0)</f>
        <v>0</v>
      </c>
      <c r="E638">
        <v>1</v>
      </c>
      <c r="F638">
        <v>12</v>
      </c>
      <c r="G638" s="1" t="s">
        <v>601</v>
      </c>
      <c r="H638" s="17" t="s">
        <v>3288</v>
      </c>
      <c r="I638" s="19"/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customHeight="1">
      <c r="A639">
        <v>902</v>
      </c>
      <c r="B639">
        <f>IF(表1[[#This Row],[不调整offset]]="x",IFERROR(VLOOKUP(表1[[#This Row],[8:image]],常量!J:N,4,FALSE),0),0)</f>
        <v>0</v>
      </c>
      <c r="C639">
        <f>IF(表1[[#This Row],[不调整offset]]="x",IFERROR(VLOOKUP(表1[[#This Row],[8:image]],常量!J:N,5,FALSE),0),0)</f>
        <v>0</v>
      </c>
      <c r="E639">
        <v>1</v>
      </c>
      <c r="F639">
        <v>12</v>
      </c>
      <c r="G639" s="1" t="s">
        <v>602</v>
      </c>
      <c r="H639" s="17" t="s">
        <v>3289</v>
      </c>
      <c r="I639" s="19"/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customHeight="1">
      <c r="A640">
        <v>903</v>
      </c>
      <c r="B640">
        <f>IF(表1[[#This Row],[不调整offset]]="x",IFERROR(VLOOKUP(表1[[#This Row],[8:image]],常量!J:N,4,FALSE),0),0)</f>
        <v>0</v>
      </c>
      <c r="C640">
        <f>IF(表1[[#This Row],[不调整offset]]="x",IFERROR(VLOOKUP(表1[[#This Row],[8:image]],常量!J:N,5,FALSE),0),0)</f>
        <v>0</v>
      </c>
      <c r="E640">
        <v>1</v>
      </c>
      <c r="F640">
        <v>12</v>
      </c>
      <c r="G640" s="1" t="s">
        <v>603</v>
      </c>
      <c r="H640" s="17" t="s">
        <v>3290</v>
      </c>
      <c r="I640" s="19"/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customHeight="1">
      <c r="A641">
        <v>904</v>
      </c>
      <c r="B641">
        <f>IF(表1[[#This Row],[不调整offset]]="x",IFERROR(VLOOKUP(表1[[#This Row],[8:image]],常量!J:N,4,FALSE),0),0)</f>
        <v>0</v>
      </c>
      <c r="C641">
        <f>IF(表1[[#This Row],[不调整offset]]="x",IFERROR(VLOOKUP(表1[[#This Row],[8:image]],常量!J:N,5,FALSE),0),0)</f>
        <v>0</v>
      </c>
      <c r="E641">
        <v>1</v>
      </c>
      <c r="F641">
        <v>12</v>
      </c>
      <c r="G641" s="1" t="s">
        <v>604</v>
      </c>
      <c r="H641" s="17" t="s">
        <v>3291</v>
      </c>
      <c r="I641" s="19"/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customHeight="1">
      <c r="A642">
        <v>905</v>
      </c>
      <c r="B642">
        <f>IF(表1[[#This Row],[不调整offset]]="x",IFERROR(VLOOKUP(表1[[#This Row],[8:image]],常量!J:N,4,FALSE),0),0)</f>
        <v>0</v>
      </c>
      <c r="C642">
        <f>IF(表1[[#This Row],[不调整offset]]="x",IFERROR(VLOOKUP(表1[[#This Row],[8:image]],常量!J:N,5,FALSE),0),0)</f>
        <v>0</v>
      </c>
      <c r="E642">
        <v>1</v>
      </c>
      <c r="F642">
        <v>12</v>
      </c>
      <c r="G642" s="1" t="s">
        <v>605</v>
      </c>
      <c r="H642" s="17" t="s">
        <v>3292</v>
      </c>
      <c r="I642" s="19"/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customHeight="1">
      <c r="A643">
        <v>906</v>
      </c>
      <c r="B643">
        <f>IF(表1[[#This Row],[不调整offset]]="x",IFERROR(VLOOKUP(表1[[#This Row],[8:image]],常量!J:N,4,FALSE),0),0)</f>
        <v>0</v>
      </c>
      <c r="C643">
        <f>IF(表1[[#This Row],[不调整offset]]="x",IFERROR(VLOOKUP(表1[[#This Row],[8:image]],常量!J:N,5,FALSE),0),0)</f>
        <v>0</v>
      </c>
      <c r="E643">
        <v>1</v>
      </c>
      <c r="F643">
        <v>12</v>
      </c>
      <c r="G643" s="13" t="s">
        <v>606</v>
      </c>
      <c r="H643" s="16" t="s">
        <v>3293</v>
      </c>
      <c r="I643" s="19"/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customHeight="1">
      <c r="A644">
        <v>907</v>
      </c>
      <c r="B644">
        <f>IF(表1[[#This Row],[不调整offset]]="x",IFERROR(VLOOKUP(表1[[#This Row],[8:image]],常量!J:N,4,FALSE),0),0)</f>
        <v>0</v>
      </c>
      <c r="C644">
        <f>IF(表1[[#This Row],[不调整offset]]="x",IFERROR(VLOOKUP(表1[[#This Row],[8:image]],常量!J:N,5,FALSE),0),0)</f>
        <v>0</v>
      </c>
      <c r="E644">
        <v>1</v>
      </c>
      <c r="F644">
        <v>12</v>
      </c>
      <c r="G644" s="1" t="s">
        <v>607</v>
      </c>
      <c r="H644" s="17" t="s">
        <v>3294</v>
      </c>
      <c r="I644" s="17" t="s">
        <v>4309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customHeight="1">
      <c r="A645">
        <v>908</v>
      </c>
      <c r="B645">
        <f>IF(表1[[#This Row],[不调整offset]]="x",IFERROR(VLOOKUP(表1[[#This Row],[8:image]],常量!J:N,4,FALSE),0),0)</f>
        <v>0</v>
      </c>
      <c r="C645">
        <f>IF(表1[[#This Row],[不调整offset]]="x",IFERROR(VLOOKUP(表1[[#This Row],[8:image]],常量!J:N,5,FALSE),0),0)</f>
        <v>0</v>
      </c>
      <c r="E645">
        <v>1</v>
      </c>
      <c r="F645">
        <v>12</v>
      </c>
      <c r="G645" s="1" t="s">
        <v>608</v>
      </c>
      <c r="H645" s="17" t="s">
        <v>3295</v>
      </c>
      <c r="I645" s="17" t="s">
        <v>4310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customHeight="1">
      <c r="A646">
        <v>909</v>
      </c>
      <c r="B646">
        <f>IF(表1[[#This Row],[不调整offset]]="x",IFERROR(VLOOKUP(表1[[#This Row],[8:image]],常量!J:N,4,FALSE),0),0)</f>
        <v>0</v>
      </c>
      <c r="C646">
        <f>IF(表1[[#This Row],[不调整offset]]="x",IFERROR(VLOOKUP(表1[[#This Row],[8:image]],常量!J:N,5,FALSE),0),0)</f>
        <v>0</v>
      </c>
      <c r="E646">
        <v>1</v>
      </c>
      <c r="F646">
        <v>12</v>
      </c>
      <c r="G646" s="1" t="s">
        <v>36</v>
      </c>
      <c r="H646" s="17" t="s">
        <v>3296</v>
      </c>
      <c r="I646" s="19"/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IF(表1[[#This Row],[不调整offset]]="x",IFERROR(VLOOKUP(表1[[#This Row],[8:image]],常量!J:N,4,FALSE),0),0)</f>
        <v>0</v>
      </c>
      <c r="C647">
        <f>IF(表1[[#This Row],[不调整offset]]="x",IFERROR(VLOOKUP(表1[[#This Row],[8:image]],常量!J:N,5,FALSE),0),0)</f>
        <v>0</v>
      </c>
      <c r="E647">
        <v>1</v>
      </c>
      <c r="F647">
        <v>12</v>
      </c>
      <c r="G647" s="1" t="s">
        <v>609</v>
      </c>
      <c r="H647" s="17" t="s">
        <v>3297</v>
      </c>
      <c r="I647" s="19"/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IF(表1[[#This Row],[不调整offset]]="x",IFERROR(VLOOKUP(表1[[#This Row],[8:image]],常量!J:N,4,FALSE),0),0)</f>
        <v>0</v>
      </c>
      <c r="C648">
        <f>IF(表1[[#This Row],[不调整offset]]="x",IFERROR(VLOOKUP(表1[[#This Row],[8:image]],常量!J:N,5,FALSE),0),0)</f>
        <v>0</v>
      </c>
      <c r="E648">
        <v>1</v>
      </c>
      <c r="F648">
        <v>12</v>
      </c>
      <c r="G648" s="1" t="s">
        <v>610</v>
      </c>
      <c r="H648" s="17" t="s">
        <v>3298</v>
      </c>
      <c r="I648" s="19"/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IF(表1[[#This Row],[不调整offset]]="x",IFERROR(VLOOKUP(表1[[#This Row],[8:image]],常量!J:N,4,FALSE),0),0)</f>
        <v>0</v>
      </c>
      <c r="C649">
        <f>IF(表1[[#This Row],[不调整offset]]="x",IFERROR(VLOOKUP(表1[[#This Row],[8:image]],常量!J:N,5,FALSE),0),0)</f>
        <v>0</v>
      </c>
      <c r="E649">
        <v>1</v>
      </c>
      <c r="F649">
        <v>12</v>
      </c>
      <c r="G649" s="1" t="s">
        <v>611</v>
      </c>
      <c r="H649" s="17" t="s">
        <v>3299</v>
      </c>
      <c r="I649" s="17" t="s">
        <v>4311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customHeight="1">
      <c r="A650">
        <v>913</v>
      </c>
      <c r="B650">
        <f>IF(表1[[#This Row],[不调整offset]]="x",IFERROR(VLOOKUP(表1[[#This Row],[8:image]],常量!J:N,4,FALSE),0),0)</f>
        <v>0</v>
      </c>
      <c r="C650">
        <f>IF(表1[[#This Row],[不调整offset]]="x",IFERROR(VLOOKUP(表1[[#This Row],[8:image]],常量!J:N,5,FALSE),0),0)</f>
        <v>0</v>
      </c>
      <c r="E650">
        <v>1</v>
      </c>
      <c r="F650">
        <v>12</v>
      </c>
      <c r="G650" s="1" t="s">
        <v>612</v>
      </c>
      <c r="H650" s="17" t="s">
        <v>3300</v>
      </c>
      <c r="I650" s="17" t="s">
        <v>4312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customHeight="1">
      <c r="A651">
        <v>914</v>
      </c>
      <c r="B651">
        <f>IF(表1[[#This Row],[不调整offset]]="x",IFERROR(VLOOKUP(表1[[#This Row],[8:image]],常量!J:N,4,FALSE),0),0)</f>
        <v>0</v>
      </c>
      <c r="C651">
        <f>IF(表1[[#This Row],[不调整offset]]="x",IFERROR(VLOOKUP(表1[[#This Row],[8:image]],常量!J:N,5,FALSE),0),0)</f>
        <v>0</v>
      </c>
      <c r="E651">
        <v>1</v>
      </c>
      <c r="F651">
        <v>12</v>
      </c>
      <c r="G651" s="1" t="s">
        <v>613</v>
      </c>
      <c r="H651" s="17" t="s">
        <v>3301</v>
      </c>
      <c r="I651" s="19"/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customHeight="1">
      <c r="A652">
        <v>915</v>
      </c>
      <c r="B652">
        <f>IF(表1[[#This Row],[不调整offset]]="x",IFERROR(VLOOKUP(表1[[#This Row],[8:image]],常量!J:N,4,FALSE),0),0)</f>
        <v>0</v>
      </c>
      <c r="C652">
        <f>IF(表1[[#This Row],[不调整offset]]="x",IFERROR(VLOOKUP(表1[[#This Row],[8:image]],常量!J:N,5,FALSE),0),0)</f>
        <v>0</v>
      </c>
      <c r="E652">
        <v>1</v>
      </c>
      <c r="F652">
        <v>12</v>
      </c>
      <c r="G652" s="1" t="s">
        <v>614</v>
      </c>
      <c r="H652" s="17" t="s">
        <v>3302</v>
      </c>
      <c r="I652" s="19"/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customHeight="1">
      <c r="A653">
        <v>916</v>
      </c>
      <c r="B653">
        <f>IF(表1[[#This Row],[不调整offset]]="x",IFERROR(VLOOKUP(表1[[#This Row],[8:image]],常量!J:N,4,FALSE),0),0)</f>
        <v>0</v>
      </c>
      <c r="C653">
        <f>IF(表1[[#This Row],[不调整offset]]="x",IFERROR(VLOOKUP(表1[[#This Row],[8:image]],常量!J:N,5,FALSE),0),0)</f>
        <v>0</v>
      </c>
      <c r="E653">
        <v>1</v>
      </c>
      <c r="F653">
        <v>12</v>
      </c>
      <c r="G653" s="1" t="s">
        <v>615</v>
      </c>
      <c r="H653" s="17" t="s">
        <v>3303</v>
      </c>
      <c r="I653" s="19"/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customHeight="1">
      <c r="A654">
        <v>917</v>
      </c>
      <c r="B654">
        <f>IF(表1[[#This Row],[不调整offset]]="x",IFERROR(VLOOKUP(表1[[#This Row],[8:image]],常量!J:N,4,FALSE),0),0)</f>
        <v>0</v>
      </c>
      <c r="C654">
        <f>IF(表1[[#This Row],[不调整offset]]="x",IFERROR(VLOOKUP(表1[[#This Row],[8:image]],常量!J:N,5,FALSE),0),0)</f>
        <v>0</v>
      </c>
      <c r="E654">
        <v>1</v>
      </c>
      <c r="F654">
        <v>12</v>
      </c>
      <c r="G654" s="1" t="s">
        <v>616</v>
      </c>
      <c r="H654" s="17" t="s">
        <v>3304</v>
      </c>
      <c r="I654" s="19"/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customHeight="1">
      <c r="A655">
        <v>918</v>
      </c>
      <c r="B655">
        <f>IF(表1[[#This Row],[不调整offset]]="x",IFERROR(VLOOKUP(表1[[#This Row],[8:image]],常量!J:N,4,FALSE),0),0)</f>
        <v>0</v>
      </c>
      <c r="C655">
        <f>IF(表1[[#This Row],[不调整offset]]="x",IFERROR(VLOOKUP(表1[[#This Row],[8:image]],常量!J:N,5,FALSE),0),0)</f>
        <v>0</v>
      </c>
      <c r="E655">
        <v>1</v>
      </c>
      <c r="F655">
        <v>12</v>
      </c>
      <c r="G655" s="1" t="s">
        <v>617</v>
      </c>
      <c r="H655" s="17" t="s">
        <v>3305</v>
      </c>
      <c r="I655" s="19"/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customHeight="1">
      <c r="A656">
        <v>919</v>
      </c>
      <c r="B656">
        <f>IF(表1[[#This Row],[不调整offset]]="x",IFERROR(VLOOKUP(表1[[#This Row],[8:image]],常量!J:N,4,FALSE),0),0)</f>
        <v>0</v>
      </c>
      <c r="C656">
        <f>IF(表1[[#This Row],[不调整offset]]="x",IFERROR(VLOOKUP(表1[[#This Row],[8:image]],常量!J:N,5,FALSE),0),0)</f>
        <v>0</v>
      </c>
      <c r="E656">
        <v>1</v>
      </c>
      <c r="F656">
        <v>12</v>
      </c>
      <c r="G656" s="1" t="s">
        <v>618</v>
      </c>
      <c r="H656" s="17" t="s">
        <v>3306</v>
      </c>
      <c r="I656" s="19"/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customHeight="1">
      <c r="A657">
        <v>920</v>
      </c>
      <c r="B657">
        <f>IF(表1[[#This Row],[不调整offset]]="x",IFERROR(VLOOKUP(表1[[#This Row],[8:image]],常量!J:N,4,FALSE),0),0)</f>
        <v>0</v>
      </c>
      <c r="C657">
        <f>IF(表1[[#This Row],[不调整offset]]="x",IFERROR(VLOOKUP(表1[[#This Row],[8:image]],常量!J:N,5,FALSE),0),0)</f>
        <v>0</v>
      </c>
      <c r="E657">
        <v>1</v>
      </c>
      <c r="F657">
        <v>12</v>
      </c>
      <c r="G657" s="1" t="s">
        <v>619</v>
      </c>
      <c r="H657" s="17" t="s">
        <v>3307</v>
      </c>
      <c r="I657" s="19"/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customHeight="1">
      <c r="A658">
        <v>921</v>
      </c>
      <c r="B658">
        <f>IF(表1[[#This Row],[不调整offset]]="x",IFERROR(VLOOKUP(表1[[#This Row],[8:image]],常量!J:N,4,FALSE),0),0)</f>
        <v>0</v>
      </c>
      <c r="C658">
        <f>IF(表1[[#This Row],[不调整offset]]="x",IFERROR(VLOOKUP(表1[[#This Row],[8:image]],常量!J:N,5,FALSE),0),0)</f>
        <v>0</v>
      </c>
      <c r="E658">
        <v>1</v>
      </c>
      <c r="F658">
        <v>12</v>
      </c>
      <c r="G658" s="1" t="s">
        <v>620</v>
      </c>
      <c r="H658" s="17" t="s">
        <v>3308</v>
      </c>
      <c r="I658" s="19"/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customHeight="1">
      <c r="A659">
        <v>922</v>
      </c>
      <c r="B659">
        <f>IF(表1[[#This Row],[不调整offset]]="x",IFERROR(VLOOKUP(表1[[#This Row],[8:image]],常量!J:N,4,FALSE),0),0)</f>
        <v>0</v>
      </c>
      <c r="C659">
        <f>IF(表1[[#This Row],[不调整offset]]="x",IFERROR(VLOOKUP(表1[[#This Row],[8:image]],常量!J:N,5,FALSE),0),0)</f>
        <v>0</v>
      </c>
      <c r="E659">
        <v>1</v>
      </c>
      <c r="F659">
        <v>12</v>
      </c>
      <c r="G659" s="1" t="s">
        <v>621</v>
      </c>
      <c r="H659" s="17" t="s">
        <v>3309</v>
      </c>
      <c r="I659" s="19"/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customHeight="1">
      <c r="A660">
        <v>923</v>
      </c>
      <c r="B660">
        <f>IF(表1[[#This Row],[不调整offset]]="x",IFERROR(VLOOKUP(表1[[#This Row],[8:image]],常量!J:N,4,FALSE),0),0)</f>
        <v>0</v>
      </c>
      <c r="C660">
        <f>IF(表1[[#This Row],[不调整offset]]="x",IFERROR(VLOOKUP(表1[[#This Row],[8:image]],常量!J:N,5,FALSE),0),0)</f>
        <v>0</v>
      </c>
      <c r="E660">
        <v>1</v>
      </c>
      <c r="F660">
        <v>12</v>
      </c>
      <c r="G660" s="1" t="s">
        <v>622</v>
      </c>
      <c r="H660" s="17" t="s">
        <v>3310</v>
      </c>
      <c r="I660" s="19"/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customHeight="1">
      <c r="A661">
        <v>924</v>
      </c>
      <c r="B661">
        <f>IF(表1[[#This Row],[不调整offset]]="x",IFERROR(VLOOKUP(表1[[#This Row],[8:image]],常量!J:N,4,FALSE),0),0)</f>
        <v>0</v>
      </c>
      <c r="C661">
        <f>IF(表1[[#This Row],[不调整offset]]="x",IFERROR(VLOOKUP(表1[[#This Row],[8:image]],常量!J:N,5,FALSE),0),0)</f>
        <v>0</v>
      </c>
      <c r="E661">
        <v>1</v>
      </c>
      <c r="F661">
        <v>12</v>
      </c>
      <c r="G661" s="1" t="s">
        <v>623</v>
      </c>
      <c r="H661" s="17" t="s">
        <v>3311</v>
      </c>
      <c r="I661" s="19"/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customHeight="1">
      <c r="A662">
        <v>925</v>
      </c>
      <c r="B662">
        <f>IF(表1[[#This Row],[不调整offset]]="x",IFERROR(VLOOKUP(表1[[#This Row],[8:image]],常量!J:N,4,FALSE),0),0)</f>
        <v>0</v>
      </c>
      <c r="C662">
        <f>IF(表1[[#This Row],[不调整offset]]="x",IFERROR(VLOOKUP(表1[[#This Row],[8:image]],常量!J:N,5,FALSE),0),0)</f>
        <v>0</v>
      </c>
      <c r="E662">
        <v>1</v>
      </c>
      <c r="F662">
        <v>12</v>
      </c>
      <c r="G662" s="1" t="s">
        <v>624</v>
      </c>
      <c r="H662" s="17" t="s">
        <v>3312</v>
      </c>
      <c r="I662" s="19"/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customHeight="1">
      <c r="A663">
        <v>926</v>
      </c>
      <c r="B663">
        <f>IF(表1[[#This Row],[不调整offset]]="x",IFERROR(VLOOKUP(表1[[#This Row],[8:image]],常量!J:N,4,FALSE),0),0)</f>
        <v>0</v>
      </c>
      <c r="C663">
        <f>IF(表1[[#This Row],[不调整offset]]="x",IFERROR(VLOOKUP(表1[[#This Row],[8:image]],常量!J:N,5,FALSE),0),0)</f>
        <v>0</v>
      </c>
      <c r="E663">
        <v>1</v>
      </c>
      <c r="F663">
        <v>12</v>
      </c>
      <c r="G663" s="1" t="s">
        <v>625</v>
      </c>
      <c r="H663" s="17" t="s">
        <v>3313</v>
      </c>
      <c r="I663" s="19"/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customHeight="1">
      <c r="A664">
        <v>927</v>
      </c>
      <c r="B664">
        <f>IF(表1[[#This Row],[不调整offset]]="x",IFERROR(VLOOKUP(表1[[#This Row],[8:image]],常量!J:N,4,FALSE),0),0)</f>
        <v>0</v>
      </c>
      <c r="C664">
        <f>IF(表1[[#This Row],[不调整offset]]="x",IFERROR(VLOOKUP(表1[[#This Row],[8:image]],常量!J:N,5,FALSE),0),0)</f>
        <v>0</v>
      </c>
      <c r="E664">
        <v>1</v>
      </c>
      <c r="F664">
        <v>12</v>
      </c>
      <c r="G664" s="1" t="s">
        <v>626</v>
      </c>
      <c r="H664" s="17" t="s">
        <v>3314</v>
      </c>
      <c r="I664" s="19"/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customHeight="1">
      <c r="A665">
        <v>928</v>
      </c>
      <c r="B665">
        <f>IF(表1[[#This Row],[不调整offset]]="x",IFERROR(VLOOKUP(表1[[#This Row],[8:image]],常量!J:N,4,FALSE),0),0)</f>
        <v>0</v>
      </c>
      <c r="C665">
        <f>IF(表1[[#This Row],[不调整offset]]="x",IFERROR(VLOOKUP(表1[[#This Row],[8:image]],常量!J:N,5,FALSE),0),0)</f>
        <v>0</v>
      </c>
      <c r="E665">
        <v>1</v>
      </c>
      <c r="F665">
        <v>12</v>
      </c>
      <c r="G665" s="1" t="s">
        <v>627</v>
      </c>
      <c r="H665" s="17" t="s">
        <v>3315</v>
      </c>
      <c r="I665" s="19"/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customHeight="1">
      <c r="A666">
        <v>929</v>
      </c>
      <c r="B666">
        <f>IF(表1[[#This Row],[不调整offset]]="x",IFERROR(VLOOKUP(表1[[#This Row],[8:image]],常量!J:N,4,FALSE),0),0)</f>
        <v>0</v>
      </c>
      <c r="C666">
        <f>IF(表1[[#This Row],[不调整offset]]="x",IFERROR(VLOOKUP(表1[[#This Row],[8:image]],常量!J:N,5,FALSE),0),0)</f>
        <v>0</v>
      </c>
      <c r="E666">
        <v>1</v>
      </c>
      <c r="F666">
        <v>12</v>
      </c>
      <c r="G666" s="1" t="s">
        <v>628</v>
      </c>
      <c r="H666" s="17" t="s">
        <v>3316</v>
      </c>
      <c r="I666" s="19"/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customHeight="1">
      <c r="A667">
        <v>930</v>
      </c>
      <c r="B667">
        <f>IF(表1[[#This Row],[不调整offset]]="x",IFERROR(VLOOKUP(表1[[#This Row],[8:image]],常量!J:N,4,FALSE),0),0)</f>
        <v>0</v>
      </c>
      <c r="C667">
        <f>IF(表1[[#This Row],[不调整offset]]="x",IFERROR(VLOOKUP(表1[[#This Row],[8:image]],常量!J:N,5,FALSE),0),0)</f>
        <v>0</v>
      </c>
      <c r="E667">
        <v>1</v>
      </c>
      <c r="F667">
        <v>12</v>
      </c>
      <c r="G667" s="1" t="s">
        <v>629</v>
      </c>
      <c r="H667" s="17" t="s">
        <v>3317</v>
      </c>
      <c r="I667" s="19"/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customHeight="1">
      <c r="A668">
        <v>931</v>
      </c>
      <c r="B668">
        <f>IF(表1[[#This Row],[不调整offset]]="x",IFERROR(VLOOKUP(表1[[#This Row],[8:image]],常量!J:N,4,FALSE),0),0)</f>
        <v>0</v>
      </c>
      <c r="C668">
        <f>IF(表1[[#This Row],[不调整offset]]="x",IFERROR(VLOOKUP(表1[[#This Row],[8:image]],常量!J:N,5,FALSE),0),0)</f>
        <v>0</v>
      </c>
      <c r="E668">
        <v>1</v>
      </c>
      <c r="F668">
        <v>12</v>
      </c>
      <c r="G668" s="1" t="s">
        <v>630</v>
      </c>
      <c r="H668" s="17" t="s">
        <v>3318</v>
      </c>
      <c r="I668" s="19"/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customHeight="1">
      <c r="A669">
        <v>932</v>
      </c>
      <c r="B669">
        <f>IF(表1[[#This Row],[不调整offset]]="x",IFERROR(VLOOKUP(表1[[#This Row],[8:image]],常量!J:N,4,FALSE),0),0)</f>
        <v>0</v>
      </c>
      <c r="C669">
        <f>IF(表1[[#This Row],[不调整offset]]="x",IFERROR(VLOOKUP(表1[[#This Row],[8:image]],常量!J:N,5,FALSE),0),0)</f>
        <v>0</v>
      </c>
      <c r="E669">
        <v>1</v>
      </c>
      <c r="F669">
        <v>12</v>
      </c>
      <c r="G669" s="1" t="s">
        <v>631</v>
      </c>
      <c r="H669" s="17" t="s">
        <v>3319</v>
      </c>
      <c r="I669" s="19"/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customHeight="1">
      <c r="A670">
        <v>933</v>
      </c>
      <c r="B670">
        <f>IF(表1[[#This Row],[不调整offset]]="x",IFERROR(VLOOKUP(表1[[#This Row],[8:image]],常量!J:N,4,FALSE),0),0)</f>
        <v>0</v>
      </c>
      <c r="C670">
        <f>IF(表1[[#This Row],[不调整offset]]="x",IFERROR(VLOOKUP(表1[[#This Row],[8:image]],常量!J:N,5,FALSE),0),0)</f>
        <v>0</v>
      </c>
      <c r="E670">
        <v>1</v>
      </c>
      <c r="F670">
        <v>12</v>
      </c>
      <c r="G670" s="1" t="s">
        <v>632</v>
      </c>
      <c r="H670" s="17" t="s">
        <v>3320</v>
      </c>
      <c r="I670" s="19"/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customHeight="1">
      <c r="A671">
        <v>934</v>
      </c>
      <c r="B671">
        <f>IF(表1[[#This Row],[不调整offset]]="x",IFERROR(VLOOKUP(表1[[#This Row],[8:image]],常量!J:N,4,FALSE),0),0)</f>
        <v>0</v>
      </c>
      <c r="C671">
        <f>IF(表1[[#This Row],[不调整offset]]="x",IFERROR(VLOOKUP(表1[[#This Row],[8:image]],常量!J:N,5,FALSE),0),0)</f>
        <v>0</v>
      </c>
      <c r="E671">
        <v>1</v>
      </c>
      <c r="F671">
        <v>12</v>
      </c>
      <c r="G671" s="1" t="s">
        <v>633</v>
      </c>
      <c r="H671" s="17" t="s">
        <v>3321</v>
      </c>
      <c r="I671" s="19"/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customHeight="1">
      <c r="A672">
        <v>935</v>
      </c>
      <c r="B672">
        <f>IF(表1[[#This Row],[不调整offset]]="x",IFERROR(VLOOKUP(表1[[#This Row],[8:image]],常量!J:N,4,FALSE),0),0)</f>
        <v>0</v>
      </c>
      <c r="C672">
        <f>IF(表1[[#This Row],[不调整offset]]="x",IFERROR(VLOOKUP(表1[[#This Row],[8:image]],常量!J:N,5,FALSE),0),0)</f>
        <v>0</v>
      </c>
      <c r="E672">
        <v>1</v>
      </c>
      <c r="F672">
        <v>12</v>
      </c>
      <c r="G672" s="1" t="s">
        <v>634</v>
      </c>
      <c r="H672" s="17" t="s">
        <v>3322</v>
      </c>
      <c r="I672" s="19"/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customHeight="1">
      <c r="A673">
        <v>936</v>
      </c>
      <c r="B673">
        <f>IF(表1[[#This Row],[不调整offset]]="x",IFERROR(VLOOKUP(表1[[#This Row],[8:image]],常量!J:N,4,FALSE),0),0)</f>
        <v>0</v>
      </c>
      <c r="C673">
        <f>IF(表1[[#This Row],[不调整offset]]="x",IFERROR(VLOOKUP(表1[[#This Row],[8:image]],常量!J:N,5,FALSE),0),0)</f>
        <v>0</v>
      </c>
      <c r="E673">
        <v>1</v>
      </c>
      <c r="F673">
        <v>12</v>
      </c>
      <c r="G673" s="1" t="s">
        <v>635</v>
      </c>
      <c r="H673" s="17" t="s">
        <v>3323</v>
      </c>
      <c r="I673" s="19"/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customHeight="1">
      <c r="A674">
        <v>937</v>
      </c>
      <c r="B674">
        <f>IF(表1[[#This Row],[不调整offset]]="x",IFERROR(VLOOKUP(表1[[#This Row],[8:image]],常量!J:N,4,FALSE),0),0)</f>
        <v>0</v>
      </c>
      <c r="C674">
        <f>IF(表1[[#This Row],[不调整offset]]="x",IFERROR(VLOOKUP(表1[[#This Row],[8:image]],常量!J:N,5,FALSE),0),0)</f>
        <v>0</v>
      </c>
      <c r="E674">
        <v>1</v>
      </c>
      <c r="F674">
        <v>12</v>
      </c>
      <c r="G674" s="1" t="s">
        <v>636</v>
      </c>
      <c r="H674" s="17" t="s">
        <v>3324</v>
      </c>
      <c r="I674" s="19"/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customHeight="1">
      <c r="A675">
        <v>938</v>
      </c>
      <c r="B675">
        <f>IF(表1[[#This Row],[不调整offset]]="x",IFERROR(VLOOKUP(表1[[#This Row],[8:image]],常量!J:N,4,FALSE),0),0)</f>
        <v>0</v>
      </c>
      <c r="C675">
        <f>IF(表1[[#This Row],[不调整offset]]="x",IFERROR(VLOOKUP(表1[[#This Row],[8:image]],常量!J:N,5,FALSE),0),0)</f>
        <v>0</v>
      </c>
      <c r="E675">
        <v>1</v>
      </c>
      <c r="F675">
        <v>12</v>
      </c>
      <c r="G675" s="1" t="s">
        <v>637</v>
      </c>
      <c r="H675" s="17" t="s">
        <v>3325</v>
      </c>
      <c r="I675" s="19"/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customHeight="1">
      <c r="A676">
        <v>939</v>
      </c>
      <c r="B676">
        <f>IF(表1[[#This Row],[不调整offset]]="x",IFERROR(VLOOKUP(表1[[#This Row],[8:image]],常量!J:N,4,FALSE),0),0)</f>
        <v>0</v>
      </c>
      <c r="C676">
        <f>IF(表1[[#This Row],[不调整offset]]="x",IFERROR(VLOOKUP(表1[[#This Row],[8:image]],常量!J:N,5,FALSE),0),0)</f>
        <v>0</v>
      </c>
      <c r="E676">
        <v>1</v>
      </c>
      <c r="F676">
        <v>12</v>
      </c>
      <c r="G676" s="1" t="s">
        <v>638</v>
      </c>
      <c r="H676" s="17" t="s">
        <v>3326</v>
      </c>
      <c r="I676" s="19"/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customHeight="1">
      <c r="A677">
        <v>940</v>
      </c>
      <c r="B677">
        <f>IF(表1[[#This Row],[不调整offset]]="x",IFERROR(VLOOKUP(表1[[#This Row],[8:image]],常量!J:N,4,FALSE),0),0)</f>
        <v>0</v>
      </c>
      <c r="C677">
        <f>IF(表1[[#This Row],[不调整offset]]="x",IFERROR(VLOOKUP(表1[[#This Row],[8:image]],常量!J:N,5,FALSE),0),0)</f>
        <v>0</v>
      </c>
      <c r="E677">
        <v>1</v>
      </c>
      <c r="F677">
        <v>12</v>
      </c>
      <c r="G677" s="1" t="s">
        <v>639</v>
      </c>
      <c r="H677" s="17" t="s">
        <v>3327</v>
      </c>
      <c r="I677" s="19"/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customHeight="1">
      <c r="A678">
        <v>941</v>
      </c>
      <c r="B678">
        <f>IF(表1[[#This Row],[不调整offset]]="x",IFERROR(VLOOKUP(表1[[#This Row],[8:image]],常量!J:N,4,FALSE),0),0)</f>
        <v>0</v>
      </c>
      <c r="C678">
        <f>IF(表1[[#This Row],[不调整offset]]="x",IFERROR(VLOOKUP(表1[[#This Row],[8:image]],常量!J:N,5,FALSE),0),0)</f>
        <v>0</v>
      </c>
      <c r="E678">
        <v>1</v>
      </c>
      <c r="F678">
        <v>12</v>
      </c>
      <c r="G678" s="1" t="s">
        <v>640</v>
      </c>
      <c r="H678" s="17" t="s">
        <v>3328</v>
      </c>
      <c r="I678" s="19"/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customHeight="1">
      <c r="A679">
        <v>942</v>
      </c>
      <c r="B679">
        <f>IF(表1[[#This Row],[不调整offset]]="x",IFERROR(VLOOKUP(表1[[#This Row],[8:image]],常量!J:N,4,FALSE),0),0)</f>
        <v>0</v>
      </c>
      <c r="C679">
        <f>IF(表1[[#This Row],[不调整offset]]="x",IFERROR(VLOOKUP(表1[[#This Row],[8:image]],常量!J:N,5,FALSE),0),0)</f>
        <v>0</v>
      </c>
      <c r="E679">
        <v>1</v>
      </c>
      <c r="F679">
        <v>12</v>
      </c>
      <c r="G679" s="1" t="s">
        <v>641</v>
      </c>
      <c r="H679" s="17" t="s">
        <v>3329</v>
      </c>
      <c r="I679" s="19"/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customHeight="1">
      <c r="A680">
        <v>943</v>
      </c>
      <c r="B680">
        <f>IF(表1[[#This Row],[不调整offset]]="x",IFERROR(VLOOKUP(表1[[#This Row],[8:image]],常量!J:N,4,FALSE),0),0)</f>
        <v>0</v>
      </c>
      <c r="C680">
        <f>IF(表1[[#This Row],[不调整offset]]="x",IFERROR(VLOOKUP(表1[[#This Row],[8:image]],常量!J:N,5,FALSE),0),0)</f>
        <v>0</v>
      </c>
      <c r="E680">
        <v>1</v>
      </c>
      <c r="F680">
        <v>12</v>
      </c>
      <c r="G680" s="1" t="s">
        <v>642</v>
      </c>
      <c r="H680" s="17" t="s">
        <v>3330</v>
      </c>
      <c r="I680" s="19"/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customHeight="1">
      <c r="A681">
        <v>944</v>
      </c>
      <c r="B681">
        <f>IF(表1[[#This Row],[不调整offset]]="x",IFERROR(VLOOKUP(表1[[#This Row],[8:image]],常量!J:N,4,FALSE),0),0)</f>
        <v>0</v>
      </c>
      <c r="C681">
        <f>IF(表1[[#This Row],[不调整offset]]="x",IFERROR(VLOOKUP(表1[[#This Row],[8:image]],常量!J:N,5,FALSE),0),0)</f>
        <v>0</v>
      </c>
      <c r="E681">
        <v>1</v>
      </c>
      <c r="F681">
        <v>12</v>
      </c>
      <c r="G681" s="1" t="s">
        <v>643</v>
      </c>
      <c r="H681" s="17" t="s">
        <v>3331</v>
      </c>
      <c r="I681" s="19"/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customHeight="1">
      <c r="A682">
        <v>945</v>
      </c>
      <c r="B682">
        <f>IF(表1[[#This Row],[不调整offset]]="x",IFERROR(VLOOKUP(表1[[#This Row],[8:image]],常量!J:N,4,FALSE),0),0)</f>
        <v>0</v>
      </c>
      <c r="C682">
        <f>IF(表1[[#This Row],[不调整offset]]="x",IFERROR(VLOOKUP(表1[[#This Row],[8:image]],常量!J:N,5,FALSE),0),0)</f>
        <v>0</v>
      </c>
      <c r="E682">
        <v>1</v>
      </c>
      <c r="F682">
        <v>12</v>
      </c>
      <c r="G682" s="1" t="s">
        <v>644</v>
      </c>
      <c r="H682" s="17" t="s">
        <v>3332</v>
      </c>
      <c r="I682" s="19"/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customHeight="1">
      <c r="A683">
        <v>946</v>
      </c>
      <c r="B683">
        <f>IF(表1[[#This Row],[不调整offset]]="x",IFERROR(VLOOKUP(表1[[#This Row],[8:image]],常量!J:N,4,FALSE),0),0)</f>
        <v>0</v>
      </c>
      <c r="C683">
        <f>IF(表1[[#This Row],[不调整offset]]="x",IFERROR(VLOOKUP(表1[[#This Row],[8:image]],常量!J:N,5,FALSE),0),0)</f>
        <v>0</v>
      </c>
      <c r="E683">
        <v>1</v>
      </c>
      <c r="F683">
        <v>12</v>
      </c>
      <c r="G683" s="1" t="s">
        <v>134</v>
      </c>
      <c r="H683" s="17" t="s">
        <v>3333</v>
      </c>
      <c r="I683" s="19"/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customHeight="1">
      <c r="A684">
        <v>947</v>
      </c>
      <c r="B684">
        <f>IF(表1[[#This Row],[不调整offset]]="x",IFERROR(VLOOKUP(表1[[#This Row],[8:image]],常量!J:N,4,FALSE),0),0)</f>
        <v>0</v>
      </c>
      <c r="C684">
        <f>IF(表1[[#This Row],[不调整offset]]="x",IFERROR(VLOOKUP(表1[[#This Row],[8:image]],常量!J:N,5,FALSE),0),0)</f>
        <v>0</v>
      </c>
      <c r="E684">
        <v>1</v>
      </c>
      <c r="F684">
        <v>12</v>
      </c>
      <c r="G684" s="1" t="s">
        <v>645</v>
      </c>
      <c r="H684" s="17" t="s">
        <v>3334</v>
      </c>
      <c r="I684" s="19"/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customHeight="1">
      <c r="A685">
        <v>948</v>
      </c>
      <c r="B685">
        <f>IF(表1[[#This Row],[不调整offset]]="x",IFERROR(VLOOKUP(表1[[#This Row],[8:image]],常量!J:N,4,FALSE),0),0)</f>
        <v>0</v>
      </c>
      <c r="C685">
        <f>IF(表1[[#This Row],[不调整offset]]="x",IFERROR(VLOOKUP(表1[[#This Row],[8:image]],常量!J:N,5,FALSE),0),0)</f>
        <v>0</v>
      </c>
      <c r="E685">
        <v>1</v>
      </c>
      <c r="F685">
        <v>12</v>
      </c>
      <c r="G685" s="1" t="s">
        <v>646</v>
      </c>
      <c r="H685" s="17" t="s">
        <v>3335</v>
      </c>
      <c r="I685" s="19"/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customHeight="1">
      <c r="A686">
        <v>949</v>
      </c>
      <c r="B686">
        <f>IF(表1[[#This Row],[不调整offset]]="x",IFERROR(VLOOKUP(表1[[#This Row],[8:image]],常量!J:N,4,FALSE),0),0)</f>
        <v>0</v>
      </c>
      <c r="C686">
        <f>IF(表1[[#This Row],[不调整offset]]="x",IFERROR(VLOOKUP(表1[[#This Row],[8:image]],常量!J:N,5,FALSE),0),0)</f>
        <v>0</v>
      </c>
      <c r="E686">
        <v>1</v>
      </c>
      <c r="F686">
        <v>12</v>
      </c>
      <c r="G686" s="1" t="s">
        <v>647</v>
      </c>
      <c r="H686" s="17" t="s">
        <v>3336</v>
      </c>
      <c r="I686" s="19"/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customHeight="1">
      <c r="A687">
        <v>950</v>
      </c>
      <c r="B687">
        <f>IF(表1[[#This Row],[不调整offset]]="x",IFERROR(VLOOKUP(表1[[#This Row],[8:image]],常量!J:N,4,FALSE),0),0)</f>
        <v>0</v>
      </c>
      <c r="C687">
        <f>IF(表1[[#This Row],[不调整offset]]="x",IFERROR(VLOOKUP(表1[[#This Row],[8:image]],常量!J:N,5,FALSE),0),0)</f>
        <v>0</v>
      </c>
      <c r="E687">
        <v>1</v>
      </c>
      <c r="F687">
        <v>12</v>
      </c>
      <c r="G687" s="1" t="s">
        <v>648</v>
      </c>
      <c r="H687" s="17" t="s">
        <v>3337</v>
      </c>
      <c r="I687" s="19"/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customHeight="1">
      <c r="A688">
        <v>951</v>
      </c>
      <c r="B688">
        <f>IF(表1[[#This Row],[不调整offset]]="x",IFERROR(VLOOKUP(表1[[#This Row],[8:image]],常量!J:N,4,FALSE),0),0)</f>
        <v>0</v>
      </c>
      <c r="C688">
        <f>IF(表1[[#This Row],[不调整offset]]="x",IFERROR(VLOOKUP(表1[[#This Row],[8:image]],常量!J:N,5,FALSE),0),0)</f>
        <v>0</v>
      </c>
      <c r="E688">
        <v>1</v>
      </c>
      <c r="F688">
        <v>12</v>
      </c>
      <c r="G688" s="1" t="s">
        <v>649</v>
      </c>
      <c r="H688" s="17" t="s">
        <v>3338</v>
      </c>
      <c r="I688" s="19"/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IF(表1[[#This Row],[不调整offset]]="x",IFERROR(VLOOKUP(表1[[#This Row],[8:image]],常量!J:N,4,FALSE),0),0)</f>
        <v>0</v>
      </c>
      <c r="C689">
        <f>IF(表1[[#This Row],[不调整offset]]="x",IFERROR(VLOOKUP(表1[[#This Row],[8:image]],常量!J:N,5,FALSE),0),0)</f>
        <v>0</v>
      </c>
      <c r="E689">
        <v>1</v>
      </c>
      <c r="F689">
        <v>12</v>
      </c>
      <c r="G689" s="1" t="s">
        <v>650</v>
      </c>
      <c r="H689" s="17" t="s">
        <v>3339</v>
      </c>
      <c r="I689" s="19"/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customHeight="1">
      <c r="A690">
        <v>953</v>
      </c>
      <c r="B690">
        <f>IF(表1[[#This Row],[不调整offset]]="x",IFERROR(VLOOKUP(表1[[#This Row],[8:image]],常量!J:N,4,FALSE),0),0)</f>
        <v>0</v>
      </c>
      <c r="C690">
        <f>IF(表1[[#This Row],[不调整offset]]="x",IFERROR(VLOOKUP(表1[[#This Row],[8:image]],常量!J:N,5,FALSE),0),0)</f>
        <v>0</v>
      </c>
      <c r="E690">
        <v>1</v>
      </c>
      <c r="F690">
        <v>12</v>
      </c>
      <c r="G690" s="1" t="s">
        <v>651</v>
      </c>
      <c r="H690" s="17" t="s">
        <v>3340</v>
      </c>
      <c r="I690" s="19"/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customHeight="1">
      <c r="A691">
        <v>954</v>
      </c>
      <c r="B691">
        <f>IF(表1[[#This Row],[不调整offset]]="x",IFERROR(VLOOKUP(表1[[#This Row],[8:image]],常量!J:N,4,FALSE),0),0)</f>
        <v>0</v>
      </c>
      <c r="C691">
        <f>IF(表1[[#This Row],[不调整offset]]="x",IFERROR(VLOOKUP(表1[[#This Row],[8:image]],常量!J:N,5,FALSE),0),0)</f>
        <v>0</v>
      </c>
      <c r="E691">
        <v>1</v>
      </c>
      <c r="F691">
        <v>12</v>
      </c>
      <c r="G691" s="1" t="s">
        <v>652</v>
      </c>
      <c r="H691" s="17" t="s">
        <v>3341</v>
      </c>
      <c r="I691" s="19"/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IF(表1[[#This Row],[不调整offset]]="x",IFERROR(VLOOKUP(表1[[#This Row],[8:image]],常量!J:N,4,FALSE),0),0)</f>
        <v>0</v>
      </c>
      <c r="C692">
        <f>IF(表1[[#This Row],[不调整offset]]="x",IFERROR(VLOOKUP(表1[[#This Row],[8:image]],常量!J:N,5,FALSE),0),0)</f>
        <v>0</v>
      </c>
      <c r="E692">
        <v>1</v>
      </c>
      <c r="F692">
        <v>12</v>
      </c>
      <c r="G692" s="1" t="s">
        <v>653</v>
      </c>
      <c r="H692" s="17" t="s">
        <v>3342</v>
      </c>
      <c r="I692" s="19"/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customHeight="1">
      <c r="A693">
        <v>956</v>
      </c>
      <c r="B693">
        <f>IF(表1[[#This Row],[不调整offset]]="x",IFERROR(VLOOKUP(表1[[#This Row],[8:image]],常量!J:N,4,FALSE),0),0)</f>
        <v>0</v>
      </c>
      <c r="C693">
        <f>IF(表1[[#This Row],[不调整offset]]="x",IFERROR(VLOOKUP(表1[[#This Row],[8:image]],常量!J:N,5,FALSE),0),0)</f>
        <v>0</v>
      </c>
      <c r="E693">
        <v>1</v>
      </c>
      <c r="F693">
        <v>12</v>
      </c>
      <c r="G693" s="1" t="s">
        <v>2480</v>
      </c>
      <c r="H693" s="17" t="s">
        <v>3343</v>
      </c>
      <c r="I693" s="19"/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customHeight="1">
      <c r="A694">
        <v>957</v>
      </c>
      <c r="B694">
        <f>IF(表1[[#This Row],[不调整offset]]="x",IFERROR(VLOOKUP(表1[[#This Row],[8:image]],常量!J:N,4,FALSE),0),0)</f>
        <v>0</v>
      </c>
      <c r="C694">
        <f>IF(表1[[#This Row],[不调整offset]]="x",IFERROR(VLOOKUP(表1[[#This Row],[8:image]],常量!J:N,5,FALSE),0),0)</f>
        <v>0</v>
      </c>
      <c r="E694">
        <v>1</v>
      </c>
      <c r="F694">
        <v>12</v>
      </c>
      <c r="G694" s="1" t="s">
        <v>655</v>
      </c>
      <c r="H694" s="17" t="s">
        <v>3344</v>
      </c>
      <c r="I694" s="19"/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customHeight="1">
      <c r="A695">
        <v>958</v>
      </c>
      <c r="B695">
        <f>IF(表1[[#This Row],[不调整offset]]="x",IFERROR(VLOOKUP(表1[[#This Row],[8:image]],常量!J:N,4,FALSE),0),0)</f>
        <v>0</v>
      </c>
      <c r="C695">
        <f>IF(表1[[#This Row],[不调整offset]]="x",IFERROR(VLOOKUP(表1[[#This Row],[8:image]],常量!J:N,5,FALSE),0),0)</f>
        <v>0</v>
      </c>
      <c r="E695">
        <v>1</v>
      </c>
      <c r="F695">
        <v>12</v>
      </c>
      <c r="G695" s="1" t="s">
        <v>656</v>
      </c>
      <c r="H695" s="17" t="s">
        <v>3345</v>
      </c>
      <c r="I695" s="19"/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customHeight="1">
      <c r="A696">
        <v>959</v>
      </c>
      <c r="B696">
        <f>IF(表1[[#This Row],[不调整offset]]="x",IFERROR(VLOOKUP(表1[[#This Row],[8:image]],常量!J:N,4,FALSE),0),0)</f>
        <v>0</v>
      </c>
      <c r="C696">
        <f>IF(表1[[#This Row],[不调整offset]]="x",IFERROR(VLOOKUP(表1[[#This Row],[8:image]],常量!J:N,5,FALSE),0),0)</f>
        <v>0</v>
      </c>
      <c r="E696">
        <v>1</v>
      </c>
      <c r="F696">
        <v>12</v>
      </c>
      <c r="G696" s="1" t="s">
        <v>657</v>
      </c>
      <c r="H696" s="17" t="s">
        <v>3346</v>
      </c>
      <c r="I696" s="19"/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customHeight="1">
      <c r="A697">
        <v>960</v>
      </c>
      <c r="B697">
        <f>IF(表1[[#This Row],[不调整offset]]="x",IFERROR(VLOOKUP(表1[[#This Row],[8:image]],常量!J:N,4,FALSE),0),0)</f>
        <v>0</v>
      </c>
      <c r="C697">
        <f>IF(表1[[#This Row],[不调整offset]]="x",IFERROR(VLOOKUP(表1[[#This Row],[8:image]],常量!J:N,5,FALSE),0),0)</f>
        <v>0</v>
      </c>
      <c r="E697">
        <v>1</v>
      </c>
      <c r="F697">
        <v>12</v>
      </c>
      <c r="G697" s="1" t="s">
        <v>658</v>
      </c>
      <c r="H697" s="17" t="s">
        <v>3347</v>
      </c>
      <c r="I697" s="19"/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customHeight="1">
      <c r="A698">
        <v>961</v>
      </c>
      <c r="B698">
        <f>IF(表1[[#This Row],[不调整offset]]="x",IFERROR(VLOOKUP(表1[[#This Row],[8:image]],常量!J:N,4,FALSE),0),0)</f>
        <v>0</v>
      </c>
      <c r="C698">
        <f>IF(表1[[#This Row],[不调整offset]]="x",IFERROR(VLOOKUP(表1[[#This Row],[8:image]],常量!J:N,5,FALSE),0),0)</f>
        <v>0</v>
      </c>
      <c r="E698">
        <v>1</v>
      </c>
      <c r="F698">
        <v>12</v>
      </c>
      <c r="G698" s="1" t="s">
        <v>659</v>
      </c>
      <c r="H698" s="17" t="s">
        <v>3348</v>
      </c>
      <c r="I698" s="19"/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customHeight="1">
      <c r="A699">
        <v>962</v>
      </c>
      <c r="B699">
        <f>IF(表1[[#This Row],[不调整offset]]="x",IFERROR(VLOOKUP(表1[[#This Row],[8:image]],常量!J:N,4,FALSE),0),0)</f>
        <v>0</v>
      </c>
      <c r="C699">
        <f>IF(表1[[#This Row],[不调整offset]]="x",IFERROR(VLOOKUP(表1[[#This Row],[8:image]],常量!J:N,5,FALSE),0),0)</f>
        <v>0</v>
      </c>
      <c r="E699">
        <v>1</v>
      </c>
      <c r="F699">
        <v>12</v>
      </c>
      <c r="G699" s="1" t="s">
        <v>657</v>
      </c>
      <c r="H699" s="17" t="s">
        <v>3349</v>
      </c>
      <c r="I699" s="19"/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customHeight="1">
      <c r="A700">
        <v>963</v>
      </c>
      <c r="B700">
        <f>IF(表1[[#This Row],[不调整offset]]="x",IFERROR(VLOOKUP(表1[[#This Row],[8:image]],常量!J:N,4,FALSE),0),0)</f>
        <v>0</v>
      </c>
      <c r="C700">
        <f>IF(表1[[#This Row],[不调整offset]]="x",IFERROR(VLOOKUP(表1[[#This Row],[8:image]],常量!J:N,5,FALSE),0),0)</f>
        <v>0</v>
      </c>
      <c r="E700">
        <v>1</v>
      </c>
      <c r="F700">
        <v>12</v>
      </c>
      <c r="G700" s="1" t="s">
        <v>655</v>
      </c>
      <c r="H700" s="17" t="s">
        <v>3350</v>
      </c>
      <c r="I700" s="19"/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customHeight="1">
      <c r="A701">
        <v>964</v>
      </c>
      <c r="B701">
        <f>IF(表1[[#This Row],[不调整offset]]="x",IFERROR(VLOOKUP(表1[[#This Row],[8:image]],常量!J:N,4,FALSE),0),0)</f>
        <v>0</v>
      </c>
      <c r="C701">
        <f>IF(表1[[#This Row],[不调整offset]]="x",IFERROR(VLOOKUP(表1[[#This Row],[8:image]],常量!J:N,5,FALSE),0),0)</f>
        <v>0</v>
      </c>
      <c r="E701">
        <v>1</v>
      </c>
      <c r="F701">
        <v>12</v>
      </c>
      <c r="G701" s="1" t="s">
        <v>660</v>
      </c>
      <c r="H701" s="17" t="s">
        <v>3351</v>
      </c>
      <c r="I701" s="19"/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customHeight="1">
      <c r="A702">
        <v>965</v>
      </c>
      <c r="B702">
        <f>IF(表1[[#This Row],[不调整offset]]="x",IFERROR(VLOOKUP(表1[[#This Row],[8:image]],常量!J:N,4,FALSE),0),0)</f>
        <v>0</v>
      </c>
      <c r="C702">
        <f>IF(表1[[#This Row],[不调整offset]]="x",IFERROR(VLOOKUP(表1[[#This Row],[8:image]],常量!J:N,5,FALSE),0),0)</f>
        <v>0</v>
      </c>
      <c r="E702">
        <v>1</v>
      </c>
      <c r="F702">
        <v>12</v>
      </c>
      <c r="G702" s="1" t="s">
        <v>658</v>
      </c>
      <c r="H702" s="17" t="s">
        <v>3352</v>
      </c>
      <c r="I702" s="19"/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customHeight="1">
      <c r="A703">
        <v>966</v>
      </c>
      <c r="B703">
        <f>IF(表1[[#This Row],[不调整offset]]="x",IFERROR(VLOOKUP(表1[[#This Row],[8:image]],常量!J:N,4,FALSE),0),0)</f>
        <v>0</v>
      </c>
      <c r="C703">
        <f>IF(表1[[#This Row],[不调整offset]]="x",IFERROR(VLOOKUP(表1[[#This Row],[8:image]],常量!J:N,5,FALSE),0),0)</f>
        <v>0</v>
      </c>
      <c r="E703">
        <v>1</v>
      </c>
      <c r="F703">
        <v>12</v>
      </c>
      <c r="G703" s="1" t="s">
        <v>660</v>
      </c>
      <c r="H703" s="17" t="s">
        <v>3353</v>
      </c>
      <c r="I703" s="19"/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customHeight="1">
      <c r="A704">
        <v>967</v>
      </c>
      <c r="B704">
        <f>IF(表1[[#This Row],[不调整offset]]="x",IFERROR(VLOOKUP(表1[[#This Row],[8:image]],常量!J:N,4,FALSE),0),0)</f>
        <v>0</v>
      </c>
      <c r="C704">
        <f>IF(表1[[#This Row],[不调整offset]]="x",IFERROR(VLOOKUP(表1[[#This Row],[8:image]],常量!J:N,5,FALSE),0),0)</f>
        <v>0</v>
      </c>
      <c r="E704">
        <v>1</v>
      </c>
      <c r="F704">
        <v>12</v>
      </c>
      <c r="G704" s="1" t="s">
        <v>661</v>
      </c>
      <c r="H704" s="17" t="s">
        <v>3354</v>
      </c>
      <c r="I704" s="19"/>
      <c r="J704" t="str">
        <f>IF(LEN(VLOOKUP(表1[[#This Row],[id]],数据引用!A:C,3,FALSE))&gt;0,VLOOKUP(表1[[#This Row],[id]],数据引用!A:C,3,FALSE),"")</f>
        <v>练习</v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font-size:12;"&gt;练习&lt;/text&gt;&lt;text transform="matrix(1 0 0 1 0 10.3205)" style="fill:#FFFFFF; font-family:'FZXS12--GB1-0'; font-size:12;"&gt;练习&lt;/text&gt;&lt;/svg&gt;</v>
      </c>
      <c r="P704" s="5"/>
    </row>
    <row r="705" spans="1:16" ht="14.25" customHeight="1">
      <c r="A705">
        <v>968</v>
      </c>
      <c r="B705">
        <f>IF(表1[[#This Row],[不调整offset]]="x",IFERROR(VLOOKUP(表1[[#This Row],[8:image]],常量!J:N,4,FALSE),0),0)</f>
        <v>0</v>
      </c>
      <c r="C705">
        <f>IF(表1[[#This Row],[不调整offset]]="x",IFERROR(VLOOKUP(表1[[#This Row],[8:image]],常量!J:N,5,FALSE),0),0)</f>
        <v>0</v>
      </c>
      <c r="E705">
        <v>1</v>
      </c>
      <c r="F705">
        <v>12</v>
      </c>
      <c r="G705" s="1" t="s">
        <v>660</v>
      </c>
      <c r="H705" s="17" t="s">
        <v>3355</v>
      </c>
      <c r="I705" s="19"/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customHeight="1">
      <c r="A706">
        <v>969</v>
      </c>
      <c r="B706">
        <f>IF(表1[[#This Row],[不调整offset]]="x",IFERROR(VLOOKUP(表1[[#This Row],[8:image]],常量!J:N,4,FALSE),0),0)</f>
        <v>0</v>
      </c>
      <c r="C706">
        <f>IF(表1[[#This Row],[不调整offset]]="x",IFERROR(VLOOKUP(表1[[#This Row],[8:image]],常量!J:N,5,FALSE),0),0)</f>
        <v>0</v>
      </c>
      <c r="E706">
        <v>1</v>
      </c>
      <c r="F706">
        <v>12</v>
      </c>
      <c r="G706" s="8" t="s">
        <v>662</v>
      </c>
      <c r="H706" s="16" t="s">
        <v>3356</v>
      </c>
      <c r="I706" s="16" t="s">
        <v>4655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customHeight="1">
      <c r="A707">
        <v>1000</v>
      </c>
      <c r="B707">
        <f>IF(表1[[#This Row],[不调整offset]]="x",IFERROR(VLOOKUP(表1[[#This Row],[8:image]],常量!J:N,4,FALSE),0),0)</f>
        <v>0</v>
      </c>
      <c r="C707">
        <f>IF(表1[[#This Row],[不调整offset]]="x",IFERROR(VLOOKUP(表1[[#This Row],[8:image]],常量!J:N,5,FALSE),0),0)</f>
        <v>0</v>
      </c>
      <c r="E707">
        <v>1</v>
      </c>
      <c r="F707">
        <v>12</v>
      </c>
      <c r="G707" s="12" t="s">
        <v>663</v>
      </c>
      <c r="H707" s="17" t="s">
        <v>3357</v>
      </c>
      <c r="I707" s="17" t="s">
        <v>4313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customHeight="1">
      <c r="A708">
        <v>1001</v>
      </c>
      <c r="B708">
        <f>IF(表1[[#This Row],[不调整offset]]="x",IFERROR(VLOOKUP(表1[[#This Row],[8:image]],常量!J:N,4,FALSE),0),0)</f>
        <v>0</v>
      </c>
      <c r="C708">
        <f>IF(表1[[#This Row],[不调整offset]]="x",IFERROR(VLOOKUP(表1[[#This Row],[8:image]],常量!J:N,5,FALSE),0),0)</f>
        <v>0</v>
      </c>
      <c r="E708">
        <v>1</v>
      </c>
      <c r="F708">
        <v>12</v>
      </c>
      <c r="G708" s="1" t="s">
        <v>664</v>
      </c>
      <c r="H708" s="17" t="s">
        <v>3358</v>
      </c>
      <c r="I708" s="17" t="s">
        <v>4314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customHeight="1">
      <c r="A709">
        <v>1002</v>
      </c>
      <c r="B709">
        <f>IF(表1[[#This Row],[不调整offset]]="x",IFERROR(VLOOKUP(表1[[#This Row],[8:image]],常量!J:N,4,FALSE),0),0)</f>
        <v>0</v>
      </c>
      <c r="C709">
        <f>IF(表1[[#This Row],[不调整offset]]="x",IFERROR(VLOOKUP(表1[[#This Row],[8:image]],常量!J:N,5,FALSE),0),0)</f>
        <v>0</v>
      </c>
      <c r="E709">
        <v>1</v>
      </c>
      <c r="F709">
        <v>12</v>
      </c>
      <c r="G709" s="1" t="s">
        <v>665</v>
      </c>
      <c r="H709" s="17" t="s">
        <v>3359</v>
      </c>
      <c r="I709" s="17" t="s">
        <v>4315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customHeight="1">
      <c r="A710">
        <v>1003</v>
      </c>
      <c r="B710">
        <f>IF(表1[[#This Row],[不调整offset]]="x",IFERROR(VLOOKUP(表1[[#This Row],[8:image]],常量!J:N,4,FALSE),0),0)</f>
        <v>0</v>
      </c>
      <c r="C710">
        <f>IF(表1[[#This Row],[不调整offset]]="x",IFERROR(VLOOKUP(表1[[#This Row],[8:image]],常量!J:N,5,FALSE),0),0)</f>
        <v>0</v>
      </c>
      <c r="E710">
        <v>1</v>
      </c>
      <c r="F710">
        <v>12</v>
      </c>
      <c r="G710" s="1" t="s">
        <v>666</v>
      </c>
      <c r="H710" s="17" t="s">
        <v>3360</v>
      </c>
      <c r="I710" s="17" t="s">
        <v>4316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customHeight="1">
      <c r="A711">
        <v>1004</v>
      </c>
      <c r="B711">
        <f>IF(表1[[#This Row],[不调整offset]]="x",IFERROR(VLOOKUP(表1[[#This Row],[8:image]],常量!J:N,4,FALSE),0),0)</f>
        <v>0</v>
      </c>
      <c r="C711">
        <f>IF(表1[[#This Row],[不调整offset]]="x",IFERROR(VLOOKUP(表1[[#This Row],[8:image]],常量!J:N,5,FALSE),0),0)</f>
        <v>0</v>
      </c>
      <c r="E711">
        <v>1</v>
      </c>
      <c r="F711">
        <v>12</v>
      </c>
      <c r="G711" s="1" t="s">
        <v>667</v>
      </c>
      <c r="H711" s="17" t="s">
        <v>3361</v>
      </c>
      <c r="I711" s="17" t="s">
        <v>4317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customHeight="1">
      <c r="A712">
        <v>1005</v>
      </c>
      <c r="B712">
        <f>IF(表1[[#This Row],[不调整offset]]="x",IFERROR(VLOOKUP(表1[[#This Row],[8:image]],常量!J:N,4,FALSE),0),0)</f>
        <v>0</v>
      </c>
      <c r="C712">
        <f>IF(表1[[#This Row],[不调整offset]]="x",IFERROR(VLOOKUP(表1[[#This Row],[8:image]],常量!J:N,5,FALSE),0),0)</f>
        <v>0</v>
      </c>
      <c r="E712">
        <v>1</v>
      </c>
      <c r="F712">
        <v>12</v>
      </c>
      <c r="G712" s="12" t="s">
        <v>668</v>
      </c>
      <c r="H712" s="17" t="s">
        <v>3362</v>
      </c>
      <c r="I712" s="17" t="s">
        <v>4318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customHeight="1">
      <c r="A713">
        <v>1006</v>
      </c>
      <c r="B713">
        <f>IF(表1[[#This Row],[不调整offset]]="x",IFERROR(VLOOKUP(表1[[#This Row],[8:image]],常量!J:N,4,FALSE),0),0)</f>
        <v>0</v>
      </c>
      <c r="C713">
        <f>IF(表1[[#This Row],[不调整offset]]="x",IFERROR(VLOOKUP(表1[[#This Row],[8:image]],常量!J:N,5,FALSE),0),0)</f>
        <v>0</v>
      </c>
      <c r="E713">
        <v>1</v>
      </c>
      <c r="F713">
        <v>12</v>
      </c>
      <c r="G713" s="1" t="s">
        <v>110</v>
      </c>
      <c r="H713" s="17" t="s">
        <v>3363</v>
      </c>
      <c r="I713" s="17" t="s">
        <v>4319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customHeight="1">
      <c r="A714">
        <v>1007</v>
      </c>
      <c r="B714">
        <f>IF(表1[[#This Row],[不调整offset]]="x",IFERROR(VLOOKUP(表1[[#This Row],[8:image]],常量!J:N,4,FALSE),0),0)</f>
        <v>0</v>
      </c>
      <c r="C714">
        <f>IF(表1[[#This Row],[不调整offset]]="x",IFERROR(VLOOKUP(表1[[#This Row],[8:image]],常量!J:N,5,FALSE),0),0)</f>
        <v>0</v>
      </c>
      <c r="E714">
        <v>1</v>
      </c>
      <c r="F714">
        <v>12</v>
      </c>
      <c r="G714" s="1" t="s">
        <v>669</v>
      </c>
      <c r="H714" s="17" t="s">
        <v>3364</v>
      </c>
      <c r="I714" s="17" t="s">
        <v>4320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t="14.25" customHeight="1">
      <c r="A715">
        <v>1050</v>
      </c>
      <c r="B715">
        <f>IF(表1[[#This Row],[不调整offset]]="x",IFERROR(VLOOKUP(表1[[#This Row],[8:image]],常量!J:N,4,FALSE),0),0)</f>
        <v>0</v>
      </c>
      <c r="C715">
        <f>IF(表1[[#This Row],[不调整offset]]="x",IFERROR(VLOOKUP(表1[[#This Row],[8:image]],常量!J:N,5,FALSE),0),0)</f>
        <v>0</v>
      </c>
      <c r="E715" t="s">
        <v>2589</v>
      </c>
      <c r="F715">
        <v>18</v>
      </c>
      <c r="G715" s="1" t="s">
        <v>670</v>
      </c>
      <c r="H715" s="17" t="s">
        <v>3365</v>
      </c>
      <c r="I715" s="19"/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t="14.25" customHeight="1">
      <c r="A716">
        <v>1051</v>
      </c>
      <c r="B716">
        <f>IF(表1[[#This Row],[不调整offset]]="x",IFERROR(VLOOKUP(表1[[#This Row],[8:image]],常量!J:N,4,FALSE),0),0)</f>
        <v>0</v>
      </c>
      <c r="C716">
        <f>IF(表1[[#This Row],[不调整offset]]="x",IFERROR(VLOOKUP(表1[[#This Row],[8:image]],常量!J:N,5,FALSE),0),0)</f>
        <v>0</v>
      </c>
      <c r="E716">
        <v>1</v>
      </c>
      <c r="F716">
        <v>12</v>
      </c>
      <c r="G716" s="1" t="s">
        <v>671</v>
      </c>
      <c r="H716" s="17" t="s">
        <v>3366</v>
      </c>
      <c r="I716" s="17" t="s">
        <v>4321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t="14.25" customHeight="1">
      <c r="A717">
        <v>1052</v>
      </c>
      <c r="B717">
        <f>IF(表1[[#This Row],[不调整offset]]="x",IFERROR(VLOOKUP(表1[[#This Row],[8:image]],常量!J:N,4,FALSE),0),0)</f>
        <v>0</v>
      </c>
      <c r="C717">
        <f>IF(表1[[#This Row],[不调整offset]]="x",IFERROR(VLOOKUP(表1[[#This Row],[8:image]],常量!J:N,5,FALSE),0),0)</f>
        <v>0</v>
      </c>
      <c r="E717">
        <v>1</v>
      </c>
      <c r="F717">
        <v>12</v>
      </c>
      <c r="G717" s="1" t="s">
        <v>672</v>
      </c>
      <c r="H717" s="17" t="s">
        <v>3367</v>
      </c>
      <c r="I717" s="17" t="s">
        <v>4322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t="14.25" customHeight="1">
      <c r="A718">
        <v>1053</v>
      </c>
      <c r="B718">
        <f>IF(表1[[#This Row],[不调整offset]]="x",IFERROR(VLOOKUP(表1[[#This Row],[8:image]],常量!J:N,4,FALSE),0),0)</f>
        <v>0</v>
      </c>
      <c r="C718">
        <f>IF(表1[[#This Row],[不调整offset]]="x",IFERROR(VLOOKUP(表1[[#This Row],[8:image]],常量!J:N,5,FALSE),0),0)</f>
        <v>0</v>
      </c>
      <c r="E718">
        <v>1</v>
      </c>
      <c r="F718">
        <v>12</v>
      </c>
      <c r="G718" s="1" t="s">
        <v>673</v>
      </c>
      <c r="H718" s="17" t="s">
        <v>3368</v>
      </c>
      <c r="I718" s="17" t="s">
        <v>4323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t="14.25" customHeight="1">
      <c r="A719">
        <v>1054</v>
      </c>
      <c r="B719">
        <f>IF(表1[[#This Row],[不调整offset]]="x",IFERROR(VLOOKUP(表1[[#This Row],[8:image]],常量!J:N,4,FALSE),0),0)</f>
        <v>0</v>
      </c>
      <c r="C719">
        <f>IF(表1[[#This Row],[不调整offset]]="x",IFERROR(VLOOKUP(表1[[#This Row],[8:image]],常量!J:N,5,FALSE),0),0)</f>
        <v>0</v>
      </c>
      <c r="E719">
        <v>1</v>
      </c>
      <c r="F719">
        <v>12</v>
      </c>
      <c r="G719" s="1" t="s">
        <v>674</v>
      </c>
      <c r="H719" s="17" t="s">
        <v>3369</v>
      </c>
      <c r="I719" s="17" t="s">
        <v>4324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t="14.25" customHeight="1">
      <c r="A720">
        <v>1055</v>
      </c>
      <c r="B720">
        <f>IF(表1[[#This Row],[不调整offset]]="x",IFERROR(VLOOKUP(表1[[#This Row],[8:image]],常量!J:N,4,FALSE),0),0)</f>
        <v>0</v>
      </c>
      <c r="C720">
        <f>IF(表1[[#This Row],[不调整offset]]="x",IFERROR(VLOOKUP(表1[[#This Row],[8:image]],常量!J:N,5,FALSE),0),0)</f>
        <v>0</v>
      </c>
      <c r="E720">
        <v>1</v>
      </c>
      <c r="F720">
        <v>12</v>
      </c>
      <c r="G720" s="1" t="s">
        <v>675</v>
      </c>
      <c r="H720" s="17" t="s">
        <v>3370</v>
      </c>
      <c r="I720" s="17" t="s">
        <v>4325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t="14.25" customHeight="1">
      <c r="A721">
        <v>1056</v>
      </c>
      <c r="B721">
        <f>IF(表1[[#This Row],[不调整offset]]="x",IFERROR(VLOOKUP(表1[[#This Row],[8:image]],常量!J:N,4,FALSE),0),0)</f>
        <v>0</v>
      </c>
      <c r="C721">
        <f>IF(表1[[#This Row],[不调整offset]]="x",IFERROR(VLOOKUP(表1[[#This Row],[8:image]],常量!J:N,5,FALSE),0),0)</f>
        <v>0</v>
      </c>
      <c r="E721">
        <v>1</v>
      </c>
      <c r="F721">
        <v>12</v>
      </c>
      <c r="G721" s="1" t="s">
        <v>676</v>
      </c>
      <c r="H721" s="17" t="s">
        <v>3371</v>
      </c>
      <c r="I721" s="17" t="s">
        <v>4326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t="14.25" customHeight="1">
      <c r="A722">
        <v>1057</v>
      </c>
      <c r="B722">
        <f>IF(表1[[#This Row],[不调整offset]]="x",IFERROR(VLOOKUP(表1[[#This Row],[8:image]],常量!J:N,4,FALSE),0),0)</f>
        <v>0</v>
      </c>
      <c r="C722">
        <f>IF(表1[[#This Row],[不调整offset]]="x",IFERROR(VLOOKUP(表1[[#This Row],[8:image]],常量!J:N,5,FALSE),0),0)</f>
        <v>0</v>
      </c>
      <c r="E722">
        <v>1</v>
      </c>
      <c r="F722">
        <v>12</v>
      </c>
      <c r="G722" s="1" t="s">
        <v>587</v>
      </c>
      <c r="H722" s="17" t="s">
        <v>3372</v>
      </c>
      <c r="I722" s="17" t="s">
        <v>4327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t="14.25" customHeight="1">
      <c r="A723">
        <v>1058</v>
      </c>
      <c r="B723">
        <f>IF(表1[[#This Row],[不调整offset]]="x",IFERROR(VLOOKUP(表1[[#This Row],[8:image]],常量!J:N,4,FALSE),0),0)</f>
        <v>0</v>
      </c>
      <c r="C723">
        <f>IF(表1[[#This Row],[不调整offset]]="x",IFERROR(VLOOKUP(表1[[#This Row],[8:image]],常量!J:N,5,FALSE),0),0)</f>
        <v>0</v>
      </c>
      <c r="E723">
        <v>1</v>
      </c>
      <c r="F723">
        <v>12</v>
      </c>
      <c r="G723" s="1" t="s">
        <v>677</v>
      </c>
      <c r="H723" s="17" t="s">
        <v>3373</v>
      </c>
      <c r="I723" s="17" t="s">
        <v>4328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t="14.25" customHeight="1">
      <c r="A724">
        <v>1059</v>
      </c>
      <c r="B724">
        <f>IF(表1[[#This Row],[不调整offset]]="x",IFERROR(VLOOKUP(表1[[#This Row],[8:image]],常量!J:N,4,FALSE),0),0)</f>
        <v>0</v>
      </c>
      <c r="C724">
        <f>IF(表1[[#This Row],[不调整offset]]="x",IFERROR(VLOOKUP(表1[[#This Row],[8:image]],常量!J:N,5,FALSE),0),0)</f>
        <v>0</v>
      </c>
      <c r="E724">
        <v>1</v>
      </c>
      <c r="F724">
        <v>12</v>
      </c>
      <c r="G724" s="1" t="s">
        <v>678</v>
      </c>
      <c r="H724" s="17" t="s">
        <v>3374</v>
      </c>
      <c r="I724" s="17" t="s">
        <v>4329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t="14.25" customHeight="1">
      <c r="A725">
        <v>1060</v>
      </c>
      <c r="B725">
        <f>IF(表1[[#This Row],[不调整offset]]="x",IFERROR(VLOOKUP(表1[[#This Row],[8:image]],常量!J:N,4,FALSE),0),0)</f>
        <v>0</v>
      </c>
      <c r="C725">
        <f>IF(表1[[#This Row],[不调整offset]]="x",IFERROR(VLOOKUP(表1[[#This Row],[8:image]],常量!J:N,5,FALSE),0),0)</f>
        <v>0</v>
      </c>
      <c r="E725">
        <v>1</v>
      </c>
      <c r="F725">
        <v>12</v>
      </c>
      <c r="G725" s="1" t="s">
        <v>679</v>
      </c>
      <c r="H725" s="17" t="s">
        <v>3375</v>
      </c>
      <c r="I725" s="17" t="s">
        <v>4330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customHeight="1">
      <c r="A726">
        <v>1061</v>
      </c>
      <c r="B726">
        <f>IF(表1[[#This Row],[不调整offset]]="x",IFERROR(VLOOKUP(表1[[#This Row],[8:image]],常量!J:N,4,FALSE),0),0)</f>
        <v>0</v>
      </c>
      <c r="C726">
        <f>IF(表1[[#This Row],[不调整offset]]="x",IFERROR(VLOOKUP(表1[[#This Row],[8:image]],常量!J:N,5,FALSE),0),0)</f>
        <v>0</v>
      </c>
      <c r="E726" t="s">
        <v>2587</v>
      </c>
      <c r="F726">
        <v>6</v>
      </c>
      <c r="G726" s="1" t="s">
        <v>599</v>
      </c>
      <c r="H726" s="17" t="s">
        <v>3376</v>
      </c>
      <c r="I726" s="19"/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t="14.25" customHeight="1">
      <c r="A727">
        <v>1100</v>
      </c>
      <c r="B727">
        <f>IF(表1[[#This Row],[不调整offset]]="x",IFERROR(VLOOKUP(表1[[#This Row],[8:image]],常量!J:N,4,FALSE),0),0)</f>
        <v>0</v>
      </c>
      <c r="C727">
        <f>IF(表1[[#This Row],[不调整offset]]="x",IFERROR(VLOOKUP(表1[[#This Row],[8:image]],常量!J:N,5,FALSE),0),0)</f>
        <v>0</v>
      </c>
      <c r="E727" t="s">
        <v>2589</v>
      </c>
      <c r="F727">
        <v>18</v>
      </c>
      <c r="G727" s="1" t="s">
        <v>680</v>
      </c>
      <c r="H727" s="17" t="s">
        <v>3377</v>
      </c>
      <c r="I727" s="19"/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t="14.25" customHeight="1">
      <c r="A728">
        <v>1101</v>
      </c>
      <c r="B728">
        <f>IF(表1[[#This Row],[不调整offset]]="x",IFERROR(VLOOKUP(表1[[#This Row],[8:image]],常量!J:N,4,FALSE),0),0)</f>
        <v>0</v>
      </c>
      <c r="C728">
        <f>IF(表1[[#This Row],[不调整offset]]="x",IFERROR(VLOOKUP(表1[[#This Row],[8:image]],常量!J:N,5,FALSE),0),0)</f>
        <v>0</v>
      </c>
      <c r="E728">
        <v>1</v>
      </c>
      <c r="F728">
        <v>12</v>
      </c>
      <c r="G728" s="1" t="s">
        <v>681</v>
      </c>
      <c r="H728" s="17" t="s">
        <v>3378</v>
      </c>
      <c r="I728" s="17" t="s">
        <v>4331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t="14.25" customHeight="1">
      <c r="A729">
        <v>1102</v>
      </c>
      <c r="B729">
        <f>IF(表1[[#This Row],[不调整offset]]="x",IFERROR(VLOOKUP(表1[[#This Row],[8:image]],常量!J:N,4,FALSE),0),0)</f>
        <v>0</v>
      </c>
      <c r="C729">
        <f>IF(表1[[#This Row],[不调整offset]]="x",IFERROR(VLOOKUP(表1[[#This Row],[8:image]],常量!J:N,5,FALSE),0),0)</f>
        <v>0</v>
      </c>
      <c r="E729">
        <v>1</v>
      </c>
      <c r="F729">
        <v>12</v>
      </c>
      <c r="G729" s="1" t="s">
        <v>682</v>
      </c>
      <c r="H729" s="17" t="s">
        <v>3379</v>
      </c>
      <c r="I729" s="17" t="s">
        <v>4332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t="14.25" customHeight="1">
      <c r="A730">
        <v>1103</v>
      </c>
      <c r="B730">
        <f>IF(表1[[#This Row],[不调整offset]]="x",IFERROR(VLOOKUP(表1[[#This Row],[8:image]],常量!J:N,4,FALSE),0),0)</f>
        <v>0</v>
      </c>
      <c r="C730">
        <f>IF(表1[[#This Row],[不调整offset]]="x",IFERROR(VLOOKUP(表1[[#This Row],[8:image]],常量!J:N,5,FALSE),0),0)</f>
        <v>0</v>
      </c>
      <c r="E730">
        <v>1</v>
      </c>
      <c r="F730">
        <v>12</v>
      </c>
      <c r="G730" s="1" t="s">
        <v>683</v>
      </c>
      <c r="H730" s="17" t="s">
        <v>3380</v>
      </c>
      <c r="I730" s="17" t="s">
        <v>4333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customHeight="1">
      <c r="A731">
        <v>1200</v>
      </c>
      <c r="B731">
        <f>IF(表1[[#This Row],[不调整offset]]="x",IFERROR(VLOOKUP(表1[[#This Row],[8:image]],常量!J:N,4,FALSE),0),0)</f>
        <v>0</v>
      </c>
      <c r="C731">
        <f>IF(表1[[#This Row],[不调整offset]]="x",IFERROR(VLOOKUP(表1[[#This Row],[8:image]],常量!J:N,5,FALSE),0),0)</f>
        <v>0</v>
      </c>
      <c r="E731" t="s">
        <v>2589</v>
      </c>
      <c r="F731">
        <v>18</v>
      </c>
      <c r="G731" s="1" t="s">
        <v>684</v>
      </c>
      <c r="H731" s="17" t="s">
        <v>3381</v>
      </c>
      <c r="I731" s="19"/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customHeight="1">
      <c r="A732">
        <v>1201</v>
      </c>
      <c r="B732">
        <f>IF(表1[[#This Row],[不调整offset]]="x",IFERROR(VLOOKUP(表1[[#This Row],[8:image]],常量!J:N,4,FALSE),0),0)</f>
        <v>0</v>
      </c>
      <c r="C732">
        <f>IF(表1[[#This Row],[不调整offset]]="x",IFERROR(VLOOKUP(表1[[#This Row],[8:image]],常量!J:N,5,FALSE),0),0)</f>
        <v>0</v>
      </c>
      <c r="E732">
        <v>1</v>
      </c>
      <c r="F732">
        <v>12</v>
      </c>
      <c r="G732" s="1" t="s">
        <v>685</v>
      </c>
      <c r="H732" s="17" t="s">
        <v>3382</v>
      </c>
      <c r="I732" s="19"/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IF(表1[[#This Row],[不调整offset]]="x",IFERROR(VLOOKUP(表1[[#This Row],[8:image]],常量!J:N,4,FALSE),0),0)</f>
        <v>0</v>
      </c>
      <c r="C733">
        <f>IF(表1[[#This Row],[不调整offset]]="x",IFERROR(VLOOKUP(表1[[#This Row],[8:image]],常量!J:N,5,FALSE),0),0)</f>
        <v>0</v>
      </c>
      <c r="E733">
        <v>1</v>
      </c>
      <c r="F733">
        <v>12</v>
      </c>
      <c r="G733" s="1" t="s">
        <v>686</v>
      </c>
      <c r="H733" s="17" t="s">
        <v>3383</v>
      </c>
      <c r="I733" s="19"/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customHeight="1">
      <c r="A734">
        <v>1203</v>
      </c>
      <c r="B734">
        <f>IF(表1[[#This Row],[不调整offset]]="x",IFERROR(VLOOKUP(表1[[#This Row],[8:image]],常量!J:N,4,FALSE),0),0)</f>
        <v>0</v>
      </c>
      <c r="C734">
        <f>IF(表1[[#This Row],[不调整offset]]="x",IFERROR(VLOOKUP(表1[[#This Row],[8:image]],常量!J:N,5,FALSE),0),0)</f>
        <v>0</v>
      </c>
      <c r="E734">
        <v>1</v>
      </c>
      <c r="F734">
        <v>12</v>
      </c>
      <c r="G734" s="1" t="s">
        <v>687</v>
      </c>
      <c r="H734" s="16" t="s">
        <v>3384</v>
      </c>
      <c r="I734" s="19"/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IF(表1[[#This Row],[不调整offset]]="x",IFERROR(VLOOKUP(表1[[#This Row],[8:image]],常量!J:N,4,FALSE),0),0)</f>
        <v>0</v>
      </c>
      <c r="C735">
        <f>IF(表1[[#This Row],[不调整offset]]="x",IFERROR(VLOOKUP(表1[[#This Row],[8:image]],常量!J:N,5,FALSE),0),0)</f>
        <v>0</v>
      </c>
      <c r="E735" t="s">
        <v>2589</v>
      </c>
      <c r="F735">
        <v>18</v>
      </c>
      <c r="G735" s="1" t="s">
        <v>688</v>
      </c>
      <c r="H735" s="17" t="s">
        <v>3385</v>
      </c>
      <c r="I735" s="19"/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customHeight="1">
      <c r="A736">
        <v>1301</v>
      </c>
      <c r="B736">
        <f>IF(表1[[#This Row],[不调整offset]]="x",IFERROR(VLOOKUP(表1[[#This Row],[8:image]],常量!J:N,4,FALSE),0),0)</f>
        <v>0</v>
      </c>
      <c r="C736">
        <f>IF(表1[[#This Row],[不调整offset]]="x",IFERROR(VLOOKUP(表1[[#This Row],[8:image]],常量!J:N,5,FALSE),0),0)</f>
        <v>0</v>
      </c>
      <c r="E736" t="s">
        <v>2589</v>
      </c>
      <c r="F736">
        <v>18</v>
      </c>
      <c r="G736" s="1" t="s">
        <v>689</v>
      </c>
      <c r="H736" s="17" t="s">
        <v>3386</v>
      </c>
      <c r="I736" s="19"/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customHeight="1">
      <c r="A737">
        <v>1302</v>
      </c>
      <c r="B737">
        <f>IF(表1[[#This Row],[不调整offset]]="x",IFERROR(VLOOKUP(表1[[#This Row],[8:image]],常量!J:N,4,FALSE),0),0)</f>
        <v>0</v>
      </c>
      <c r="C737">
        <f>IF(表1[[#This Row],[不调整offset]]="x",IFERROR(VLOOKUP(表1[[#This Row],[8:image]],常量!J:N,5,FALSE),0),0)</f>
        <v>0</v>
      </c>
      <c r="E737" t="s">
        <v>2589</v>
      </c>
      <c r="F737">
        <v>18</v>
      </c>
      <c r="G737" s="1" t="s">
        <v>690</v>
      </c>
      <c r="H737" s="17" t="s">
        <v>3387</v>
      </c>
      <c r="I737" s="19"/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customHeight="1">
      <c r="A738">
        <v>1303</v>
      </c>
      <c r="B738">
        <f>IF(表1[[#This Row],[不调整offset]]="x",IFERROR(VLOOKUP(表1[[#This Row],[8:image]],常量!J:N,4,FALSE),0),0)</f>
        <v>0</v>
      </c>
      <c r="C738">
        <f>IF(表1[[#This Row],[不调整offset]]="x",IFERROR(VLOOKUP(表1[[#This Row],[8:image]],常量!J:N,5,FALSE),0),0)</f>
        <v>0</v>
      </c>
      <c r="E738" t="s">
        <v>2589</v>
      </c>
      <c r="F738">
        <v>18</v>
      </c>
      <c r="G738" s="1" t="s">
        <v>691</v>
      </c>
      <c r="H738" s="17" t="s">
        <v>3388</v>
      </c>
      <c r="I738" s="19"/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customHeight="1">
      <c r="A739">
        <v>1304</v>
      </c>
      <c r="B739">
        <f>IF(表1[[#This Row],[不调整offset]]="x",IFERROR(VLOOKUP(表1[[#This Row],[8:image]],常量!J:N,4,FALSE),0),0)</f>
        <v>0</v>
      </c>
      <c r="C739">
        <f>IF(表1[[#This Row],[不调整offset]]="x",IFERROR(VLOOKUP(表1[[#This Row],[8:image]],常量!J:N,5,FALSE),0),0)</f>
        <v>0</v>
      </c>
      <c r="E739" t="s">
        <v>2589</v>
      </c>
      <c r="F739">
        <v>18</v>
      </c>
      <c r="G739" s="1" t="s">
        <v>692</v>
      </c>
      <c r="H739" s="17" t="s">
        <v>3389</v>
      </c>
      <c r="I739" s="19"/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customHeight="1">
      <c r="A740">
        <v>1305</v>
      </c>
      <c r="B740">
        <f>IF(表1[[#This Row],[不调整offset]]="x",IFERROR(VLOOKUP(表1[[#This Row],[8:image]],常量!J:N,4,FALSE),0),0)</f>
        <v>0</v>
      </c>
      <c r="C740">
        <f>IF(表1[[#This Row],[不调整offset]]="x",IFERROR(VLOOKUP(表1[[#This Row],[8:image]],常量!J:N,5,FALSE),0),0)</f>
        <v>0</v>
      </c>
      <c r="E740" t="s">
        <v>2589</v>
      </c>
      <c r="F740">
        <v>18</v>
      </c>
      <c r="G740" s="1" t="s">
        <v>693</v>
      </c>
      <c r="H740" s="17" t="s">
        <v>3390</v>
      </c>
      <c r="I740" s="19"/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customHeight="1">
      <c r="A741">
        <v>1306</v>
      </c>
      <c r="B741">
        <f>IF(表1[[#This Row],[不调整offset]]="x",IFERROR(VLOOKUP(表1[[#This Row],[8:image]],常量!J:N,4,FALSE),0),0)</f>
        <v>0</v>
      </c>
      <c r="C741">
        <f>IF(表1[[#This Row],[不调整offset]]="x",IFERROR(VLOOKUP(表1[[#This Row],[8:image]],常量!J:N,5,FALSE),0),0)</f>
        <v>0</v>
      </c>
      <c r="E741" t="s">
        <v>2589</v>
      </c>
      <c r="F741">
        <v>18</v>
      </c>
      <c r="G741" s="1" t="s">
        <v>694</v>
      </c>
      <c r="H741" s="17" t="s">
        <v>3391</v>
      </c>
      <c r="I741" s="19"/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customHeight="1">
      <c r="A742">
        <v>1400</v>
      </c>
      <c r="B742">
        <f>IF(表1[[#This Row],[不调整offset]]="x",IFERROR(VLOOKUP(表1[[#This Row],[8:image]],常量!J:N,4,FALSE),0),0)</f>
        <v>0</v>
      </c>
      <c r="C742">
        <f>IF(表1[[#This Row],[不调整offset]]="x",IFERROR(VLOOKUP(表1[[#This Row],[8:image]],常量!J:N,5,FALSE),0),0)</f>
        <v>0</v>
      </c>
      <c r="E742" t="s">
        <v>2589</v>
      </c>
      <c r="F742">
        <v>18</v>
      </c>
      <c r="G742" s="1" t="s">
        <v>695</v>
      </c>
      <c r="H742" s="17" t="s">
        <v>3392</v>
      </c>
      <c r="I742" s="19"/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IF(表1[[#This Row],[不调整offset]]="x",IFERROR(VLOOKUP(表1[[#This Row],[8:image]],常量!J:N,4,FALSE),0),0)</f>
        <v>0</v>
      </c>
      <c r="C743">
        <f>IF(表1[[#This Row],[不调整offset]]="x",IFERROR(VLOOKUP(表1[[#This Row],[8:image]],常量!J:N,5,FALSE),0),0)</f>
        <v>0</v>
      </c>
      <c r="E743" t="s">
        <v>2589</v>
      </c>
      <c r="F743">
        <v>18</v>
      </c>
      <c r="G743" s="1" t="s">
        <v>696</v>
      </c>
      <c r="H743" s="17" t="s">
        <v>3393</v>
      </c>
      <c r="I743" s="19"/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IF(表1[[#This Row],[不调整offset]]="x",IFERROR(VLOOKUP(表1[[#This Row],[8:image]],常量!J:N,4,FALSE),0),0)</f>
        <v>0</v>
      </c>
      <c r="C744">
        <f>IF(表1[[#This Row],[不调整offset]]="x",IFERROR(VLOOKUP(表1[[#This Row],[8:image]],常量!J:N,5,FALSE),0),0)</f>
        <v>0</v>
      </c>
      <c r="E744">
        <v>1</v>
      </c>
      <c r="F744">
        <v>12</v>
      </c>
      <c r="G744" s="1" t="s">
        <v>697</v>
      </c>
      <c r="H744" s="17" t="s">
        <v>3394</v>
      </c>
      <c r="I744" s="19"/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IF(表1[[#This Row],[不调整offset]]="x",IFERROR(VLOOKUP(表1[[#This Row],[8:image]],常量!J:N,4,FALSE),0),0)</f>
        <v>0</v>
      </c>
      <c r="C745">
        <f>IF(表1[[#This Row],[不调整offset]]="x",IFERROR(VLOOKUP(表1[[#This Row],[8:image]],常量!J:N,5,FALSE),0),0)</f>
        <v>0</v>
      </c>
      <c r="E745">
        <v>1</v>
      </c>
      <c r="F745">
        <v>12</v>
      </c>
      <c r="G745" s="1" t="s">
        <v>698</v>
      </c>
      <c r="H745" s="17" t="s">
        <v>3395</v>
      </c>
      <c r="I745" s="19"/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IF(表1[[#This Row],[不调整offset]]="x",IFERROR(VLOOKUP(表1[[#This Row],[8:image]],常量!J:N,4,FALSE),0),0)</f>
        <v>0</v>
      </c>
      <c r="C746">
        <f>IF(表1[[#This Row],[不调整offset]]="x",IFERROR(VLOOKUP(表1[[#This Row],[8:image]],常量!J:N,5,FALSE),0),0)</f>
        <v>0</v>
      </c>
      <c r="E746">
        <v>1</v>
      </c>
      <c r="F746">
        <v>12</v>
      </c>
      <c r="G746" s="1" t="s">
        <v>699</v>
      </c>
      <c r="H746" s="17" t="s">
        <v>3396</v>
      </c>
      <c r="I746" s="19"/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IF(表1[[#This Row],[不调整offset]]="x",IFERROR(VLOOKUP(表1[[#This Row],[8:image]],常量!J:N,4,FALSE),0),0)</f>
        <v>0</v>
      </c>
      <c r="C747">
        <f>IF(表1[[#This Row],[不调整offset]]="x",IFERROR(VLOOKUP(表1[[#This Row],[8:image]],常量!J:N,5,FALSE),0),0)</f>
        <v>0</v>
      </c>
      <c r="E747">
        <v>1</v>
      </c>
      <c r="F747">
        <v>12</v>
      </c>
      <c r="G747" s="1" t="s">
        <v>700</v>
      </c>
      <c r="H747" s="17" t="s">
        <v>3397</v>
      </c>
      <c r="I747" s="19"/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IF(表1[[#This Row],[不调整offset]]="x",IFERROR(VLOOKUP(表1[[#This Row],[8:image]],常量!J:N,4,FALSE),0),0)</f>
        <v>0</v>
      </c>
      <c r="C748">
        <f>IF(表1[[#This Row],[不调整offset]]="x",IFERROR(VLOOKUP(表1[[#This Row],[8:image]],常量!J:N,5,FALSE),0),0)</f>
        <v>0</v>
      </c>
      <c r="E748">
        <v>1</v>
      </c>
      <c r="F748">
        <v>12</v>
      </c>
      <c r="G748" s="1" t="s">
        <v>701</v>
      </c>
      <c r="H748" s="17" t="s">
        <v>3398</v>
      </c>
      <c r="I748" s="19"/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IF(表1[[#This Row],[不调整offset]]="x",IFERROR(VLOOKUP(表1[[#This Row],[8:image]],常量!J:N,4,FALSE),0),0)</f>
        <v>0</v>
      </c>
      <c r="C749">
        <f>IF(表1[[#This Row],[不调整offset]]="x",IFERROR(VLOOKUP(表1[[#This Row],[8:image]],常量!J:N,5,FALSE),0),0)</f>
        <v>0</v>
      </c>
      <c r="E749">
        <v>1</v>
      </c>
      <c r="F749">
        <v>12</v>
      </c>
      <c r="G749" s="1" t="s">
        <v>702</v>
      </c>
      <c r="H749" s="17" t="s">
        <v>3399</v>
      </c>
      <c r="I749" s="19"/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IF(表1[[#This Row],[不调整offset]]="x",IFERROR(VLOOKUP(表1[[#This Row],[8:image]],常量!J:N,4,FALSE),0),0)</f>
        <v>0</v>
      </c>
      <c r="C750">
        <f>IF(表1[[#This Row],[不调整offset]]="x",IFERROR(VLOOKUP(表1[[#This Row],[8:image]],常量!J:N,5,FALSE),0),0)</f>
        <v>0</v>
      </c>
      <c r="E750">
        <v>1</v>
      </c>
      <c r="F750">
        <v>12</v>
      </c>
      <c r="G750" s="1" t="s">
        <v>703</v>
      </c>
      <c r="H750" s="17" t="s">
        <v>3400</v>
      </c>
      <c r="I750" s="19"/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IF(表1[[#This Row],[不调整offset]]="x",IFERROR(VLOOKUP(表1[[#This Row],[8:image]],常量!J:N,4,FALSE),0),0)</f>
        <v>0</v>
      </c>
      <c r="C751">
        <f>IF(表1[[#This Row],[不调整offset]]="x",IFERROR(VLOOKUP(表1[[#This Row],[8:image]],常量!J:N,5,FALSE),0),0)</f>
        <v>0</v>
      </c>
      <c r="E751">
        <v>1</v>
      </c>
      <c r="F751">
        <v>12</v>
      </c>
      <c r="G751" s="1" t="s">
        <v>704</v>
      </c>
      <c r="H751" s="17" t="s">
        <v>3401</v>
      </c>
      <c r="I751" s="19"/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IF(表1[[#This Row],[不调整offset]]="x",IFERROR(VLOOKUP(表1[[#This Row],[8:image]],常量!J:N,4,FALSE),0),0)</f>
        <v>0</v>
      </c>
      <c r="C752">
        <f>IF(表1[[#This Row],[不调整offset]]="x",IFERROR(VLOOKUP(表1[[#This Row],[8:image]],常量!J:N,5,FALSE),0),0)</f>
        <v>0</v>
      </c>
      <c r="E752">
        <v>1</v>
      </c>
      <c r="F752">
        <v>12</v>
      </c>
      <c r="G752" s="1" t="s">
        <v>705</v>
      </c>
      <c r="H752" s="17" t="s">
        <v>3402</v>
      </c>
      <c r="I752" s="19"/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IF(表1[[#This Row],[不调整offset]]="x",IFERROR(VLOOKUP(表1[[#This Row],[8:image]],常量!J:N,4,FALSE),0),0)</f>
        <v>0</v>
      </c>
      <c r="C753">
        <f>IF(表1[[#This Row],[不调整offset]]="x",IFERROR(VLOOKUP(表1[[#This Row],[8:image]],常量!J:N,5,FALSE),0),0)</f>
        <v>0</v>
      </c>
      <c r="E753">
        <v>1</v>
      </c>
      <c r="F753">
        <v>12</v>
      </c>
      <c r="G753" s="1" t="s">
        <v>706</v>
      </c>
      <c r="H753" s="17" t="s">
        <v>3403</v>
      </c>
      <c r="I753" s="19"/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IF(表1[[#This Row],[不调整offset]]="x",IFERROR(VLOOKUP(表1[[#This Row],[8:image]],常量!J:N,4,FALSE),0),0)</f>
        <v>0</v>
      </c>
      <c r="C754">
        <f>IF(表1[[#This Row],[不调整offset]]="x",IFERROR(VLOOKUP(表1[[#This Row],[8:image]],常量!J:N,5,FALSE),0),0)</f>
        <v>0</v>
      </c>
      <c r="E754" t="s">
        <v>2589</v>
      </c>
      <c r="F754">
        <v>18</v>
      </c>
      <c r="G754" s="1" t="s">
        <v>676</v>
      </c>
      <c r="H754" s="17" t="s">
        <v>3404</v>
      </c>
      <c r="I754" s="19"/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IF(表1[[#This Row],[不调整offset]]="x",IFERROR(VLOOKUP(表1[[#This Row],[8:image]],常量!J:N,4,FALSE),0),0)</f>
        <v>0</v>
      </c>
      <c r="C755">
        <f>IF(表1[[#This Row],[不调整offset]]="x",IFERROR(VLOOKUP(表1[[#This Row],[8:image]],常量!J:N,5,FALSE),0),0)</f>
        <v>0</v>
      </c>
      <c r="E755">
        <v>1</v>
      </c>
      <c r="F755">
        <v>12</v>
      </c>
      <c r="G755" s="1" t="s">
        <v>707</v>
      </c>
      <c r="H755" s="17" t="s">
        <v>3405</v>
      </c>
      <c r="I755" s="17" t="s">
        <v>4334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customHeight="1">
      <c r="A756">
        <v>1502</v>
      </c>
      <c r="B756">
        <f>IF(表1[[#This Row],[不调整offset]]="x",IFERROR(VLOOKUP(表1[[#This Row],[8:image]],常量!J:N,4,FALSE),0),0)</f>
        <v>0</v>
      </c>
      <c r="C756">
        <f>IF(表1[[#This Row],[不调整offset]]="x",IFERROR(VLOOKUP(表1[[#This Row],[8:image]],常量!J:N,5,FALSE),0),0)</f>
        <v>0</v>
      </c>
      <c r="E756">
        <v>1</v>
      </c>
      <c r="F756">
        <v>12</v>
      </c>
      <c r="G756" s="1" t="s">
        <v>708</v>
      </c>
      <c r="H756" s="17" t="s">
        <v>3406</v>
      </c>
      <c r="I756" s="17" t="s">
        <v>4335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customHeight="1">
      <c r="A757">
        <v>1503</v>
      </c>
      <c r="B757">
        <f>IF(表1[[#This Row],[不调整offset]]="x",IFERROR(VLOOKUP(表1[[#This Row],[8:image]],常量!J:N,4,FALSE),0),0)</f>
        <v>0</v>
      </c>
      <c r="C757">
        <f>IF(表1[[#This Row],[不调整offset]]="x",IFERROR(VLOOKUP(表1[[#This Row],[8:image]],常量!J:N,5,FALSE),0),0)</f>
        <v>0</v>
      </c>
      <c r="E757">
        <v>1</v>
      </c>
      <c r="F757">
        <v>12</v>
      </c>
      <c r="G757" s="1" t="s">
        <v>709</v>
      </c>
      <c r="H757" s="17" t="s">
        <v>3407</v>
      </c>
      <c r="I757" s="17" t="s">
        <v>4336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customHeight="1">
      <c r="A758">
        <v>1504</v>
      </c>
      <c r="B758">
        <f>IF(表1[[#This Row],[不调整offset]]="x",IFERROR(VLOOKUP(表1[[#This Row],[8:image]],常量!J:N,4,FALSE),0),0)</f>
        <v>0</v>
      </c>
      <c r="C758">
        <f>IF(表1[[#This Row],[不调整offset]]="x",IFERROR(VLOOKUP(表1[[#This Row],[8:image]],常量!J:N,5,FALSE),0),0)</f>
        <v>0</v>
      </c>
      <c r="E758">
        <v>1</v>
      </c>
      <c r="F758">
        <v>12</v>
      </c>
      <c r="G758" s="1" t="s">
        <v>710</v>
      </c>
      <c r="H758" s="17" t="s">
        <v>3408</v>
      </c>
      <c r="I758" s="19"/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IF(表1[[#This Row],[不调整offset]]="x",IFERROR(VLOOKUP(表1[[#This Row],[8:image]],常量!J:N,4,FALSE),0),0)</f>
        <v>0</v>
      </c>
      <c r="C759">
        <f>IF(表1[[#This Row],[不调整offset]]="x",IFERROR(VLOOKUP(表1[[#This Row],[8:image]],常量!J:N,5,FALSE),0),0)</f>
        <v>0</v>
      </c>
      <c r="E759">
        <v>1</v>
      </c>
      <c r="F759">
        <v>12</v>
      </c>
      <c r="G759" s="1" t="s">
        <v>711</v>
      </c>
      <c r="H759" s="17" t="s">
        <v>3409</v>
      </c>
      <c r="I759" s="19"/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IF(表1[[#This Row],[不调整offset]]="x",IFERROR(VLOOKUP(表1[[#This Row],[8:image]],常量!J:N,4,FALSE),0),0)</f>
        <v>0</v>
      </c>
      <c r="C760">
        <f>IF(表1[[#This Row],[不调整offset]]="x",IFERROR(VLOOKUP(表1[[#This Row],[8:image]],常量!J:N,5,FALSE),0),0)</f>
        <v>0</v>
      </c>
      <c r="E760">
        <v>1</v>
      </c>
      <c r="F760">
        <v>12</v>
      </c>
      <c r="G760" s="1" t="s">
        <v>712</v>
      </c>
      <c r="H760" s="17" t="s">
        <v>3410</v>
      </c>
      <c r="I760" s="19"/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IF(表1[[#This Row],[不调整offset]]="x",IFERROR(VLOOKUP(表1[[#This Row],[8:image]],常量!J:N,4,FALSE),0),0)</f>
        <v>0</v>
      </c>
      <c r="C761">
        <f>IF(表1[[#This Row],[不调整offset]]="x",IFERROR(VLOOKUP(表1[[#This Row],[8:image]],常量!J:N,5,FALSE),0),0)</f>
        <v>0</v>
      </c>
      <c r="E761" t="s">
        <v>2587</v>
      </c>
      <c r="F761">
        <v>6</v>
      </c>
      <c r="G761" s="1" t="s">
        <v>1224</v>
      </c>
      <c r="H761" s="17" t="s">
        <v>3411</v>
      </c>
      <c r="I761" s="19"/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IF(表1[[#This Row],[不调整offset]]="x",IFERROR(VLOOKUP(表1[[#This Row],[8:image]],常量!J:N,4,FALSE),0),0)</f>
        <v>0</v>
      </c>
      <c r="C762">
        <f>IF(表1[[#This Row],[不调整offset]]="x",IFERROR(VLOOKUP(表1[[#This Row],[8:image]],常量!J:N,5,FALSE),0),0)</f>
        <v>0</v>
      </c>
      <c r="E762">
        <v>1</v>
      </c>
      <c r="F762">
        <v>12</v>
      </c>
      <c r="G762" s="1" t="s">
        <v>713</v>
      </c>
      <c r="H762" s="17" t="s">
        <v>3412</v>
      </c>
      <c r="I762" s="19"/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IF(表1[[#This Row],[不调整offset]]="x",IFERROR(VLOOKUP(表1[[#This Row],[8:image]],常量!J:N,4,FALSE),0),0)</f>
        <v>0</v>
      </c>
      <c r="C763">
        <f>IF(表1[[#This Row],[不调整offset]]="x",IFERROR(VLOOKUP(表1[[#This Row],[8:image]],常量!J:N,5,FALSE),0),0)</f>
        <v>0</v>
      </c>
      <c r="E763">
        <v>1</v>
      </c>
      <c r="F763">
        <v>12</v>
      </c>
      <c r="G763" s="1" t="s">
        <v>714</v>
      </c>
      <c r="H763" s="17" t="s">
        <v>3413</v>
      </c>
      <c r="I763" s="19"/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IF(表1[[#This Row],[不调整offset]]="x",IFERROR(VLOOKUP(表1[[#This Row],[8:image]],常量!J:N,4,FALSE),0),0)</f>
        <v>0</v>
      </c>
      <c r="C764">
        <f>IF(表1[[#This Row],[不调整offset]]="x",IFERROR(VLOOKUP(表1[[#This Row],[8:image]],常量!J:N,5,FALSE),0),0)</f>
        <v>0</v>
      </c>
      <c r="E764">
        <v>1</v>
      </c>
      <c r="F764">
        <v>12</v>
      </c>
      <c r="G764" s="1" t="s">
        <v>615</v>
      </c>
      <c r="H764" s="17" t="s">
        <v>3414</v>
      </c>
      <c r="I764" s="19"/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IF(表1[[#This Row],[不调整offset]]="x",IFERROR(VLOOKUP(表1[[#This Row],[8:image]],常量!J:N,4,FALSE),0),0)</f>
        <v>0</v>
      </c>
      <c r="C765">
        <f>IF(表1[[#This Row],[不调整offset]]="x",IFERROR(VLOOKUP(表1[[#This Row],[8:image]],常量!J:N,5,FALSE),0),0)</f>
        <v>0</v>
      </c>
      <c r="E765">
        <v>1</v>
      </c>
      <c r="F765">
        <v>12</v>
      </c>
      <c r="G765" s="1" t="s">
        <v>715</v>
      </c>
      <c r="H765" s="17" t="s">
        <v>3415</v>
      </c>
      <c r="I765" s="19"/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IF(表1[[#This Row],[不调整offset]]="x",IFERROR(VLOOKUP(表1[[#This Row],[8:image]],常量!J:N,4,FALSE),0),0)</f>
        <v>0</v>
      </c>
      <c r="C766">
        <f>IF(表1[[#This Row],[不调整offset]]="x",IFERROR(VLOOKUP(表1[[#This Row],[8:image]],常量!J:N,5,FALSE),0),0)</f>
        <v>0</v>
      </c>
      <c r="E766">
        <v>1</v>
      </c>
      <c r="F766">
        <v>12</v>
      </c>
      <c r="G766" s="12" t="s">
        <v>716</v>
      </c>
      <c r="H766" s="17" t="s">
        <v>3416</v>
      </c>
      <c r="I766" s="19"/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customHeight="1">
      <c r="A767">
        <v>1513</v>
      </c>
      <c r="B767">
        <f>IF(表1[[#This Row],[不调整offset]]="x",IFERROR(VLOOKUP(表1[[#This Row],[8:image]],常量!J:N,4,FALSE),0),0)</f>
        <v>0</v>
      </c>
      <c r="C767">
        <f>IF(表1[[#This Row],[不调整offset]]="x",IFERROR(VLOOKUP(表1[[#This Row],[8:image]],常量!J:N,5,FALSE),0),0)</f>
        <v>0</v>
      </c>
      <c r="E767">
        <v>1</v>
      </c>
      <c r="F767">
        <v>12</v>
      </c>
      <c r="G767" s="1" t="s">
        <v>717</v>
      </c>
      <c r="H767" s="17" t="s">
        <v>3417</v>
      </c>
      <c r="I767" s="19"/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IF(表1[[#This Row],[不调整offset]]="x",IFERROR(VLOOKUP(表1[[#This Row],[8:image]],常量!J:N,4,FALSE),0),0)</f>
        <v>0</v>
      </c>
      <c r="C768">
        <f>IF(表1[[#This Row],[不调整offset]]="x",IFERROR(VLOOKUP(表1[[#This Row],[8:image]],常量!J:N,5,FALSE),0),0)</f>
        <v>0</v>
      </c>
      <c r="E768">
        <v>1</v>
      </c>
      <c r="F768">
        <v>12</v>
      </c>
      <c r="G768" s="1" t="s">
        <v>718</v>
      </c>
      <c r="H768" s="17" t="s">
        <v>3418</v>
      </c>
      <c r="I768" s="17" t="s">
        <v>4337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customHeight="1">
      <c r="A769">
        <v>1515</v>
      </c>
      <c r="B769">
        <f>IF(表1[[#This Row],[不调整offset]]="x",IFERROR(VLOOKUP(表1[[#This Row],[8:image]],常量!J:N,4,FALSE),0),0)</f>
        <v>0</v>
      </c>
      <c r="C769">
        <f>IF(表1[[#This Row],[不调整offset]]="x",IFERROR(VLOOKUP(表1[[#This Row],[8:image]],常量!J:N,5,FALSE),0),0)</f>
        <v>0</v>
      </c>
      <c r="E769">
        <v>1</v>
      </c>
      <c r="F769">
        <v>12</v>
      </c>
      <c r="G769" s="1" t="s">
        <v>719</v>
      </c>
      <c r="H769" s="17" t="s">
        <v>3419</v>
      </c>
      <c r="I769" s="17" t="s">
        <v>4338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customHeight="1">
      <c r="A770">
        <v>1516</v>
      </c>
      <c r="B770">
        <f>IF(表1[[#This Row],[不调整offset]]="x",IFERROR(VLOOKUP(表1[[#This Row],[8:image]],常量!J:N,4,FALSE),0),0)</f>
        <v>0</v>
      </c>
      <c r="C770">
        <f>IF(表1[[#This Row],[不调整offset]]="x",IFERROR(VLOOKUP(表1[[#This Row],[8:image]],常量!J:N,5,FALSE),0),0)</f>
        <v>0</v>
      </c>
      <c r="E770">
        <v>1</v>
      </c>
      <c r="F770">
        <v>12</v>
      </c>
      <c r="G770" s="1" t="s">
        <v>720</v>
      </c>
      <c r="H770" s="17" t="s">
        <v>3420</v>
      </c>
      <c r="I770" s="17" t="s">
        <v>4339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customHeight="1">
      <c r="A771">
        <v>1600</v>
      </c>
      <c r="B771">
        <f>IF(表1[[#This Row],[不调整offset]]="x",IFERROR(VLOOKUP(表1[[#This Row],[8:image]],常量!J:N,4,FALSE),0),0)</f>
        <v>0</v>
      </c>
      <c r="C771">
        <f>IF(表1[[#This Row],[不调整offset]]="x",IFERROR(VLOOKUP(表1[[#This Row],[8:image]],常量!J:N,5,FALSE),0),0)</f>
        <v>0</v>
      </c>
      <c r="E771" t="s">
        <v>2589</v>
      </c>
      <c r="F771">
        <v>18</v>
      </c>
      <c r="G771" s="8" t="s">
        <v>721</v>
      </c>
      <c r="H771" s="16" t="s">
        <v>3421</v>
      </c>
      <c r="I771" s="19"/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IF(表1[[#This Row],[不调整offset]]="x",IFERROR(VLOOKUP(表1[[#This Row],[8:image]],常量!J:N,4,FALSE),0),0)</f>
        <v>0</v>
      </c>
      <c r="C772">
        <f>IF(表1[[#This Row],[不调整offset]]="x",IFERROR(VLOOKUP(表1[[#This Row],[8:image]],常量!J:N,5,FALSE),0),0)</f>
        <v>0</v>
      </c>
      <c r="E772">
        <v>1</v>
      </c>
      <c r="F772">
        <v>12</v>
      </c>
      <c r="G772" s="8" t="s">
        <v>722</v>
      </c>
      <c r="H772" s="16" t="s">
        <v>3422</v>
      </c>
      <c r="I772" s="16" t="s">
        <v>4340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customHeight="1">
      <c r="A773">
        <v>1602</v>
      </c>
      <c r="B773">
        <f>IF(表1[[#This Row],[不调整offset]]="x",IFERROR(VLOOKUP(表1[[#This Row],[8:image]],常量!J:N,4,FALSE),0),0)</f>
        <v>0</v>
      </c>
      <c r="C773">
        <f>IF(表1[[#This Row],[不调整offset]]="x",IFERROR(VLOOKUP(表1[[#This Row],[8:image]],常量!J:N,5,FALSE),0),0)</f>
        <v>0</v>
      </c>
      <c r="E773">
        <v>1</v>
      </c>
      <c r="F773">
        <v>12</v>
      </c>
      <c r="G773" s="8" t="s">
        <v>723</v>
      </c>
      <c r="H773" s="16" t="s">
        <v>3423</v>
      </c>
      <c r="I773" s="16" t="s">
        <v>4341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customHeight="1">
      <c r="A774">
        <v>1603</v>
      </c>
      <c r="B774">
        <f>IF(表1[[#This Row],[不调整offset]]="x",IFERROR(VLOOKUP(表1[[#This Row],[8:image]],常量!J:N,4,FALSE),0),0)</f>
        <v>0</v>
      </c>
      <c r="C774">
        <f>IF(表1[[#This Row],[不调整offset]]="x",IFERROR(VLOOKUP(表1[[#This Row],[8:image]],常量!J:N,5,FALSE),0),0)</f>
        <v>0</v>
      </c>
      <c r="E774">
        <v>1</v>
      </c>
      <c r="F774">
        <v>12</v>
      </c>
      <c r="G774" s="8" t="s">
        <v>724</v>
      </c>
      <c r="H774" s="16" t="s">
        <v>3424</v>
      </c>
      <c r="I774" s="16" t="s">
        <v>4342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customHeight="1">
      <c r="A775">
        <v>1604</v>
      </c>
      <c r="B775">
        <f>IF(表1[[#This Row],[不调整offset]]="x",IFERROR(VLOOKUP(表1[[#This Row],[8:image]],常量!J:N,4,FALSE),0),0)</f>
        <v>0</v>
      </c>
      <c r="C775">
        <f>IF(表1[[#This Row],[不调整offset]]="x",IFERROR(VLOOKUP(表1[[#This Row],[8:image]],常量!J:N,5,FALSE),0),0)</f>
        <v>0</v>
      </c>
      <c r="E775">
        <v>1</v>
      </c>
      <c r="F775">
        <v>12</v>
      </c>
      <c r="G775" s="8" t="s">
        <v>725</v>
      </c>
      <c r="H775" s="16" t="s">
        <v>3425</v>
      </c>
      <c r="I775" s="16" t="s">
        <v>4343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customHeight="1">
      <c r="A776">
        <v>1605</v>
      </c>
      <c r="B776">
        <f>IF(表1[[#This Row],[不调整offset]]="x",IFERROR(VLOOKUP(表1[[#This Row],[8:image]],常量!J:N,4,FALSE),0),0)</f>
        <v>0</v>
      </c>
      <c r="C776">
        <f>IF(表1[[#This Row],[不调整offset]]="x",IFERROR(VLOOKUP(表1[[#This Row],[8:image]],常量!J:N,5,FALSE),0),0)</f>
        <v>0</v>
      </c>
      <c r="E776" t="s">
        <v>2587</v>
      </c>
      <c r="F776">
        <v>6</v>
      </c>
      <c r="G776" s="8" t="s">
        <v>726</v>
      </c>
      <c r="H776" s="16" t="s">
        <v>3426</v>
      </c>
      <c r="I776" s="19"/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IF(表1[[#This Row],[不调整offset]]="x",IFERROR(VLOOKUP(表1[[#This Row],[8:image]],常量!J:N,4,FALSE),0),0)</f>
        <v>0</v>
      </c>
      <c r="C777">
        <f>IF(表1[[#This Row],[不调整offset]]="x",IFERROR(VLOOKUP(表1[[#This Row],[8:image]],常量!J:N,5,FALSE),0),0)</f>
        <v>0</v>
      </c>
      <c r="E777" t="s">
        <v>2587</v>
      </c>
      <c r="F777">
        <v>6</v>
      </c>
      <c r="G777" s="8" t="s">
        <v>727</v>
      </c>
      <c r="H777" s="16" t="s">
        <v>3427</v>
      </c>
      <c r="I777" s="16" t="s">
        <v>4344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customHeight="1">
      <c r="A778">
        <v>1607</v>
      </c>
      <c r="B778">
        <f>IF(表1[[#This Row],[不调整offset]]="x",IFERROR(VLOOKUP(表1[[#This Row],[8:image]],常量!J:N,4,FALSE),0),0)</f>
        <v>0</v>
      </c>
      <c r="C778">
        <f>IF(表1[[#This Row],[不调整offset]]="x",IFERROR(VLOOKUP(表1[[#This Row],[8:image]],常量!J:N,5,FALSE),0),0)</f>
        <v>0</v>
      </c>
      <c r="E778" t="s">
        <v>2587</v>
      </c>
      <c r="F778">
        <v>6</v>
      </c>
      <c r="G778" s="8" t="s">
        <v>728</v>
      </c>
      <c r="H778" s="16" t="s">
        <v>3428</v>
      </c>
      <c r="I778" s="16" t="s">
        <v>4345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customHeight="1">
      <c r="A779">
        <v>1608</v>
      </c>
      <c r="B779">
        <f>IF(表1[[#This Row],[不调整offset]]="x",IFERROR(VLOOKUP(表1[[#This Row],[8:image]],常量!J:N,4,FALSE),0),0)</f>
        <v>0</v>
      </c>
      <c r="C779">
        <f>IF(表1[[#This Row],[不调整offset]]="x",IFERROR(VLOOKUP(表1[[#This Row],[8:image]],常量!J:N,5,FALSE),0),0)</f>
        <v>0</v>
      </c>
      <c r="E779" t="s">
        <v>2587</v>
      </c>
      <c r="F779">
        <v>6</v>
      </c>
      <c r="G779" s="8" t="s">
        <v>729</v>
      </c>
      <c r="H779" s="16" t="s">
        <v>3429</v>
      </c>
      <c r="I779" s="16" t="s">
        <v>4346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customHeight="1">
      <c r="A780">
        <v>1609</v>
      </c>
      <c r="B780">
        <f>IF(表1[[#This Row],[不调整offset]]="x",IFERROR(VLOOKUP(表1[[#This Row],[8:image]],常量!J:N,4,FALSE),0),0)</f>
        <v>0</v>
      </c>
      <c r="C780">
        <f>IF(表1[[#This Row],[不调整offset]]="x",IFERROR(VLOOKUP(表1[[#This Row],[8:image]],常量!J:N,5,FALSE),0),0)</f>
        <v>0</v>
      </c>
      <c r="E780" t="s">
        <v>2587</v>
      </c>
      <c r="F780">
        <v>6</v>
      </c>
      <c r="G780" s="8" t="s">
        <v>730</v>
      </c>
      <c r="H780" s="16" t="s">
        <v>3430</v>
      </c>
      <c r="I780" s="16" t="s">
        <v>4347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customHeight="1">
      <c r="A781">
        <v>1610</v>
      </c>
      <c r="B781">
        <f>IF(表1[[#This Row],[不调整offset]]="x",IFERROR(VLOOKUP(表1[[#This Row],[8:image]],常量!J:N,4,FALSE),0),0)</f>
        <v>0</v>
      </c>
      <c r="C781">
        <f>IF(表1[[#This Row],[不调整offset]]="x",IFERROR(VLOOKUP(表1[[#This Row],[8:image]],常量!J:N,5,FALSE),0),0)</f>
        <v>0</v>
      </c>
      <c r="E781" t="s">
        <v>2587</v>
      </c>
      <c r="F781">
        <v>6</v>
      </c>
      <c r="G781" s="8" t="s">
        <v>731</v>
      </c>
      <c r="H781" s="16" t="s">
        <v>3431</v>
      </c>
      <c r="I781" s="16" t="s">
        <v>4348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customHeight="1">
      <c r="A782">
        <v>1611</v>
      </c>
      <c r="B782">
        <f>IF(表1[[#This Row],[不调整offset]]="x",IFERROR(VLOOKUP(表1[[#This Row],[8:image]],常量!J:N,4,FALSE),0),0)</f>
        <v>0</v>
      </c>
      <c r="C782">
        <f>IF(表1[[#This Row],[不调整offset]]="x",IFERROR(VLOOKUP(表1[[#This Row],[8:image]],常量!J:N,5,FALSE),0),0)</f>
        <v>0</v>
      </c>
      <c r="E782" t="s">
        <v>2587</v>
      </c>
      <c r="F782">
        <v>6</v>
      </c>
      <c r="G782" s="8" t="s">
        <v>732</v>
      </c>
      <c r="H782" s="16" t="s">
        <v>3432</v>
      </c>
      <c r="I782" s="16" t="s">
        <v>4349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customHeight="1">
      <c r="A783">
        <v>1612</v>
      </c>
      <c r="B783">
        <f>IF(表1[[#This Row],[不调整offset]]="x",IFERROR(VLOOKUP(表1[[#This Row],[8:image]],常量!J:N,4,FALSE),0),0)</f>
        <v>0</v>
      </c>
      <c r="C783">
        <f>IF(表1[[#This Row],[不调整offset]]="x",IFERROR(VLOOKUP(表1[[#This Row],[8:image]],常量!J:N,5,FALSE),0),0)</f>
        <v>0</v>
      </c>
      <c r="E783" t="s">
        <v>2587</v>
      </c>
      <c r="F783">
        <v>6</v>
      </c>
      <c r="G783" s="8" t="s">
        <v>733</v>
      </c>
      <c r="H783" s="16" t="s">
        <v>3433</v>
      </c>
      <c r="I783" s="16" t="s">
        <v>4350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customHeight="1">
      <c r="A784">
        <v>1613</v>
      </c>
      <c r="B784">
        <f>IF(表1[[#This Row],[不调整offset]]="x",IFERROR(VLOOKUP(表1[[#This Row],[8:image]],常量!J:N,4,FALSE),0),0)</f>
        <v>0</v>
      </c>
      <c r="C784">
        <f>IF(表1[[#This Row],[不调整offset]]="x",IFERROR(VLOOKUP(表1[[#This Row],[8:image]],常量!J:N,5,FALSE),0),0)</f>
        <v>0</v>
      </c>
      <c r="E784" t="s">
        <v>2587</v>
      </c>
      <c r="F784">
        <v>6</v>
      </c>
      <c r="G784" s="8" t="s">
        <v>734</v>
      </c>
      <c r="H784" s="16" t="s">
        <v>3434</v>
      </c>
      <c r="I784" s="16" t="s">
        <v>4351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customHeight="1">
      <c r="A785">
        <v>1614</v>
      </c>
      <c r="B785">
        <f>IF(表1[[#This Row],[不调整offset]]="x",IFERROR(VLOOKUP(表1[[#This Row],[8:image]],常量!J:N,4,FALSE),0),0)</f>
        <v>0</v>
      </c>
      <c r="C785">
        <f>IF(表1[[#This Row],[不调整offset]]="x",IFERROR(VLOOKUP(表1[[#This Row],[8:image]],常量!J:N,5,FALSE),0),0)</f>
        <v>0</v>
      </c>
      <c r="E785" t="s">
        <v>2587</v>
      </c>
      <c r="F785">
        <v>6</v>
      </c>
      <c r="G785" s="8" t="s">
        <v>735</v>
      </c>
      <c r="H785" s="16" t="s">
        <v>3435</v>
      </c>
      <c r="I785" s="16" t="s">
        <v>4352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customHeight="1">
      <c r="A786">
        <v>1615</v>
      </c>
      <c r="B786">
        <f>IF(表1[[#This Row],[不调整offset]]="x",IFERROR(VLOOKUP(表1[[#This Row],[8:image]],常量!J:N,4,FALSE),0),0)</f>
        <v>0</v>
      </c>
      <c r="C786">
        <f>IF(表1[[#This Row],[不调整offset]]="x",IFERROR(VLOOKUP(表1[[#This Row],[8:image]],常量!J:N,5,FALSE),0),0)</f>
        <v>0</v>
      </c>
      <c r="E786" t="s">
        <v>2587</v>
      </c>
      <c r="F786">
        <v>6</v>
      </c>
      <c r="G786" s="8" t="s">
        <v>736</v>
      </c>
      <c r="H786" s="16" t="s">
        <v>3436</v>
      </c>
      <c r="I786" s="16" t="s">
        <v>4353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customHeight="1">
      <c r="A787">
        <v>1616</v>
      </c>
      <c r="B787">
        <f>IF(表1[[#This Row],[不调整offset]]="x",IFERROR(VLOOKUP(表1[[#This Row],[8:image]],常量!J:N,4,FALSE),0),0)</f>
        <v>0</v>
      </c>
      <c r="C787">
        <f>IF(表1[[#This Row],[不调整offset]]="x",IFERROR(VLOOKUP(表1[[#This Row],[8:image]],常量!J:N,5,FALSE),0),0)</f>
        <v>0</v>
      </c>
      <c r="E787" t="s">
        <v>2587</v>
      </c>
      <c r="F787">
        <v>6</v>
      </c>
      <c r="G787" s="8" t="s">
        <v>737</v>
      </c>
      <c r="H787" s="16" t="s">
        <v>3437</v>
      </c>
      <c r="I787" s="16" t="s">
        <v>4354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customHeight="1">
      <c r="A788">
        <v>1617</v>
      </c>
      <c r="B788">
        <f>IF(表1[[#This Row],[不调整offset]]="x",IFERROR(VLOOKUP(表1[[#This Row],[8:image]],常量!J:N,4,FALSE),0),0)</f>
        <v>0</v>
      </c>
      <c r="C788">
        <f>IF(表1[[#This Row],[不调整offset]]="x",IFERROR(VLOOKUP(表1[[#This Row],[8:image]],常量!J:N,5,FALSE),0),0)</f>
        <v>0</v>
      </c>
      <c r="E788" t="s">
        <v>2587</v>
      </c>
      <c r="F788">
        <v>6</v>
      </c>
      <c r="G788" s="8" t="s">
        <v>738</v>
      </c>
      <c r="H788" s="16" t="s">
        <v>3438</v>
      </c>
      <c r="I788" s="16" t="s">
        <v>4355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customHeight="1">
      <c r="A789">
        <v>1618</v>
      </c>
      <c r="B789">
        <f>IF(表1[[#This Row],[不调整offset]]="x",IFERROR(VLOOKUP(表1[[#This Row],[8:image]],常量!J:N,4,FALSE),0),0)</f>
        <v>0</v>
      </c>
      <c r="C789">
        <f>IF(表1[[#This Row],[不调整offset]]="x",IFERROR(VLOOKUP(表1[[#This Row],[8:image]],常量!J:N,5,FALSE),0),0)</f>
        <v>0</v>
      </c>
      <c r="E789" t="s">
        <v>2587</v>
      </c>
      <c r="F789">
        <v>6</v>
      </c>
      <c r="G789" s="8" t="s">
        <v>739</v>
      </c>
      <c r="H789" s="16" t="s">
        <v>3439</v>
      </c>
      <c r="I789" s="16" t="s">
        <v>4356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customHeight="1">
      <c r="A790">
        <v>1619</v>
      </c>
      <c r="B790">
        <f>IF(表1[[#This Row],[不调整offset]]="x",IFERROR(VLOOKUP(表1[[#This Row],[8:image]],常量!J:N,4,FALSE),0),0)</f>
        <v>0</v>
      </c>
      <c r="C790">
        <f>IF(表1[[#This Row],[不调整offset]]="x",IFERROR(VLOOKUP(表1[[#This Row],[8:image]],常量!J:N,5,FALSE),0),0)</f>
        <v>0</v>
      </c>
      <c r="E790" t="s">
        <v>2587</v>
      </c>
      <c r="F790">
        <v>6</v>
      </c>
      <c r="G790" s="8" t="s">
        <v>740</v>
      </c>
      <c r="H790" s="16" t="s">
        <v>3440</v>
      </c>
      <c r="I790" s="16" t="s">
        <v>4357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customHeight="1">
      <c r="A791">
        <v>1620</v>
      </c>
      <c r="B791">
        <f>IF(表1[[#This Row],[不调整offset]]="x",IFERROR(VLOOKUP(表1[[#This Row],[8:image]],常量!J:N,4,FALSE),0),0)</f>
        <v>0</v>
      </c>
      <c r="C791">
        <f>IF(表1[[#This Row],[不调整offset]]="x",IFERROR(VLOOKUP(表1[[#This Row],[8:image]],常量!J:N,5,FALSE),0),0)</f>
        <v>0</v>
      </c>
      <c r="E791" t="s">
        <v>2587</v>
      </c>
      <c r="F791">
        <v>6</v>
      </c>
      <c r="G791" s="8" t="s">
        <v>587</v>
      </c>
      <c r="H791" s="16" t="s">
        <v>3441</v>
      </c>
      <c r="I791" s="16" t="s">
        <v>4358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customHeight="1">
      <c r="A792">
        <v>1621</v>
      </c>
      <c r="B792">
        <f>IF(表1[[#This Row],[不调整offset]]="x",IFERROR(VLOOKUP(表1[[#This Row],[8:image]],常量!J:N,4,FALSE),0),0)</f>
        <v>0</v>
      </c>
      <c r="C792">
        <f>IF(表1[[#This Row],[不调整offset]]="x",IFERROR(VLOOKUP(表1[[#This Row],[8:image]],常量!J:N,5,FALSE),0),0)</f>
        <v>0</v>
      </c>
      <c r="E792" t="s">
        <v>2587</v>
      </c>
      <c r="F792">
        <v>6</v>
      </c>
      <c r="G792" s="8" t="s">
        <v>741</v>
      </c>
      <c r="H792" s="16" t="s">
        <v>3442</v>
      </c>
      <c r="I792" s="16" t="s">
        <v>4359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t="14.25" customHeight="1">
      <c r="A793">
        <v>1700</v>
      </c>
      <c r="B793">
        <f>IF(表1[[#This Row],[不调整offset]]="x",IFERROR(VLOOKUP(表1[[#This Row],[8:image]],常量!J:N,4,FALSE),0),0)</f>
        <v>0</v>
      </c>
      <c r="C793">
        <f>IF(表1[[#This Row],[不调整offset]]="x",IFERROR(VLOOKUP(表1[[#This Row],[8:image]],常量!J:N,5,FALSE),0),0)</f>
        <v>0</v>
      </c>
      <c r="E793" t="s">
        <v>2589</v>
      </c>
      <c r="F793">
        <v>18</v>
      </c>
      <c r="G793" s="1" t="s">
        <v>742</v>
      </c>
      <c r="H793" s="17" t="s">
        <v>3443</v>
      </c>
      <c r="I793" s="19"/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t="14.25" customHeight="1">
      <c r="A794">
        <v>1800</v>
      </c>
      <c r="B794">
        <f>IF(表1[[#This Row],[不调整offset]]="x",IFERROR(VLOOKUP(表1[[#This Row],[8:image]],常量!J:N,4,FALSE),0),0)</f>
        <v>0</v>
      </c>
      <c r="C794">
        <f>IF(表1[[#This Row],[不调整offset]]="x",IFERROR(VLOOKUP(表1[[#This Row],[8:image]],常量!J:N,5,FALSE),0),0)</f>
        <v>0</v>
      </c>
      <c r="E794" t="s">
        <v>2589</v>
      </c>
      <c r="F794">
        <v>18</v>
      </c>
      <c r="G794" s="1" t="s">
        <v>743</v>
      </c>
      <c r="H794" s="17" t="s">
        <v>3444</v>
      </c>
      <c r="I794" s="19"/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t="14.25" customHeight="1">
      <c r="A795">
        <v>1801</v>
      </c>
      <c r="B795">
        <f>IF(表1[[#This Row],[不调整offset]]="x",IFERROR(VLOOKUP(表1[[#This Row],[8:image]],常量!J:N,4,FALSE),0),0)</f>
        <v>0</v>
      </c>
      <c r="C795">
        <f>IF(表1[[#This Row],[不调整offset]]="x",IFERROR(VLOOKUP(表1[[#This Row],[8:image]],常量!J:N,5,FALSE),0),0)</f>
        <v>0</v>
      </c>
      <c r="E795">
        <v>1</v>
      </c>
      <c r="F795">
        <v>12</v>
      </c>
      <c r="G795" s="1" t="s">
        <v>744</v>
      </c>
      <c r="H795" s="17" t="s">
        <v>3445</v>
      </c>
      <c r="I795" s="17" t="s">
        <v>4360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t="14.25" customHeight="1">
      <c r="A796">
        <v>1802</v>
      </c>
      <c r="B796">
        <f>IF(表1[[#This Row],[不调整offset]]="x",IFERROR(VLOOKUP(表1[[#This Row],[8:image]],常量!J:N,4,FALSE),0),0)</f>
        <v>0</v>
      </c>
      <c r="C796">
        <f>IF(表1[[#This Row],[不调整offset]]="x",IFERROR(VLOOKUP(表1[[#This Row],[8:image]],常量!J:N,5,FALSE),0),0)</f>
        <v>0</v>
      </c>
      <c r="E796">
        <v>1</v>
      </c>
      <c r="F796">
        <v>12</v>
      </c>
      <c r="G796" s="1" t="s">
        <v>745</v>
      </c>
      <c r="H796" s="17" t="s">
        <v>3446</v>
      </c>
      <c r="I796" s="17" t="s">
        <v>4361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t="14.25" customHeight="1">
      <c r="A797">
        <v>1803</v>
      </c>
      <c r="B797">
        <f>IF(表1[[#This Row],[不调整offset]]="x",IFERROR(VLOOKUP(表1[[#This Row],[8:image]],常量!J:N,4,FALSE),0),0)</f>
        <v>0</v>
      </c>
      <c r="C797">
        <f>IF(表1[[#This Row],[不调整offset]]="x",IFERROR(VLOOKUP(表1[[#This Row],[8:image]],常量!J:N,5,FALSE),0),0)</f>
        <v>0</v>
      </c>
      <c r="E797">
        <v>1</v>
      </c>
      <c r="F797">
        <v>12</v>
      </c>
      <c r="G797" s="1" t="s">
        <v>746</v>
      </c>
      <c r="H797" s="17" t="s">
        <v>3447</v>
      </c>
      <c r="I797" s="17" t="s">
        <v>4362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t="14.25" customHeight="1">
      <c r="A798">
        <v>1804</v>
      </c>
      <c r="B798">
        <f>IF(表1[[#This Row],[不调整offset]]="x",IFERROR(VLOOKUP(表1[[#This Row],[8:image]],常量!J:N,4,FALSE),0),0)</f>
        <v>0</v>
      </c>
      <c r="C798">
        <f>IF(表1[[#This Row],[不调整offset]]="x",IFERROR(VLOOKUP(表1[[#This Row],[8:image]],常量!J:N,5,FALSE),0),0)</f>
        <v>0</v>
      </c>
      <c r="E798">
        <v>1</v>
      </c>
      <c r="F798">
        <v>12</v>
      </c>
      <c r="G798" s="1" t="s">
        <v>747</v>
      </c>
      <c r="H798" s="17" t="s">
        <v>3448</v>
      </c>
      <c r="I798" s="17" t="s">
        <v>4363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t="14.25" customHeight="1">
      <c r="A799">
        <v>1805</v>
      </c>
      <c r="B799">
        <f>IF(表1[[#This Row],[不调整offset]]="x",IFERROR(VLOOKUP(表1[[#This Row],[8:image]],常量!J:N,4,FALSE),0),0)</f>
        <v>0</v>
      </c>
      <c r="C799">
        <f>IF(表1[[#This Row],[不调整offset]]="x",IFERROR(VLOOKUP(表1[[#This Row],[8:image]],常量!J:N,5,FALSE),0),0)</f>
        <v>0</v>
      </c>
      <c r="E799">
        <v>1</v>
      </c>
      <c r="F799">
        <v>12</v>
      </c>
      <c r="G799" s="1" t="s">
        <v>1219</v>
      </c>
      <c r="H799" s="17" t="s">
        <v>3449</v>
      </c>
      <c r="I799" s="17" t="s">
        <v>4364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t="14.25" customHeight="1">
      <c r="A800">
        <v>1806</v>
      </c>
      <c r="B800">
        <f>IF(表1[[#This Row],[不调整offset]]="x",IFERROR(VLOOKUP(表1[[#This Row],[8:image]],常量!J:N,4,FALSE),0),0)</f>
        <v>0</v>
      </c>
      <c r="C800">
        <f>IF(表1[[#This Row],[不调整offset]]="x",IFERROR(VLOOKUP(表1[[#This Row],[8:image]],常量!J:N,5,FALSE),0),0)</f>
        <v>0</v>
      </c>
      <c r="E800">
        <v>1</v>
      </c>
      <c r="F800">
        <v>12</v>
      </c>
      <c r="G800" s="1" t="s">
        <v>748</v>
      </c>
      <c r="H800" s="17" t="s">
        <v>3450</v>
      </c>
      <c r="I800" s="17" t="s">
        <v>4365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t="14.25" customHeight="1">
      <c r="A801">
        <v>1807</v>
      </c>
      <c r="B801">
        <f>IF(表1[[#This Row],[不调整offset]]="x",IFERROR(VLOOKUP(表1[[#This Row],[8:image]],常量!J:N,4,FALSE),0),0)</f>
        <v>0</v>
      </c>
      <c r="C801">
        <f>IF(表1[[#This Row],[不调整offset]]="x",IFERROR(VLOOKUP(表1[[#This Row],[8:image]],常量!J:N,5,FALSE),0),0)</f>
        <v>0</v>
      </c>
      <c r="E801">
        <v>1</v>
      </c>
      <c r="F801">
        <v>12</v>
      </c>
      <c r="G801" s="1" t="s">
        <v>749</v>
      </c>
      <c r="H801" s="17" t="s">
        <v>3451</v>
      </c>
      <c r="I801" s="17" t="s">
        <v>4366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t="14.25" customHeight="1">
      <c r="A802">
        <v>1808</v>
      </c>
      <c r="B802">
        <f>IF(表1[[#This Row],[不调整offset]]="x",IFERROR(VLOOKUP(表1[[#This Row],[8:image]],常量!J:N,4,FALSE),0),0)</f>
        <v>0</v>
      </c>
      <c r="C802">
        <f>IF(表1[[#This Row],[不调整offset]]="x",IFERROR(VLOOKUP(表1[[#This Row],[8:image]],常量!J:N,5,FALSE),0),0)</f>
        <v>0</v>
      </c>
      <c r="E802">
        <v>1</v>
      </c>
      <c r="F802">
        <v>12</v>
      </c>
      <c r="G802" s="1" t="s">
        <v>750</v>
      </c>
      <c r="H802" s="17" t="s">
        <v>3452</v>
      </c>
      <c r="I802" s="17" t="s">
        <v>4367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t="14.25" customHeight="1">
      <c r="A803">
        <v>1809</v>
      </c>
      <c r="B803">
        <f>IF(表1[[#This Row],[不调整offset]]="x",IFERROR(VLOOKUP(表1[[#This Row],[8:image]],常量!J:N,4,FALSE),0),0)</f>
        <v>0</v>
      </c>
      <c r="C803">
        <f>IF(表1[[#This Row],[不调整offset]]="x",IFERROR(VLOOKUP(表1[[#This Row],[8:image]],常量!J:N,5,FALSE),0),0)</f>
        <v>0</v>
      </c>
      <c r="E803">
        <v>1</v>
      </c>
      <c r="F803">
        <v>12</v>
      </c>
      <c r="G803" s="1" t="s">
        <v>751</v>
      </c>
      <c r="H803" s="17" t="s">
        <v>3453</v>
      </c>
      <c r="I803" s="17" t="s">
        <v>4368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t="14.25" customHeight="1">
      <c r="A804">
        <v>1810</v>
      </c>
      <c r="B804">
        <f>IF(表1[[#This Row],[不调整offset]]="x",IFERROR(VLOOKUP(表1[[#This Row],[8:image]],常量!J:N,4,FALSE),0),0)</f>
        <v>0</v>
      </c>
      <c r="C804">
        <f>IF(表1[[#This Row],[不调整offset]]="x",IFERROR(VLOOKUP(表1[[#This Row],[8:image]],常量!J:N,5,FALSE),0),0)</f>
        <v>0</v>
      </c>
      <c r="E804">
        <v>1</v>
      </c>
      <c r="F804">
        <v>12</v>
      </c>
      <c r="G804" s="1" t="s">
        <v>752</v>
      </c>
      <c r="H804" s="17" t="s">
        <v>3454</v>
      </c>
      <c r="I804" s="17" t="s">
        <v>4369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t="14.25" customHeight="1">
      <c r="A805">
        <v>1811</v>
      </c>
      <c r="B805">
        <f>IF(表1[[#This Row],[不调整offset]]="x",IFERROR(VLOOKUP(表1[[#This Row],[8:image]],常量!J:N,4,FALSE),0),0)</f>
        <v>0</v>
      </c>
      <c r="C805">
        <f>IF(表1[[#This Row],[不调整offset]]="x",IFERROR(VLOOKUP(表1[[#This Row],[8:image]],常量!J:N,5,FALSE),0),0)</f>
        <v>0</v>
      </c>
      <c r="E805">
        <v>1</v>
      </c>
      <c r="F805">
        <v>12</v>
      </c>
      <c r="G805" s="1" t="s">
        <v>753</v>
      </c>
      <c r="H805" s="17" t="s">
        <v>3455</v>
      </c>
      <c r="I805" s="17" t="s">
        <v>4370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t="14.25" customHeight="1">
      <c r="A806">
        <v>1812</v>
      </c>
      <c r="B806">
        <f>IF(表1[[#This Row],[不调整offset]]="x",IFERROR(VLOOKUP(表1[[#This Row],[8:image]],常量!J:N,4,FALSE),0),0)</f>
        <v>0</v>
      </c>
      <c r="C806">
        <f>IF(表1[[#This Row],[不调整offset]]="x",IFERROR(VLOOKUP(表1[[#This Row],[8:image]],常量!J:N,5,FALSE),0),0)</f>
        <v>0</v>
      </c>
      <c r="E806">
        <v>1</v>
      </c>
      <c r="F806">
        <v>12</v>
      </c>
      <c r="G806" s="1" t="s">
        <v>754</v>
      </c>
      <c r="H806" s="17" t="s">
        <v>3456</v>
      </c>
      <c r="I806" s="19"/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t="14.25" customHeight="1">
      <c r="A807">
        <v>1813</v>
      </c>
      <c r="B807">
        <f>IF(表1[[#This Row],[不调整offset]]="x",IFERROR(VLOOKUP(表1[[#This Row],[8:image]],常量!J:N,4,FALSE),0),0)</f>
        <v>0</v>
      </c>
      <c r="C807">
        <f>IF(表1[[#This Row],[不调整offset]]="x",IFERROR(VLOOKUP(表1[[#This Row],[8:image]],常量!J:N,5,FALSE),0),0)</f>
        <v>0</v>
      </c>
      <c r="E807">
        <v>1</v>
      </c>
      <c r="F807">
        <v>12</v>
      </c>
      <c r="G807" s="1" t="s">
        <v>755</v>
      </c>
      <c r="H807" s="17" t="s">
        <v>3457</v>
      </c>
      <c r="I807" s="19"/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t="14.25" customHeight="1">
      <c r="A808">
        <v>1814</v>
      </c>
      <c r="B808">
        <f>IF(表1[[#This Row],[不调整offset]]="x",IFERROR(VLOOKUP(表1[[#This Row],[8:image]],常量!J:N,4,FALSE),0),0)</f>
        <v>0</v>
      </c>
      <c r="C808">
        <f>IF(表1[[#This Row],[不调整offset]]="x",IFERROR(VLOOKUP(表1[[#This Row],[8:image]],常量!J:N,5,FALSE),0),0)</f>
        <v>0</v>
      </c>
      <c r="E808">
        <v>1</v>
      </c>
      <c r="F808">
        <v>12</v>
      </c>
      <c r="G808" s="1" t="s">
        <v>756</v>
      </c>
      <c r="H808" s="17" t="s">
        <v>3458</v>
      </c>
      <c r="I808" s="19"/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t="14.25" customHeight="1">
      <c r="A809">
        <v>1815</v>
      </c>
      <c r="B809">
        <f>IF(表1[[#This Row],[不调整offset]]="x",IFERROR(VLOOKUP(表1[[#This Row],[8:image]],常量!J:N,4,FALSE),0),0)</f>
        <v>0</v>
      </c>
      <c r="C809">
        <f>IF(表1[[#This Row],[不调整offset]]="x",IFERROR(VLOOKUP(表1[[#This Row],[8:image]],常量!J:N,5,FALSE),0),0)</f>
        <v>0</v>
      </c>
      <c r="E809">
        <v>1</v>
      </c>
      <c r="F809">
        <v>12</v>
      </c>
      <c r="G809" s="1" t="s">
        <v>757</v>
      </c>
      <c r="H809" s="17" t="s">
        <v>3459</v>
      </c>
      <c r="I809" s="19"/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t="14.25" customHeight="1">
      <c r="A810">
        <v>1816</v>
      </c>
      <c r="B810">
        <f>IF(表1[[#This Row],[不调整offset]]="x",IFERROR(VLOOKUP(表1[[#This Row],[8:image]],常量!J:N,4,FALSE),0),0)</f>
        <v>0</v>
      </c>
      <c r="C810">
        <f>IF(表1[[#This Row],[不调整offset]]="x",IFERROR(VLOOKUP(表1[[#This Row],[8:image]],常量!J:N,5,FALSE),0),0)</f>
        <v>0</v>
      </c>
      <c r="E810">
        <v>1</v>
      </c>
      <c r="F810">
        <v>12</v>
      </c>
      <c r="G810" s="1" t="s">
        <v>758</v>
      </c>
      <c r="H810" s="17" t="s">
        <v>3460</v>
      </c>
      <c r="I810" s="19"/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t="14.25" customHeight="1">
      <c r="A811">
        <v>1900</v>
      </c>
      <c r="B811">
        <f>IF(表1[[#This Row],[不调整offset]]="x",IFERROR(VLOOKUP(表1[[#This Row],[8:image]],常量!J:N,4,FALSE),0),0)</f>
        <v>0</v>
      </c>
      <c r="C811">
        <f>IF(表1[[#This Row],[不调整offset]]="x",IFERROR(VLOOKUP(表1[[#This Row],[8:image]],常量!J:N,5,FALSE),0),0)</f>
        <v>0</v>
      </c>
      <c r="E811" t="s">
        <v>2589</v>
      </c>
      <c r="F811">
        <v>18</v>
      </c>
      <c r="G811" s="1" t="s">
        <v>674</v>
      </c>
      <c r="H811" s="17" t="s">
        <v>3461</v>
      </c>
      <c r="I811" s="19"/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t="14.25" customHeight="1">
      <c r="A812">
        <v>1901</v>
      </c>
      <c r="B812">
        <f>IF(表1[[#This Row],[不调整offset]]="x",IFERROR(VLOOKUP(表1[[#This Row],[8:image]],常量!J:N,4,FALSE),0),0)</f>
        <v>0</v>
      </c>
      <c r="C812">
        <f>IF(表1[[#This Row],[不调整offset]]="x",IFERROR(VLOOKUP(表1[[#This Row],[8:image]],常量!J:N,5,FALSE),0),0)</f>
        <v>0</v>
      </c>
      <c r="E812">
        <v>1</v>
      </c>
      <c r="F812">
        <v>12</v>
      </c>
      <c r="G812" s="1" t="s">
        <v>759</v>
      </c>
      <c r="H812" s="17" t="s">
        <v>3462</v>
      </c>
      <c r="I812" s="17" t="s">
        <v>4371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t="14.25" customHeight="1">
      <c r="A813">
        <v>1902</v>
      </c>
      <c r="B813">
        <f>IF(表1[[#This Row],[不调整offset]]="x",IFERROR(VLOOKUP(表1[[#This Row],[8:image]],常量!J:N,4,FALSE),0),0)</f>
        <v>0</v>
      </c>
      <c r="C813">
        <f>IF(表1[[#This Row],[不调整offset]]="x",IFERROR(VLOOKUP(表1[[#This Row],[8:image]],常量!J:N,5,FALSE),0),0)</f>
        <v>0</v>
      </c>
      <c r="E813">
        <v>1</v>
      </c>
      <c r="F813">
        <v>12</v>
      </c>
      <c r="G813" s="1" t="s">
        <v>680</v>
      </c>
      <c r="H813" s="17" t="s">
        <v>3463</v>
      </c>
      <c r="I813" s="17" t="s">
        <v>4372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t="14.25" customHeight="1">
      <c r="A814">
        <v>1903</v>
      </c>
      <c r="B814">
        <f>IF(表1[[#This Row],[不调整offset]]="x",IFERROR(VLOOKUP(表1[[#This Row],[8:image]],常量!J:N,4,FALSE),0),0)</f>
        <v>0</v>
      </c>
      <c r="C814">
        <f>IF(表1[[#This Row],[不调整offset]]="x",IFERROR(VLOOKUP(表1[[#This Row],[8:image]],常量!J:N,5,FALSE),0),0)</f>
        <v>0</v>
      </c>
      <c r="E814">
        <v>1</v>
      </c>
      <c r="F814">
        <v>12</v>
      </c>
      <c r="G814" s="1" t="s">
        <v>743</v>
      </c>
      <c r="H814" s="17" t="s">
        <v>3464</v>
      </c>
      <c r="I814" s="17" t="s">
        <v>4373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t="14.25" customHeight="1">
      <c r="A815">
        <v>1904</v>
      </c>
      <c r="B815">
        <f>IF(表1[[#This Row],[不调整offset]]="x",IFERROR(VLOOKUP(表1[[#This Row],[8:image]],常量!J:N,4,FALSE),0),0)</f>
        <v>0</v>
      </c>
      <c r="C815">
        <f>IF(表1[[#This Row],[不调整offset]]="x",IFERROR(VLOOKUP(表1[[#This Row],[8:image]],常量!J:N,5,FALSE),0),0)</f>
        <v>0</v>
      </c>
      <c r="E815">
        <v>1</v>
      </c>
      <c r="F815">
        <v>12</v>
      </c>
      <c r="G815" s="1" t="s">
        <v>721</v>
      </c>
      <c r="H815" s="17" t="s">
        <v>3465</v>
      </c>
      <c r="I815" s="17" t="s">
        <v>4374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t="14.25" customHeight="1">
      <c r="A816">
        <v>1905</v>
      </c>
      <c r="B816">
        <f>IF(表1[[#This Row],[不调整offset]]="x",IFERROR(VLOOKUP(表1[[#This Row],[8:image]],常量!J:N,4,FALSE),0),0)</f>
        <v>0</v>
      </c>
      <c r="C816">
        <f>IF(表1[[#This Row],[不调整offset]]="x",IFERROR(VLOOKUP(表1[[#This Row],[8:image]],常量!J:N,5,FALSE),0),0)</f>
        <v>0</v>
      </c>
      <c r="E816">
        <v>1</v>
      </c>
      <c r="F816">
        <v>12</v>
      </c>
      <c r="G816" s="1" t="s">
        <v>760</v>
      </c>
      <c r="H816" s="17" t="s">
        <v>3466</v>
      </c>
      <c r="I816" s="17" t="s">
        <v>4375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t="14.25" customHeight="1">
      <c r="A817">
        <v>1906</v>
      </c>
      <c r="B817">
        <f>IF(表1[[#This Row],[不调整offset]]="x",IFERROR(VLOOKUP(表1[[#This Row],[8:image]],常量!J:N,4,FALSE),0),0)</f>
        <v>0</v>
      </c>
      <c r="C817">
        <f>IF(表1[[#This Row],[不调整offset]]="x",IFERROR(VLOOKUP(表1[[#This Row],[8:image]],常量!J:N,5,FALSE),0),0)</f>
        <v>0</v>
      </c>
      <c r="E817">
        <v>1</v>
      </c>
      <c r="F817">
        <v>12</v>
      </c>
      <c r="G817" s="1" t="s">
        <v>742</v>
      </c>
      <c r="H817" s="17" t="s">
        <v>3467</v>
      </c>
      <c r="I817" s="17" t="s">
        <v>4376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t="14.25" customHeight="1">
      <c r="A818">
        <v>1907</v>
      </c>
      <c r="B818">
        <f>IF(表1[[#This Row],[不调整offset]]="x",IFERROR(VLOOKUP(表1[[#This Row],[8:image]],常量!J:N,4,FALSE),0),0)</f>
        <v>0</v>
      </c>
      <c r="C818">
        <f>IF(表1[[#This Row],[不调整offset]]="x",IFERROR(VLOOKUP(表1[[#This Row],[8:image]],常量!J:N,5,FALSE),0),0)</f>
        <v>0</v>
      </c>
      <c r="E818">
        <v>1</v>
      </c>
      <c r="F818">
        <v>12</v>
      </c>
      <c r="G818" s="1" t="s">
        <v>761</v>
      </c>
      <c r="H818" s="17" t="s">
        <v>3468</v>
      </c>
      <c r="I818" s="17" t="s">
        <v>4377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t="14.25" customHeight="1">
      <c r="A819">
        <v>2000</v>
      </c>
      <c r="B819">
        <f>IF(表1[[#This Row],[不调整offset]]="x",IFERROR(VLOOKUP(表1[[#This Row],[8:image]],常量!J:N,4,FALSE),0),0)</f>
        <v>0</v>
      </c>
      <c r="C819">
        <f>IF(表1[[#This Row],[不调整offset]]="x",IFERROR(VLOOKUP(表1[[#This Row],[8:image]],常量!J:N,5,FALSE),0),0)</f>
        <v>0</v>
      </c>
      <c r="E819" t="s">
        <v>2589</v>
      </c>
      <c r="F819">
        <v>18</v>
      </c>
      <c r="G819" s="1" t="s">
        <v>762</v>
      </c>
      <c r="H819" s="17" t="s">
        <v>3469</v>
      </c>
      <c r="I819" s="19"/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t="14.25" customHeight="1">
      <c r="A820">
        <v>2001</v>
      </c>
      <c r="B820">
        <f>IF(表1[[#This Row],[不调整offset]]="x",IFERROR(VLOOKUP(表1[[#This Row],[8:image]],常量!J:N,4,FALSE),0),0)</f>
        <v>0</v>
      </c>
      <c r="C820">
        <f>IF(表1[[#This Row],[不调整offset]]="x",IFERROR(VLOOKUP(表1[[#This Row],[8:image]],常量!J:N,5,FALSE),0),0)</f>
        <v>0</v>
      </c>
      <c r="E820">
        <v>1</v>
      </c>
      <c r="F820">
        <v>12</v>
      </c>
      <c r="G820" s="1" t="s">
        <v>763</v>
      </c>
      <c r="H820" s="17" t="s">
        <v>3470</v>
      </c>
      <c r="I820" s="17" t="s">
        <v>4378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t="14.25" customHeight="1">
      <c r="A821">
        <v>2002</v>
      </c>
      <c r="B821">
        <f>IF(表1[[#This Row],[不调整offset]]="x",IFERROR(VLOOKUP(表1[[#This Row],[8:image]],常量!J:N,4,FALSE),0),0)</f>
        <v>0</v>
      </c>
      <c r="C821">
        <f>IF(表1[[#This Row],[不调整offset]]="x",IFERROR(VLOOKUP(表1[[#This Row],[8:image]],常量!J:N,5,FALSE),0),0)</f>
        <v>0</v>
      </c>
      <c r="E821">
        <v>1</v>
      </c>
      <c r="F821">
        <v>12</v>
      </c>
      <c r="G821" s="1" t="s">
        <v>764</v>
      </c>
      <c r="H821" s="17" t="s">
        <v>3471</v>
      </c>
      <c r="I821" s="17" t="s">
        <v>4379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t="14.25" customHeight="1">
      <c r="A822">
        <v>2003</v>
      </c>
      <c r="B822">
        <f>IF(表1[[#This Row],[不调整offset]]="x",IFERROR(VLOOKUP(表1[[#This Row],[8:image]],常量!J:N,4,FALSE),0),0)</f>
        <v>0</v>
      </c>
      <c r="C822">
        <f>IF(表1[[#This Row],[不调整offset]]="x",IFERROR(VLOOKUP(表1[[#This Row],[8:image]],常量!J:N,5,FALSE),0),0)</f>
        <v>0</v>
      </c>
      <c r="E822">
        <v>1</v>
      </c>
      <c r="F822">
        <v>12</v>
      </c>
      <c r="G822" s="1" t="s">
        <v>765</v>
      </c>
      <c r="H822" s="17" t="s">
        <v>3472</v>
      </c>
      <c r="I822" s="17" t="s">
        <v>4380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t="14.25" customHeight="1">
      <c r="A823">
        <v>2004</v>
      </c>
      <c r="B823">
        <f>IF(表1[[#This Row],[不调整offset]]="x",IFERROR(VLOOKUP(表1[[#This Row],[8:image]],常量!J:N,4,FALSE),0),0)</f>
        <v>0</v>
      </c>
      <c r="C823">
        <f>IF(表1[[#This Row],[不调整offset]]="x",IFERROR(VLOOKUP(表1[[#This Row],[8:image]],常量!J:N,5,FALSE),0),0)</f>
        <v>0</v>
      </c>
      <c r="E823">
        <v>1</v>
      </c>
      <c r="F823">
        <v>12</v>
      </c>
      <c r="G823" s="1" t="s">
        <v>766</v>
      </c>
      <c r="H823" s="17" t="s">
        <v>3473</v>
      </c>
      <c r="I823" s="17" t="s">
        <v>4381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t="14.25" customHeight="1">
      <c r="A824">
        <v>2005</v>
      </c>
      <c r="B824">
        <f>IF(表1[[#This Row],[不调整offset]]="x",IFERROR(VLOOKUP(表1[[#This Row],[8:image]],常量!J:N,4,FALSE),0),0)</f>
        <v>0</v>
      </c>
      <c r="C824">
        <f>IF(表1[[#This Row],[不调整offset]]="x",IFERROR(VLOOKUP(表1[[#This Row],[8:image]],常量!J:N,5,FALSE),0),0)</f>
        <v>0</v>
      </c>
      <c r="E824">
        <v>1</v>
      </c>
      <c r="F824">
        <v>12</v>
      </c>
      <c r="G824" s="1" t="s">
        <v>67</v>
      </c>
      <c r="H824" s="17" t="s">
        <v>3474</v>
      </c>
      <c r="I824" s="17" t="s">
        <v>4382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t="14.25" customHeight="1">
      <c r="A825">
        <v>2006</v>
      </c>
      <c r="B825">
        <f>IF(表1[[#This Row],[不调整offset]]="x",IFERROR(VLOOKUP(表1[[#This Row],[8:image]],常量!J:N,4,FALSE),0),0)</f>
        <v>0</v>
      </c>
      <c r="C825">
        <f>IF(表1[[#This Row],[不调整offset]]="x",IFERROR(VLOOKUP(表1[[#This Row],[8:image]],常量!J:N,5,FALSE),0),0)</f>
        <v>0</v>
      </c>
      <c r="E825">
        <v>1</v>
      </c>
      <c r="F825">
        <v>12</v>
      </c>
      <c r="G825" s="1" t="s">
        <v>65</v>
      </c>
      <c r="H825" s="17" t="s">
        <v>3475</v>
      </c>
      <c r="I825" s="17" t="s">
        <v>4383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t="14.25" customHeight="1">
      <c r="A826">
        <v>2007</v>
      </c>
      <c r="B826">
        <f>IF(表1[[#This Row],[不调整offset]]="x",IFERROR(VLOOKUP(表1[[#This Row],[8:image]],常量!J:N,4,FALSE),0),0)</f>
        <v>0</v>
      </c>
      <c r="C826">
        <f>IF(表1[[#This Row],[不调整offset]]="x",IFERROR(VLOOKUP(表1[[#This Row],[8:image]],常量!J:N,5,FALSE),0),0)</f>
        <v>0</v>
      </c>
      <c r="E826">
        <v>1</v>
      </c>
      <c r="F826">
        <v>12</v>
      </c>
      <c r="G826" s="1" t="s">
        <v>767</v>
      </c>
      <c r="H826" s="17" t="s">
        <v>3476</v>
      </c>
      <c r="I826" s="17" t="s">
        <v>4384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t="14.25" customHeight="1">
      <c r="A827">
        <v>2008</v>
      </c>
      <c r="B827">
        <f>IF(表1[[#This Row],[不调整offset]]="x",IFERROR(VLOOKUP(表1[[#This Row],[8:image]],常量!J:N,4,FALSE),0),0)</f>
        <v>0</v>
      </c>
      <c r="C827">
        <f>IF(表1[[#This Row],[不调整offset]]="x",IFERROR(VLOOKUP(表1[[#This Row],[8:image]],常量!J:N,5,FALSE),0),0)</f>
        <v>0</v>
      </c>
      <c r="E827" t="s">
        <v>2589</v>
      </c>
      <c r="F827">
        <v>18</v>
      </c>
      <c r="G827" s="1" t="s">
        <v>768</v>
      </c>
      <c r="H827" s="17" t="s">
        <v>3477</v>
      </c>
      <c r="I827" s="17" t="s">
        <v>4385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t="14.25" customHeight="1">
      <c r="A828">
        <v>2009</v>
      </c>
      <c r="B828">
        <f>IF(表1[[#This Row],[不调整offset]]="x",IFERROR(VLOOKUP(表1[[#This Row],[8:image]],常量!J:N,4,FALSE),0),0)</f>
        <v>0</v>
      </c>
      <c r="C828">
        <f>IF(表1[[#This Row],[不调整offset]]="x",IFERROR(VLOOKUP(表1[[#This Row],[8:image]],常量!J:N,5,FALSE),0),0)</f>
        <v>0</v>
      </c>
      <c r="E828">
        <v>1</v>
      </c>
      <c r="F828">
        <v>12</v>
      </c>
      <c r="G828" s="1" t="s">
        <v>769</v>
      </c>
      <c r="H828" s="17" t="s">
        <v>3478</v>
      </c>
      <c r="I828" s="17" t="s">
        <v>4386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t="14.25" customHeight="1">
      <c r="A829">
        <v>2010</v>
      </c>
      <c r="B829">
        <f>IF(表1[[#This Row],[不调整offset]]="x",IFERROR(VLOOKUP(表1[[#This Row],[8:image]],常量!J:N,4,FALSE),0),0)</f>
        <v>0</v>
      </c>
      <c r="C829">
        <f>IF(表1[[#This Row],[不调整offset]]="x",IFERROR(VLOOKUP(表1[[#This Row],[8:image]],常量!J:N,5,FALSE),0),0)</f>
        <v>0</v>
      </c>
      <c r="E829">
        <v>1</v>
      </c>
      <c r="F829">
        <v>12</v>
      </c>
      <c r="G829" s="1" t="s">
        <v>770</v>
      </c>
      <c r="H829" s="17" t="s">
        <v>3479</v>
      </c>
      <c r="I829" s="17" t="s">
        <v>4387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t="14.25" customHeight="1">
      <c r="A830">
        <v>2011</v>
      </c>
      <c r="B830">
        <f>IF(表1[[#This Row],[不调整offset]]="x",IFERROR(VLOOKUP(表1[[#This Row],[8:image]],常量!J:N,4,FALSE),0),0)</f>
        <v>0</v>
      </c>
      <c r="C830">
        <f>IF(表1[[#This Row],[不调整offset]]="x",IFERROR(VLOOKUP(表1[[#This Row],[8:image]],常量!J:N,5,FALSE),0),0)</f>
        <v>0</v>
      </c>
      <c r="E830">
        <v>1</v>
      </c>
      <c r="F830">
        <v>12</v>
      </c>
      <c r="G830" s="1" t="s">
        <v>771</v>
      </c>
      <c r="H830" s="17" t="s">
        <v>3480</v>
      </c>
      <c r="I830" s="17" t="s">
        <v>4388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t="14.25" customHeight="1">
      <c r="A831">
        <v>2012</v>
      </c>
      <c r="B831">
        <f>IF(表1[[#This Row],[不调整offset]]="x",IFERROR(VLOOKUP(表1[[#This Row],[8:image]],常量!J:N,4,FALSE),0),0)</f>
        <v>0</v>
      </c>
      <c r="C831">
        <f>IF(表1[[#This Row],[不调整offset]]="x",IFERROR(VLOOKUP(表1[[#This Row],[8:image]],常量!J:N,5,FALSE),0),0)</f>
        <v>0</v>
      </c>
      <c r="E831">
        <v>1</v>
      </c>
      <c r="F831">
        <v>12</v>
      </c>
      <c r="G831" s="1" t="s">
        <v>772</v>
      </c>
      <c r="H831" s="17" t="s">
        <v>3481</v>
      </c>
      <c r="I831" s="17" t="s">
        <v>4389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t="14.25" customHeight="1">
      <c r="A832">
        <v>2013</v>
      </c>
      <c r="B832">
        <f>IF(表1[[#This Row],[不调整offset]]="x",IFERROR(VLOOKUP(表1[[#This Row],[8:image]],常量!J:N,4,FALSE),0),0)</f>
        <v>0</v>
      </c>
      <c r="C832">
        <f>IF(表1[[#This Row],[不调整offset]]="x",IFERROR(VLOOKUP(表1[[#This Row],[8:image]],常量!J:N,5,FALSE),0),0)</f>
        <v>0</v>
      </c>
      <c r="E832">
        <v>1</v>
      </c>
      <c r="F832">
        <v>12</v>
      </c>
      <c r="G832" s="1" t="s">
        <v>773</v>
      </c>
      <c r="H832" s="17" t="s">
        <v>3482</v>
      </c>
      <c r="I832" s="17" t="s">
        <v>4390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t="14.25" customHeight="1">
      <c r="A833">
        <v>2014</v>
      </c>
      <c r="B833">
        <f>IF(表1[[#This Row],[不调整offset]]="x",IFERROR(VLOOKUP(表1[[#This Row],[8:image]],常量!J:N,4,FALSE),0),0)</f>
        <v>0</v>
      </c>
      <c r="C833">
        <f>IF(表1[[#This Row],[不调整offset]]="x",IFERROR(VLOOKUP(表1[[#This Row],[8:image]],常量!J:N,5,FALSE),0),0)</f>
        <v>0</v>
      </c>
      <c r="E833">
        <v>1</v>
      </c>
      <c r="F833">
        <v>12</v>
      </c>
      <c r="G833" s="1" t="s">
        <v>774</v>
      </c>
      <c r="H833" s="17" t="s">
        <v>3483</v>
      </c>
      <c r="I833" s="17" t="s">
        <v>4391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t="14.25" customHeight="1">
      <c r="A834">
        <v>2015</v>
      </c>
      <c r="B834">
        <f>IF(表1[[#This Row],[不调整offset]]="x",IFERROR(VLOOKUP(表1[[#This Row],[8:image]],常量!J:N,4,FALSE),0),0)</f>
        <v>0</v>
      </c>
      <c r="C834">
        <f>IF(表1[[#This Row],[不调整offset]]="x",IFERROR(VLOOKUP(表1[[#This Row],[8:image]],常量!J:N,5,FALSE),0),0)</f>
        <v>0</v>
      </c>
      <c r="E834">
        <v>1</v>
      </c>
      <c r="F834">
        <v>12</v>
      </c>
      <c r="G834" s="1" t="s">
        <v>775</v>
      </c>
      <c r="H834" s="17" t="s">
        <v>3484</v>
      </c>
      <c r="I834" s="17" t="s">
        <v>4392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t="14.25" customHeight="1">
      <c r="A835">
        <v>2016</v>
      </c>
      <c r="B835">
        <f>IF(表1[[#This Row],[不调整offset]]="x",IFERROR(VLOOKUP(表1[[#This Row],[8:image]],常量!J:N,4,FALSE),0),0)</f>
        <v>0</v>
      </c>
      <c r="C835">
        <f>IF(表1[[#This Row],[不调整offset]]="x",IFERROR(VLOOKUP(表1[[#This Row],[8:image]],常量!J:N,5,FALSE),0),0)</f>
        <v>0</v>
      </c>
      <c r="E835">
        <v>1</v>
      </c>
      <c r="F835">
        <v>12</v>
      </c>
      <c r="G835" s="1" t="s">
        <v>776</v>
      </c>
      <c r="H835" s="17" t="s">
        <v>3485</v>
      </c>
      <c r="I835" s="17" t="s">
        <v>4393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t="14.25" customHeight="1">
      <c r="A836">
        <v>2017</v>
      </c>
      <c r="B836">
        <f>IF(表1[[#This Row],[不调整offset]]="x",IFERROR(VLOOKUP(表1[[#This Row],[8:image]],常量!J:N,4,FALSE),0),0)</f>
        <v>0</v>
      </c>
      <c r="C836">
        <f>IF(表1[[#This Row],[不调整offset]]="x",IFERROR(VLOOKUP(表1[[#This Row],[8:image]],常量!J:N,5,FALSE),0),0)</f>
        <v>0</v>
      </c>
      <c r="E836">
        <v>1</v>
      </c>
      <c r="F836">
        <v>12</v>
      </c>
      <c r="G836" s="1" t="s">
        <v>777</v>
      </c>
      <c r="H836" s="17" t="s">
        <v>3486</v>
      </c>
      <c r="I836" s="17" t="s">
        <v>4394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t="14.25" customHeight="1">
      <c r="A837">
        <v>2018</v>
      </c>
      <c r="B837">
        <f>IF(表1[[#This Row],[不调整offset]]="x",IFERROR(VLOOKUP(表1[[#This Row],[8:image]],常量!J:N,4,FALSE),0),0)</f>
        <v>0</v>
      </c>
      <c r="C837">
        <f>IF(表1[[#This Row],[不调整offset]]="x",IFERROR(VLOOKUP(表1[[#This Row],[8:image]],常量!J:N,5,FALSE),0),0)</f>
        <v>0</v>
      </c>
      <c r="E837">
        <v>1</v>
      </c>
      <c r="F837">
        <v>12</v>
      </c>
      <c r="G837" s="1" t="s">
        <v>778</v>
      </c>
      <c r="H837" s="17" t="s">
        <v>3487</v>
      </c>
      <c r="I837" s="17" t="s">
        <v>4395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t="14.25" customHeight="1">
      <c r="A838">
        <v>2019</v>
      </c>
      <c r="B838">
        <f>IF(表1[[#This Row],[不调整offset]]="x",IFERROR(VLOOKUP(表1[[#This Row],[8:image]],常量!J:N,4,FALSE),0),0)</f>
        <v>0</v>
      </c>
      <c r="C838">
        <f>IF(表1[[#This Row],[不调整offset]]="x",IFERROR(VLOOKUP(表1[[#This Row],[8:image]],常量!J:N,5,FALSE),0),0)</f>
        <v>0</v>
      </c>
      <c r="E838">
        <v>1</v>
      </c>
      <c r="F838">
        <v>12</v>
      </c>
      <c r="G838" s="1" t="s">
        <v>779</v>
      </c>
      <c r="H838" s="17" t="s">
        <v>3488</v>
      </c>
      <c r="I838" s="17" t="s">
        <v>4396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t="14.25" customHeight="1">
      <c r="A839">
        <v>2020</v>
      </c>
      <c r="B839">
        <f>IF(表1[[#This Row],[不调整offset]]="x",IFERROR(VLOOKUP(表1[[#This Row],[8:image]],常量!J:N,4,FALSE),0),0)</f>
        <v>0</v>
      </c>
      <c r="C839">
        <f>IF(表1[[#This Row],[不调整offset]]="x",IFERROR(VLOOKUP(表1[[#This Row],[8:image]],常量!J:N,5,FALSE),0),0)</f>
        <v>0</v>
      </c>
      <c r="E839">
        <v>1</v>
      </c>
      <c r="F839">
        <v>12</v>
      </c>
      <c r="G839" s="1" t="s">
        <v>780</v>
      </c>
      <c r="H839" s="17" t="s">
        <v>3489</v>
      </c>
      <c r="I839" s="17" t="s">
        <v>4397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customHeight="1">
      <c r="A840">
        <v>2050</v>
      </c>
      <c r="B840">
        <f>IF(表1[[#This Row],[不调整offset]]="x",IFERROR(VLOOKUP(表1[[#This Row],[8:image]],常量!J:N,4,FALSE),0),0)</f>
        <v>0</v>
      </c>
      <c r="C840">
        <f>IF(表1[[#This Row],[不调整offset]]="x",IFERROR(VLOOKUP(表1[[#This Row],[8:image]],常量!J:N,5,FALSE),0),0)</f>
        <v>0</v>
      </c>
      <c r="E840">
        <v>1</v>
      </c>
      <c r="F840">
        <v>12</v>
      </c>
      <c r="G840" s="8" t="s">
        <v>781</v>
      </c>
      <c r="H840" s="16" t="s">
        <v>3490</v>
      </c>
      <c r="I840" s="16" t="s">
        <v>4398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customHeight="1">
      <c r="A841">
        <v>2051</v>
      </c>
      <c r="B841">
        <f>IF(表1[[#This Row],[不调整offset]]="x",IFERROR(VLOOKUP(表1[[#This Row],[8:image]],常量!J:N,4,FALSE),0),0)</f>
        <v>0</v>
      </c>
      <c r="C841">
        <f>IF(表1[[#This Row],[不调整offset]]="x",IFERROR(VLOOKUP(表1[[#This Row],[8:image]],常量!J:N,5,FALSE),0),0)</f>
        <v>0</v>
      </c>
      <c r="E841">
        <v>1</v>
      </c>
      <c r="F841">
        <v>12</v>
      </c>
      <c r="G841" s="8" t="s">
        <v>782</v>
      </c>
      <c r="H841" s="16" t="s">
        <v>3491</v>
      </c>
      <c r="I841" s="16" t="s">
        <v>4399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customHeight="1">
      <c r="A842">
        <v>2052</v>
      </c>
      <c r="B842">
        <f>IF(表1[[#This Row],[不调整offset]]="x",IFERROR(VLOOKUP(表1[[#This Row],[8:image]],常量!J:N,4,FALSE),0),0)</f>
        <v>0</v>
      </c>
      <c r="C842">
        <f>IF(表1[[#This Row],[不调整offset]]="x",IFERROR(VLOOKUP(表1[[#This Row],[8:image]],常量!J:N,5,FALSE),0),0)</f>
        <v>0</v>
      </c>
      <c r="E842">
        <v>1</v>
      </c>
      <c r="F842">
        <v>12</v>
      </c>
      <c r="G842" s="8" t="s">
        <v>783</v>
      </c>
      <c r="H842" s="16" t="s">
        <v>3492</v>
      </c>
      <c r="I842" s="16" t="s">
        <v>4400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customHeight="1">
      <c r="A843">
        <v>2053</v>
      </c>
      <c r="B843">
        <f>IF(表1[[#This Row],[不调整offset]]="x",IFERROR(VLOOKUP(表1[[#This Row],[8:image]],常量!J:N,4,FALSE),0),0)</f>
        <v>0</v>
      </c>
      <c r="C843">
        <f>IF(表1[[#This Row],[不调整offset]]="x",IFERROR(VLOOKUP(表1[[#This Row],[8:image]],常量!J:N,5,FALSE),0),0)</f>
        <v>0</v>
      </c>
      <c r="E843">
        <v>1</v>
      </c>
      <c r="F843">
        <v>12</v>
      </c>
      <c r="G843" s="8" t="s">
        <v>784</v>
      </c>
      <c r="H843" s="16" t="s">
        <v>3493</v>
      </c>
      <c r="I843" s="16" t="s">
        <v>4401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customHeight="1">
      <c r="A844">
        <v>2054</v>
      </c>
      <c r="B844">
        <f>IF(表1[[#This Row],[不调整offset]]="x",IFERROR(VLOOKUP(表1[[#This Row],[8:image]],常量!J:N,4,FALSE),0),0)</f>
        <v>0</v>
      </c>
      <c r="C844">
        <f>IF(表1[[#This Row],[不调整offset]]="x",IFERROR(VLOOKUP(表1[[#This Row],[8:image]],常量!J:N,5,FALSE),0),0)</f>
        <v>0</v>
      </c>
      <c r="E844">
        <v>1</v>
      </c>
      <c r="F844">
        <v>12</v>
      </c>
      <c r="G844" s="8" t="s">
        <v>785</v>
      </c>
      <c r="H844" s="16" t="s">
        <v>3494</v>
      </c>
      <c r="I844" s="16" t="s">
        <v>4402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customHeight="1">
      <c r="A845">
        <v>2055</v>
      </c>
      <c r="B845">
        <f>IF(表1[[#This Row],[不调整offset]]="x",IFERROR(VLOOKUP(表1[[#This Row],[8:image]],常量!J:N,4,FALSE),0),0)</f>
        <v>0</v>
      </c>
      <c r="C845">
        <f>IF(表1[[#This Row],[不调整offset]]="x",IFERROR(VLOOKUP(表1[[#This Row],[8:image]],常量!J:N,5,FALSE),0),0)</f>
        <v>0</v>
      </c>
      <c r="E845">
        <v>1</v>
      </c>
      <c r="F845">
        <v>12</v>
      </c>
      <c r="G845" s="8" t="s">
        <v>786</v>
      </c>
      <c r="H845" s="16" t="s">
        <v>3495</v>
      </c>
      <c r="I845" s="16" t="s">
        <v>4403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customHeight="1">
      <c r="A846">
        <v>2056</v>
      </c>
      <c r="B846">
        <f>IF(表1[[#This Row],[不调整offset]]="x",IFERROR(VLOOKUP(表1[[#This Row],[8:image]],常量!J:N,4,FALSE),0),0)</f>
        <v>0</v>
      </c>
      <c r="C846">
        <f>IF(表1[[#This Row],[不调整offset]]="x",IFERROR(VLOOKUP(表1[[#This Row],[8:image]],常量!J:N,5,FALSE),0),0)</f>
        <v>0</v>
      </c>
      <c r="E846">
        <v>1</v>
      </c>
      <c r="F846">
        <v>12</v>
      </c>
      <c r="G846" s="8" t="s">
        <v>787</v>
      </c>
      <c r="H846" s="16" t="s">
        <v>3496</v>
      </c>
      <c r="I846" s="16" t="s">
        <v>4404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customHeight="1">
      <c r="A847">
        <v>2057</v>
      </c>
      <c r="B847">
        <f>IF(表1[[#This Row],[不调整offset]]="x",IFERROR(VLOOKUP(表1[[#This Row],[8:image]],常量!J:N,4,FALSE),0),0)</f>
        <v>0</v>
      </c>
      <c r="C847">
        <f>IF(表1[[#This Row],[不调整offset]]="x",IFERROR(VLOOKUP(表1[[#This Row],[8:image]],常量!J:N,5,FALSE),0),0)</f>
        <v>0</v>
      </c>
      <c r="E847">
        <v>1</v>
      </c>
      <c r="F847">
        <v>12</v>
      </c>
      <c r="G847" s="8" t="s">
        <v>788</v>
      </c>
      <c r="H847" s="16" t="s">
        <v>3497</v>
      </c>
      <c r="I847" s="16" t="s">
        <v>4405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customHeight="1">
      <c r="A848">
        <v>2058</v>
      </c>
      <c r="B848">
        <f>IF(表1[[#This Row],[不调整offset]]="x",IFERROR(VLOOKUP(表1[[#This Row],[8:image]],常量!J:N,4,FALSE),0),0)</f>
        <v>0</v>
      </c>
      <c r="C848">
        <f>IF(表1[[#This Row],[不调整offset]]="x",IFERROR(VLOOKUP(表1[[#This Row],[8:image]],常量!J:N,5,FALSE),0),0)</f>
        <v>0</v>
      </c>
      <c r="E848">
        <v>1</v>
      </c>
      <c r="F848">
        <v>12</v>
      </c>
      <c r="G848" s="8" t="s">
        <v>789</v>
      </c>
      <c r="H848" s="16" t="s">
        <v>3498</v>
      </c>
      <c r="I848" s="16" t="s">
        <v>4406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customHeight="1">
      <c r="A849">
        <v>2059</v>
      </c>
      <c r="B849">
        <f>IF(表1[[#This Row],[不调整offset]]="x",IFERROR(VLOOKUP(表1[[#This Row],[8:image]],常量!J:N,4,FALSE),0),0)</f>
        <v>0</v>
      </c>
      <c r="C849">
        <f>IF(表1[[#This Row],[不调整offset]]="x",IFERROR(VLOOKUP(表1[[#This Row],[8:image]],常量!J:N,5,FALSE),0),0)</f>
        <v>0</v>
      </c>
      <c r="E849">
        <v>1</v>
      </c>
      <c r="F849">
        <v>12</v>
      </c>
      <c r="G849" s="8" t="s">
        <v>790</v>
      </c>
      <c r="H849" s="16" t="s">
        <v>3499</v>
      </c>
      <c r="I849" s="16" t="s">
        <v>4407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customHeight="1">
      <c r="A850">
        <v>2060</v>
      </c>
      <c r="B850">
        <f>IF(表1[[#This Row],[不调整offset]]="x",IFERROR(VLOOKUP(表1[[#This Row],[8:image]],常量!J:N,4,FALSE),0),0)</f>
        <v>0</v>
      </c>
      <c r="C850">
        <f>IF(表1[[#This Row],[不调整offset]]="x",IFERROR(VLOOKUP(表1[[#This Row],[8:image]],常量!J:N,5,FALSE),0),0)</f>
        <v>0</v>
      </c>
      <c r="E850">
        <v>1</v>
      </c>
      <c r="F850">
        <v>12</v>
      </c>
      <c r="G850" s="8" t="s">
        <v>791</v>
      </c>
      <c r="H850" s="16" t="s">
        <v>3500</v>
      </c>
      <c r="I850" s="16" t="s">
        <v>4408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t="14.25" customHeight="1">
      <c r="A851">
        <v>2100</v>
      </c>
      <c r="B851">
        <f>IF(表1[[#This Row],[不调整offset]]="x",IFERROR(VLOOKUP(表1[[#This Row],[8:image]],常量!J:N,4,FALSE),0),0)</f>
        <v>0</v>
      </c>
      <c r="C851">
        <f>IF(表1[[#This Row],[不调整offset]]="x",IFERROR(VLOOKUP(表1[[#This Row],[8:image]],常量!J:N,5,FALSE),0),0)</f>
        <v>0</v>
      </c>
      <c r="E851" t="s">
        <v>2589</v>
      </c>
      <c r="F851">
        <v>18</v>
      </c>
      <c r="G851" s="1" t="s">
        <v>759</v>
      </c>
      <c r="H851" s="17" t="s">
        <v>3501</v>
      </c>
      <c r="I851" s="19"/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t="14.25" customHeight="1">
      <c r="A852">
        <v>2101</v>
      </c>
      <c r="B852">
        <f>IF(表1[[#This Row],[不调整offset]]="x",IFERROR(VLOOKUP(表1[[#This Row],[8:image]],常量!J:N,4,FALSE),0),0)</f>
        <v>0</v>
      </c>
      <c r="C852">
        <f>IF(表1[[#This Row],[不调整offset]]="x",IFERROR(VLOOKUP(表1[[#This Row],[8:image]],常量!J:N,5,FALSE),0),0)</f>
        <v>0</v>
      </c>
      <c r="E852">
        <v>1</v>
      </c>
      <c r="F852">
        <v>12</v>
      </c>
      <c r="G852" s="1" t="s">
        <v>792</v>
      </c>
      <c r="H852" s="17" t="s">
        <v>3502</v>
      </c>
      <c r="I852" s="17" t="s">
        <v>4409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t="14.25" customHeight="1">
      <c r="A853">
        <v>2102</v>
      </c>
      <c r="B853">
        <f>IF(表1[[#This Row],[不调整offset]]="x",IFERROR(VLOOKUP(表1[[#This Row],[8:image]],常量!J:N,4,FALSE),0),0)</f>
        <v>0</v>
      </c>
      <c r="C853">
        <f>IF(表1[[#This Row],[不调整offset]]="x",IFERROR(VLOOKUP(表1[[#This Row],[8:image]],常量!J:N,5,FALSE),0),0)</f>
        <v>0</v>
      </c>
      <c r="E853">
        <v>1</v>
      </c>
      <c r="F853">
        <v>12</v>
      </c>
      <c r="G853" s="1" t="s">
        <v>793</v>
      </c>
      <c r="H853" s="17" t="s">
        <v>3503</v>
      </c>
      <c r="I853" s="17" t="s">
        <v>4410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t="14.25" customHeight="1">
      <c r="A854">
        <v>2103</v>
      </c>
      <c r="B854">
        <f>IF(表1[[#This Row],[不调整offset]]="x",IFERROR(VLOOKUP(表1[[#This Row],[8:image]],常量!J:N,4,FALSE),0),0)</f>
        <v>0</v>
      </c>
      <c r="C854">
        <f>IF(表1[[#This Row],[不调整offset]]="x",IFERROR(VLOOKUP(表1[[#This Row],[8:image]],常量!J:N,5,FALSE),0),0)</f>
        <v>0</v>
      </c>
      <c r="E854">
        <v>1</v>
      </c>
      <c r="F854">
        <v>12</v>
      </c>
      <c r="G854" s="1" t="s">
        <v>794</v>
      </c>
      <c r="H854" s="17" t="s">
        <v>3504</v>
      </c>
      <c r="I854" s="17" t="s">
        <v>4411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t="14.25" customHeight="1">
      <c r="A855">
        <v>2104</v>
      </c>
      <c r="B855">
        <f>IF(表1[[#This Row],[不调整offset]]="x",IFERROR(VLOOKUP(表1[[#This Row],[8:image]],常量!J:N,4,FALSE),0),0)</f>
        <v>0</v>
      </c>
      <c r="C855">
        <f>IF(表1[[#This Row],[不调整offset]]="x",IFERROR(VLOOKUP(表1[[#This Row],[8:image]],常量!J:N,5,FALSE),0),0)</f>
        <v>0</v>
      </c>
      <c r="E855">
        <v>1</v>
      </c>
      <c r="F855">
        <v>12</v>
      </c>
      <c r="G855" s="1" t="s">
        <v>795</v>
      </c>
      <c r="H855" s="17" t="s">
        <v>3505</v>
      </c>
      <c r="I855" s="17" t="s">
        <v>4412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t="14.25" customHeight="1">
      <c r="A856">
        <v>2105</v>
      </c>
      <c r="B856">
        <f>IF(表1[[#This Row],[不调整offset]]="x",IFERROR(VLOOKUP(表1[[#This Row],[8:image]],常量!J:N,4,FALSE),0),0)</f>
        <v>0</v>
      </c>
      <c r="C856">
        <f>IF(表1[[#This Row],[不调整offset]]="x",IFERROR(VLOOKUP(表1[[#This Row],[8:image]],常量!J:N,5,FALSE),0),0)</f>
        <v>0</v>
      </c>
      <c r="E856">
        <v>1</v>
      </c>
      <c r="F856">
        <v>12</v>
      </c>
      <c r="G856" s="1" t="s">
        <v>796</v>
      </c>
      <c r="H856" s="17" t="s">
        <v>3506</v>
      </c>
      <c r="I856" s="17" t="s">
        <v>4413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t="14.25" customHeight="1">
      <c r="A857">
        <v>2106</v>
      </c>
      <c r="B857">
        <f>IF(表1[[#This Row],[不调整offset]]="x",IFERROR(VLOOKUP(表1[[#This Row],[8:image]],常量!J:N,4,FALSE),0),0)</f>
        <v>0</v>
      </c>
      <c r="C857">
        <f>IF(表1[[#This Row],[不调整offset]]="x",IFERROR(VLOOKUP(表1[[#This Row],[8:image]],常量!J:N,5,FALSE),0),0)</f>
        <v>0</v>
      </c>
      <c r="E857">
        <v>1</v>
      </c>
      <c r="F857">
        <v>12</v>
      </c>
      <c r="G857" s="1" t="s">
        <v>797</v>
      </c>
      <c r="H857" s="17" t="s">
        <v>3507</v>
      </c>
      <c r="I857" s="17" t="s">
        <v>4414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t="14.25" customHeight="1">
      <c r="A858">
        <v>2107</v>
      </c>
      <c r="B858">
        <f>IF(表1[[#This Row],[不调整offset]]="x",IFERROR(VLOOKUP(表1[[#This Row],[8:image]],常量!J:N,4,FALSE),0),0)</f>
        <v>0</v>
      </c>
      <c r="C858">
        <f>IF(表1[[#This Row],[不调整offset]]="x",IFERROR(VLOOKUP(表1[[#This Row],[8:image]],常量!J:N,5,FALSE),0),0)</f>
        <v>0</v>
      </c>
      <c r="E858">
        <v>1</v>
      </c>
      <c r="F858">
        <v>12</v>
      </c>
      <c r="G858" s="1" t="s">
        <v>798</v>
      </c>
      <c r="H858" s="17" t="s">
        <v>3508</v>
      </c>
      <c r="I858" s="17" t="s">
        <v>4415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t="14.25" customHeight="1">
      <c r="A859">
        <v>2108</v>
      </c>
      <c r="B859">
        <f>IF(表1[[#This Row],[不调整offset]]="x",IFERROR(VLOOKUP(表1[[#This Row],[8:image]],常量!J:N,4,FALSE),0),0)</f>
        <v>0</v>
      </c>
      <c r="C859">
        <f>IF(表1[[#This Row],[不调整offset]]="x",IFERROR(VLOOKUP(表1[[#This Row],[8:image]],常量!J:N,5,FALSE),0),0)</f>
        <v>0</v>
      </c>
      <c r="E859">
        <v>1</v>
      </c>
      <c r="F859">
        <v>12</v>
      </c>
      <c r="G859" s="1" t="s">
        <v>799</v>
      </c>
      <c r="H859" s="17" t="s">
        <v>3509</v>
      </c>
      <c r="I859" s="17" t="s">
        <v>4416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t="14.25" customHeight="1">
      <c r="A860">
        <v>2109</v>
      </c>
      <c r="B860">
        <f>IF(表1[[#This Row],[不调整offset]]="x",IFERROR(VLOOKUP(表1[[#This Row],[8:image]],常量!J:N,4,FALSE),0),0)</f>
        <v>0</v>
      </c>
      <c r="C860">
        <f>IF(表1[[#This Row],[不调整offset]]="x",IFERROR(VLOOKUP(表1[[#This Row],[8:image]],常量!J:N,5,FALSE),0),0)</f>
        <v>0</v>
      </c>
      <c r="E860">
        <v>1</v>
      </c>
      <c r="F860">
        <v>12</v>
      </c>
      <c r="G860" s="1" t="s">
        <v>800</v>
      </c>
      <c r="H860" s="17" t="s">
        <v>3510</v>
      </c>
      <c r="I860" s="17" t="s">
        <v>4417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t="14.25" customHeight="1">
      <c r="A861">
        <v>2110</v>
      </c>
      <c r="B861">
        <f>IF(表1[[#This Row],[不调整offset]]="x",IFERROR(VLOOKUP(表1[[#This Row],[8:image]],常量!J:N,4,FALSE),0),0)</f>
        <v>0</v>
      </c>
      <c r="C861">
        <f>IF(表1[[#This Row],[不调整offset]]="x",IFERROR(VLOOKUP(表1[[#This Row],[8:image]],常量!J:N,5,FALSE),0),0)</f>
        <v>0</v>
      </c>
      <c r="E861">
        <v>1</v>
      </c>
      <c r="F861">
        <v>12</v>
      </c>
      <c r="G861" s="1" t="s">
        <v>801</v>
      </c>
      <c r="H861" s="17" t="s">
        <v>3511</v>
      </c>
      <c r="I861" s="17" t="s">
        <v>4418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t="14.25" customHeight="1">
      <c r="A862">
        <v>2111</v>
      </c>
      <c r="B862">
        <f>IF(表1[[#This Row],[不调整offset]]="x",IFERROR(VLOOKUP(表1[[#This Row],[8:image]],常量!J:N,4,FALSE),0),0)</f>
        <v>0</v>
      </c>
      <c r="C862">
        <f>IF(表1[[#This Row],[不调整offset]]="x",IFERROR(VLOOKUP(表1[[#This Row],[8:image]],常量!J:N,5,FALSE),0),0)</f>
        <v>0</v>
      </c>
      <c r="E862">
        <v>1</v>
      </c>
      <c r="F862">
        <v>12</v>
      </c>
      <c r="G862" s="1" t="s">
        <v>802</v>
      </c>
      <c r="H862" s="17" t="s">
        <v>3512</v>
      </c>
      <c r="I862" s="17" t="s">
        <v>4419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t="14.25" customHeight="1">
      <c r="A863">
        <v>2112</v>
      </c>
      <c r="B863">
        <f>IF(表1[[#This Row],[不调整offset]]="x",IFERROR(VLOOKUP(表1[[#This Row],[8:image]],常量!J:N,4,FALSE),0),0)</f>
        <v>0</v>
      </c>
      <c r="C863">
        <f>IF(表1[[#This Row],[不调整offset]]="x",IFERROR(VLOOKUP(表1[[#This Row],[8:image]],常量!J:N,5,FALSE),0),0)</f>
        <v>0</v>
      </c>
      <c r="E863">
        <v>1</v>
      </c>
      <c r="F863">
        <v>12</v>
      </c>
      <c r="G863" s="1" t="s">
        <v>803</v>
      </c>
      <c r="H863" s="17" t="s">
        <v>3513</v>
      </c>
      <c r="I863" s="19"/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t="14.25" customHeight="1">
      <c r="A864">
        <v>2113</v>
      </c>
      <c r="B864">
        <f>IF(表1[[#This Row],[不调整offset]]="x",IFERROR(VLOOKUP(表1[[#This Row],[8:image]],常量!J:N,4,FALSE),0),0)</f>
        <v>0</v>
      </c>
      <c r="C864">
        <f>IF(表1[[#This Row],[不调整offset]]="x",IFERROR(VLOOKUP(表1[[#This Row],[8:image]],常量!J:N,5,FALSE),0),0)</f>
        <v>0</v>
      </c>
      <c r="E864">
        <v>1</v>
      </c>
      <c r="F864">
        <v>12</v>
      </c>
      <c r="G864" s="1" t="s">
        <v>804</v>
      </c>
      <c r="H864" s="17" t="s">
        <v>3514</v>
      </c>
      <c r="I864" s="19"/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t="14.25" customHeight="1">
      <c r="A865">
        <v>2150</v>
      </c>
      <c r="B865">
        <f>IF(表1[[#This Row],[不调整offset]]="x",IFERROR(VLOOKUP(表1[[#This Row],[8:image]],常量!J:N,4,FALSE),0),0)</f>
        <v>0</v>
      </c>
      <c r="C865">
        <f>IF(表1[[#This Row],[不调整offset]]="x",IFERROR(VLOOKUP(表1[[#This Row],[8:image]],常量!J:N,5,FALSE),0),0)</f>
        <v>0</v>
      </c>
      <c r="E865" t="s">
        <v>2589</v>
      </c>
      <c r="F865">
        <v>18</v>
      </c>
      <c r="G865" s="1" t="s">
        <v>761</v>
      </c>
      <c r="H865" s="17" t="s">
        <v>3515</v>
      </c>
      <c r="I865" s="19"/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t="14.25" customHeight="1">
      <c r="A866">
        <v>2151</v>
      </c>
      <c r="B866">
        <f>IF(表1[[#This Row],[不调整offset]]="x",IFERROR(VLOOKUP(表1[[#This Row],[8:image]],常量!J:N,4,FALSE),0),0)</f>
        <v>0</v>
      </c>
      <c r="C866">
        <f>IF(表1[[#This Row],[不调整offset]]="x",IFERROR(VLOOKUP(表1[[#This Row],[8:image]],常量!J:N,5,FALSE),0),0)</f>
        <v>0</v>
      </c>
      <c r="E866">
        <v>1</v>
      </c>
      <c r="F866">
        <v>12</v>
      </c>
      <c r="G866" s="1" t="s">
        <v>805</v>
      </c>
      <c r="H866" s="17" t="s">
        <v>3516</v>
      </c>
      <c r="I866" s="17" t="s">
        <v>4420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t="14.25" customHeight="1">
      <c r="A867">
        <v>2152</v>
      </c>
      <c r="B867">
        <f>IF(表1[[#This Row],[不调整offset]]="x",IFERROR(VLOOKUP(表1[[#This Row],[8:image]],常量!J:N,4,FALSE),0),0)</f>
        <v>0</v>
      </c>
      <c r="C867">
        <f>IF(表1[[#This Row],[不调整offset]]="x",IFERROR(VLOOKUP(表1[[#This Row],[8:image]],常量!J:N,5,FALSE),0),0)</f>
        <v>0</v>
      </c>
      <c r="E867">
        <v>1</v>
      </c>
      <c r="F867">
        <v>12</v>
      </c>
      <c r="G867" s="1" t="s">
        <v>2482</v>
      </c>
      <c r="H867" s="17" t="s">
        <v>3517</v>
      </c>
      <c r="I867" s="17" t="s">
        <v>4421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t="14.25" customHeight="1">
      <c r="A868">
        <v>2200</v>
      </c>
      <c r="B868">
        <f>IF(表1[[#This Row],[不调整offset]]="x",IFERROR(VLOOKUP(表1[[#This Row],[8:image]],常量!J:N,4,FALSE),0),0)</f>
        <v>0</v>
      </c>
      <c r="C868">
        <f>IF(表1[[#This Row],[不调整offset]]="x",IFERROR(VLOOKUP(表1[[#This Row],[8:image]],常量!J:N,5,FALSE),0),0)</f>
        <v>0</v>
      </c>
      <c r="E868" t="s">
        <v>2589</v>
      </c>
      <c r="F868">
        <v>18</v>
      </c>
      <c r="G868" s="1" t="s">
        <v>806</v>
      </c>
      <c r="H868" s="17" t="s">
        <v>3518</v>
      </c>
      <c r="I868" s="19"/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t="14.25" customHeight="1">
      <c r="A869">
        <v>2201</v>
      </c>
      <c r="B869">
        <f>IF(表1[[#This Row],[不调整offset]]="x",IFERROR(VLOOKUP(表1[[#This Row],[8:image]],常量!J:N,4,FALSE),0),0)</f>
        <v>0</v>
      </c>
      <c r="C869">
        <f>IF(表1[[#This Row],[不调整offset]]="x",IFERROR(VLOOKUP(表1[[#This Row],[8:image]],常量!J:N,5,FALSE),0),0)</f>
        <v>0</v>
      </c>
      <c r="E869">
        <v>1</v>
      </c>
      <c r="F869">
        <v>12</v>
      </c>
      <c r="G869" s="1" t="s">
        <v>807</v>
      </c>
      <c r="H869" s="17" t="s">
        <v>3519</v>
      </c>
      <c r="I869" s="17" t="s">
        <v>4422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t="14.25" customHeight="1">
      <c r="A870">
        <v>2202</v>
      </c>
      <c r="B870">
        <f>IF(表1[[#This Row],[不调整offset]]="x",IFERROR(VLOOKUP(表1[[#This Row],[8:image]],常量!J:N,4,FALSE),0),0)</f>
        <v>0</v>
      </c>
      <c r="C870">
        <f>IF(表1[[#This Row],[不调整offset]]="x",IFERROR(VLOOKUP(表1[[#This Row],[8:image]],常量!J:N,5,FALSE),0),0)</f>
        <v>0</v>
      </c>
      <c r="E870">
        <v>1</v>
      </c>
      <c r="F870">
        <v>12</v>
      </c>
      <c r="G870" s="1" t="s">
        <v>2483</v>
      </c>
      <c r="H870" s="17" t="s">
        <v>3520</v>
      </c>
      <c r="I870" s="17" t="s">
        <v>4423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t="14.25" customHeight="1">
      <c r="A871">
        <v>2203</v>
      </c>
      <c r="B871">
        <f>IF(表1[[#This Row],[不调整offset]]="x",IFERROR(VLOOKUP(表1[[#This Row],[8:image]],常量!J:N,4,FALSE),0),0)</f>
        <v>0</v>
      </c>
      <c r="C871">
        <f>IF(表1[[#This Row],[不调整offset]]="x",IFERROR(VLOOKUP(表1[[#This Row],[8:image]],常量!J:N,5,FALSE),0),0)</f>
        <v>0</v>
      </c>
      <c r="E871">
        <v>1</v>
      </c>
      <c r="F871">
        <v>12</v>
      </c>
      <c r="G871" s="1" t="s">
        <v>2484</v>
      </c>
      <c r="H871" s="17" t="s">
        <v>3521</v>
      </c>
      <c r="I871" s="17" t="s">
        <v>4424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t="14.25" customHeight="1">
      <c r="A872">
        <v>2204</v>
      </c>
      <c r="B872">
        <f>IF(表1[[#This Row],[不调整offset]]="x",IFERROR(VLOOKUP(表1[[#This Row],[8:image]],常量!J:N,4,FALSE),0),0)</f>
        <v>0</v>
      </c>
      <c r="C872">
        <f>IF(表1[[#This Row],[不调整offset]]="x",IFERROR(VLOOKUP(表1[[#This Row],[8:image]],常量!J:N,5,FALSE),0),0)</f>
        <v>0</v>
      </c>
      <c r="E872">
        <v>1</v>
      </c>
      <c r="F872">
        <v>12</v>
      </c>
      <c r="G872" s="1" t="s">
        <v>808</v>
      </c>
      <c r="H872" s="17" t="s">
        <v>3522</v>
      </c>
      <c r="I872" s="17" t="s">
        <v>4425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t="14.25" customHeight="1">
      <c r="A873">
        <v>2205</v>
      </c>
      <c r="B873">
        <f>IF(表1[[#This Row],[不调整offset]]="x",IFERROR(VLOOKUP(表1[[#This Row],[8:image]],常量!J:N,4,FALSE),0),0)</f>
        <v>0</v>
      </c>
      <c r="C873">
        <f>IF(表1[[#This Row],[不调整offset]]="x",IFERROR(VLOOKUP(表1[[#This Row],[8:image]],常量!J:N,5,FALSE),0),0)</f>
        <v>0</v>
      </c>
      <c r="E873">
        <v>1</v>
      </c>
      <c r="F873">
        <v>12</v>
      </c>
      <c r="G873" s="1" t="s">
        <v>2485</v>
      </c>
      <c r="H873" s="17" t="s">
        <v>3523</v>
      </c>
      <c r="I873" s="17" t="s">
        <v>4426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t="14.25" customHeight="1">
      <c r="A874">
        <v>2206</v>
      </c>
      <c r="B874">
        <f>IF(表1[[#This Row],[不调整offset]]="x",IFERROR(VLOOKUP(表1[[#This Row],[8:image]],常量!J:N,4,FALSE),0),0)</f>
        <v>0</v>
      </c>
      <c r="C874">
        <f>IF(表1[[#This Row],[不调整offset]]="x",IFERROR(VLOOKUP(表1[[#This Row],[8:image]],常量!J:N,5,FALSE),0),0)</f>
        <v>0</v>
      </c>
      <c r="E874">
        <v>1</v>
      </c>
      <c r="F874">
        <v>12</v>
      </c>
      <c r="G874" s="1" t="s">
        <v>809</v>
      </c>
      <c r="H874" s="17" t="s">
        <v>3524</v>
      </c>
      <c r="I874" s="17" t="s">
        <v>4427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t="14.25" customHeight="1">
      <c r="A875">
        <v>2207</v>
      </c>
      <c r="B875">
        <f>IF(表1[[#This Row],[不调整offset]]="x",IFERROR(VLOOKUP(表1[[#This Row],[8:image]],常量!J:N,4,FALSE),0),0)</f>
        <v>0</v>
      </c>
      <c r="C875">
        <f>IF(表1[[#This Row],[不调整offset]]="x",IFERROR(VLOOKUP(表1[[#This Row],[8:image]],常量!J:N,5,FALSE),0),0)</f>
        <v>0</v>
      </c>
      <c r="E875">
        <v>1</v>
      </c>
      <c r="F875">
        <v>12</v>
      </c>
      <c r="G875" s="1" t="s">
        <v>810</v>
      </c>
      <c r="H875" s="17" t="s">
        <v>3525</v>
      </c>
      <c r="I875" s="17" t="s">
        <v>4428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t="14.25" customHeight="1">
      <c r="A876">
        <v>2208</v>
      </c>
      <c r="B876">
        <f>IF(表1[[#This Row],[不调整offset]]="x",IFERROR(VLOOKUP(表1[[#This Row],[8:image]],常量!J:N,4,FALSE),0),0)</f>
        <v>0</v>
      </c>
      <c r="C876">
        <f>IF(表1[[#This Row],[不调整offset]]="x",IFERROR(VLOOKUP(表1[[#This Row],[8:image]],常量!J:N,5,FALSE),0),0)</f>
        <v>0</v>
      </c>
      <c r="E876" t="s">
        <v>2589</v>
      </c>
      <c r="F876">
        <v>18</v>
      </c>
      <c r="G876" s="1" t="s">
        <v>672</v>
      </c>
      <c r="H876" s="17" t="s">
        <v>3526</v>
      </c>
      <c r="I876" s="19"/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t="14.25" customHeight="1">
      <c r="A877">
        <v>2209</v>
      </c>
      <c r="B877">
        <f>IF(表1[[#This Row],[不调整offset]]="x",IFERROR(VLOOKUP(表1[[#This Row],[8:image]],常量!J:N,4,FALSE),0),0)</f>
        <v>0</v>
      </c>
      <c r="C877">
        <f>IF(表1[[#This Row],[不调整offset]]="x",IFERROR(VLOOKUP(表1[[#This Row],[8:image]],常量!J:N,5,FALSE),0),0)</f>
        <v>0</v>
      </c>
      <c r="E877" t="s">
        <v>2587</v>
      </c>
      <c r="F877">
        <v>6</v>
      </c>
      <c r="G877" s="1" t="s">
        <v>811</v>
      </c>
      <c r="H877" s="17" t="s">
        <v>3527</v>
      </c>
      <c r="I877" s="17" t="s">
        <v>4429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t="14.25" customHeight="1">
      <c r="A878">
        <v>2210</v>
      </c>
      <c r="B878">
        <f>IF(表1[[#This Row],[不调整offset]]="x",IFERROR(VLOOKUP(表1[[#This Row],[8:image]],常量!J:N,4,FALSE),0),0)</f>
        <v>0</v>
      </c>
      <c r="C878">
        <f>IF(表1[[#This Row],[不调整offset]]="x",IFERROR(VLOOKUP(表1[[#This Row],[8:image]],常量!J:N,5,FALSE),0),0)</f>
        <v>0</v>
      </c>
      <c r="E878" t="s">
        <v>2587</v>
      </c>
      <c r="F878">
        <v>6</v>
      </c>
      <c r="G878" s="1" t="s">
        <v>812</v>
      </c>
      <c r="H878" s="17" t="s">
        <v>3528</v>
      </c>
      <c r="I878" s="17" t="s">
        <v>4430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t="14.25" customHeight="1">
      <c r="A879">
        <v>2211</v>
      </c>
      <c r="B879">
        <f>IF(表1[[#This Row],[不调整offset]]="x",IFERROR(VLOOKUP(表1[[#This Row],[8:image]],常量!J:N,4,FALSE),0),0)</f>
        <v>0</v>
      </c>
      <c r="C879">
        <f>IF(表1[[#This Row],[不调整offset]]="x",IFERROR(VLOOKUP(表1[[#This Row],[8:image]],常量!J:N,5,FALSE),0),0)</f>
        <v>0</v>
      </c>
      <c r="E879" t="s">
        <v>2587</v>
      </c>
      <c r="F879">
        <v>6</v>
      </c>
      <c r="G879" s="1" t="s">
        <v>665</v>
      </c>
      <c r="H879" s="17" t="s">
        <v>3529</v>
      </c>
      <c r="I879" s="17" t="s">
        <v>4431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t="14.25" customHeight="1">
      <c r="A880">
        <v>2212</v>
      </c>
      <c r="B880">
        <f>IF(表1[[#This Row],[不调整offset]]="x",IFERROR(VLOOKUP(表1[[#This Row],[8:image]],常量!J:N,4,FALSE),0),0)</f>
        <v>0</v>
      </c>
      <c r="C880">
        <f>IF(表1[[#This Row],[不调整offset]]="x",IFERROR(VLOOKUP(表1[[#This Row],[8:image]],常量!J:N,5,FALSE),0),0)</f>
        <v>0</v>
      </c>
      <c r="E880" t="s">
        <v>2587</v>
      </c>
      <c r="F880">
        <v>6</v>
      </c>
      <c r="G880" s="1" t="s">
        <v>664</v>
      </c>
      <c r="H880" s="17" t="s">
        <v>3530</v>
      </c>
      <c r="I880" s="17" t="s">
        <v>4432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t="14.25" customHeight="1">
      <c r="A881">
        <v>2213</v>
      </c>
      <c r="B881">
        <f>IF(表1[[#This Row],[不调整offset]]="x",IFERROR(VLOOKUP(表1[[#This Row],[8:image]],常量!J:N,4,FALSE),0),0)</f>
        <v>0</v>
      </c>
      <c r="C881">
        <f>IF(表1[[#This Row],[不调整offset]]="x",IFERROR(VLOOKUP(表1[[#This Row],[8:image]],常量!J:N,5,FALSE),0),0)</f>
        <v>0</v>
      </c>
      <c r="E881" t="s">
        <v>2587</v>
      </c>
      <c r="F881">
        <v>6</v>
      </c>
      <c r="G881" s="1" t="s">
        <v>813</v>
      </c>
      <c r="H881" s="17" t="s">
        <v>3531</v>
      </c>
      <c r="I881" s="17" t="s">
        <v>4433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t="14.25" customHeight="1">
      <c r="A882">
        <v>2214</v>
      </c>
      <c r="B882">
        <f>IF(表1[[#This Row],[不调整offset]]="x",IFERROR(VLOOKUP(表1[[#This Row],[8:image]],常量!J:N,4,FALSE),0),0)</f>
        <v>0</v>
      </c>
      <c r="C882">
        <f>IF(表1[[#This Row],[不调整offset]]="x",IFERROR(VLOOKUP(表1[[#This Row],[8:image]],常量!J:N,5,FALSE),0),0)</f>
        <v>0</v>
      </c>
      <c r="E882" t="s">
        <v>2587</v>
      </c>
      <c r="F882">
        <v>6</v>
      </c>
      <c r="G882" s="1" t="s">
        <v>814</v>
      </c>
      <c r="H882" s="17" t="s">
        <v>3532</v>
      </c>
      <c r="I882" s="17" t="s">
        <v>4434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t="14.25" customHeight="1">
      <c r="A883">
        <v>2215</v>
      </c>
      <c r="B883">
        <f>IF(表1[[#This Row],[不调整offset]]="x",IFERROR(VLOOKUP(表1[[#This Row],[8:image]],常量!J:N,4,FALSE),0),0)</f>
        <v>0</v>
      </c>
      <c r="C883">
        <f>IF(表1[[#This Row],[不调整offset]]="x",IFERROR(VLOOKUP(表1[[#This Row],[8:image]],常量!J:N,5,FALSE),0),0)</f>
        <v>0</v>
      </c>
      <c r="E883" t="s">
        <v>2587</v>
      </c>
      <c r="F883">
        <v>6</v>
      </c>
      <c r="G883" s="1" t="s">
        <v>815</v>
      </c>
      <c r="H883" s="17" t="s">
        <v>3533</v>
      </c>
      <c r="I883" s="17" t="s">
        <v>4435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t="14.25" customHeight="1">
      <c r="A884">
        <v>2216</v>
      </c>
      <c r="B884">
        <f>IF(表1[[#This Row],[不调整offset]]="x",IFERROR(VLOOKUP(表1[[#This Row],[8:image]],常量!J:N,4,FALSE),0),0)</f>
        <v>0</v>
      </c>
      <c r="C884">
        <f>IF(表1[[#This Row],[不调整offset]]="x",IFERROR(VLOOKUP(表1[[#This Row],[8:image]],常量!J:N,5,FALSE),0),0)</f>
        <v>0</v>
      </c>
      <c r="E884" t="s">
        <v>2587</v>
      </c>
      <c r="F884">
        <v>6</v>
      </c>
      <c r="G884" s="1" t="s">
        <v>816</v>
      </c>
      <c r="H884" s="17" t="s">
        <v>3534</v>
      </c>
      <c r="I884" s="19"/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t="14.25" customHeight="1">
      <c r="A885">
        <v>2217</v>
      </c>
      <c r="B885">
        <f>IF(表1[[#This Row],[不调整offset]]="x",IFERROR(VLOOKUP(表1[[#This Row],[8:image]],常量!J:N,4,FALSE),0),0)</f>
        <v>0</v>
      </c>
      <c r="C885">
        <f>IF(表1[[#This Row],[不调整offset]]="x",IFERROR(VLOOKUP(表1[[#This Row],[8:image]],常量!J:N,5,FALSE),0),0)</f>
        <v>0</v>
      </c>
      <c r="E885" t="s">
        <v>2587</v>
      </c>
      <c r="F885">
        <v>6</v>
      </c>
      <c r="G885" s="1" t="s">
        <v>817</v>
      </c>
      <c r="H885" s="17" t="s">
        <v>3535</v>
      </c>
      <c r="I885" s="17" t="s">
        <v>4436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t="14.25" customHeight="1">
      <c r="A886">
        <v>2218</v>
      </c>
      <c r="B886">
        <f>IF(表1[[#This Row],[不调整offset]]="x",IFERROR(VLOOKUP(表1[[#This Row],[8:image]],常量!J:N,4,FALSE),0),0)</f>
        <v>0</v>
      </c>
      <c r="C886">
        <f>IF(表1[[#This Row],[不调整offset]]="x",IFERROR(VLOOKUP(表1[[#This Row],[8:image]],常量!J:N,5,FALSE),0),0)</f>
        <v>0</v>
      </c>
      <c r="E886" t="s">
        <v>2587</v>
      </c>
      <c r="F886">
        <v>6</v>
      </c>
      <c r="G886" s="1" t="s">
        <v>818</v>
      </c>
      <c r="H886" s="17" t="s">
        <v>3536</v>
      </c>
      <c r="I886" s="17" t="s">
        <v>4437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t="14.25" customHeight="1">
      <c r="A887">
        <v>2219</v>
      </c>
      <c r="B887">
        <f>IF(表1[[#This Row],[不调整offset]]="x",IFERROR(VLOOKUP(表1[[#This Row],[8:image]],常量!J:N,4,FALSE),0),0)</f>
        <v>0</v>
      </c>
      <c r="C887">
        <f>IF(表1[[#This Row],[不调整offset]]="x",IFERROR(VLOOKUP(表1[[#This Row],[8:image]],常量!J:N,5,FALSE),0),0)</f>
        <v>0</v>
      </c>
      <c r="E887" t="s">
        <v>2587</v>
      </c>
      <c r="F887">
        <v>6</v>
      </c>
      <c r="G887" s="1" t="s">
        <v>819</v>
      </c>
      <c r="H887" s="17" t="s">
        <v>3537</v>
      </c>
      <c r="I887" s="17" t="s">
        <v>4438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t="14.25" customHeight="1">
      <c r="A888">
        <v>2220</v>
      </c>
      <c r="B888">
        <f>IF(表1[[#This Row],[不调整offset]]="x",IFERROR(VLOOKUP(表1[[#This Row],[8:image]],常量!J:N,4,FALSE),0),0)</f>
        <v>0</v>
      </c>
      <c r="C888">
        <f>IF(表1[[#This Row],[不调整offset]]="x",IFERROR(VLOOKUP(表1[[#This Row],[8:image]],常量!J:N,5,FALSE),0),0)</f>
        <v>0</v>
      </c>
      <c r="E888">
        <v>1</v>
      </c>
      <c r="F888">
        <v>12</v>
      </c>
      <c r="G888" s="1" t="s">
        <v>820</v>
      </c>
      <c r="H888" s="17" t="s">
        <v>3538</v>
      </c>
      <c r="I888" s="19"/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t="14.25" customHeight="1">
      <c r="A889">
        <v>2221</v>
      </c>
      <c r="B889">
        <f>IF(表1[[#This Row],[不调整offset]]="x",IFERROR(VLOOKUP(表1[[#This Row],[8:image]],常量!J:N,4,FALSE),0),0)</f>
        <v>0</v>
      </c>
      <c r="C889">
        <f>IF(表1[[#This Row],[不调整offset]]="x",IFERROR(VLOOKUP(表1[[#This Row],[8:image]],常量!J:N,5,FALSE),0),0)</f>
        <v>0</v>
      </c>
      <c r="E889">
        <v>1</v>
      </c>
      <c r="F889">
        <v>12</v>
      </c>
      <c r="G889" s="1" t="s">
        <v>821</v>
      </c>
      <c r="H889" s="17" t="s">
        <v>3539</v>
      </c>
      <c r="I889" s="19"/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t="14.25" customHeight="1">
      <c r="A890">
        <v>2222</v>
      </c>
      <c r="B890">
        <f>IF(表1[[#This Row],[不调整offset]]="x",IFERROR(VLOOKUP(表1[[#This Row],[8:image]],常量!J:N,4,FALSE),0),0)</f>
        <v>0</v>
      </c>
      <c r="C890">
        <f>IF(表1[[#This Row],[不调整offset]]="x",IFERROR(VLOOKUP(表1[[#This Row],[8:image]],常量!J:N,5,FALSE),0),0)</f>
        <v>0</v>
      </c>
      <c r="E890">
        <v>1</v>
      </c>
      <c r="F890">
        <v>12</v>
      </c>
      <c r="G890" s="1" t="s">
        <v>822</v>
      </c>
      <c r="H890" s="17" t="s">
        <v>3540</v>
      </c>
      <c r="I890" s="19"/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t="14.25" customHeight="1">
      <c r="A891">
        <v>2223</v>
      </c>
      <c r="B891">
        <f>IF(表1[[#This Row],[不调整offset]]="x",IFERROR(VLOOKUP(表1[[#This Row],[8:image]],常量!J:N,4,FALSE),0),0)</f>
        <v>0</v>
      </c>
      <c r="C891">
        <f>IF(表1[[#This Row],[不调整offset]]="x",IFERROR(VLOOKUP(表1[[#This Row],[8:image]],常量!J:N,5,FALSE),0),0)</f>
        <v>0</v>
      </c>
      <c r="E891">
        <v>1</v>
      </c>
      <c r="F891">
        <v>12</v>
      </c>
      <c r="G891" s="1" t="s">
        <v>823</v>
      </c>
      <c r="H891" s="17" t="s">
        <v>3541</v>
      </c>
      <c r="I891" s="19"/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t="14.25" customHeight="1">
      <c r="A892">
        <v>2224</v>
      </c>
      <c r="B892">
        <f>IF(表1[[#This Row],[不调整offset]]="x",IFERROR(VLOOKUP(表1[[#This Row],[8:image]],常量!J:N,4,FALSE),0),0)</f>
        <v>0</v>
      </c>
      <c r="C892">
        <f>IF(表1[[#This Row],[不调整offset]]="x",IFERROR(VLOOKUP(表1[[#This Row],[8:image]],常量!J:N,5,FALSE),0),0)</f>
        <v>0</v>
      </c>
      <c r="E892">
        <v>1</v>
      </c>
      <c r="F892">
        <v>12</v>
      </c>
      <c r="G892" s="1" t="s">
        <v>72</v>
      </c>
      <c r="H892" s="17" t="s">
        <v>3542</v>
      </c>
      <c r="I892" s="19"/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t="14.25" customHeight="1">
      <c r="A893">
        <v>2225</v>
      </c>
      <c r="B893">
        <f>IF(表1[[#This Row],[不调整offset]]="x",IFERROR(VLOOKUP(表1[[#This Row],[8:image]],常量!J:N,4,FALSE),0),0)</f>
        <v>0</v>
      </c>
      <c r="C893">
        <f>IF(表1[[#This Row],[不调整offset]]="x",IFERROR(VLOOKUP(表1[[#This Row],[8:image]],常量!J:N,5,FALSE),0),0)</f>
        <v>0</v>
      </c>
      <c r="E893">
        <v>1</v>
      </c>
      <c r="F893">
        <v>12</v>
      </c>
      <c r="G893" s="1" t="s">
        <v>824</v>
      </c>
      <c r="H893" s="17" t="s">
        <v>3543</v>
      </c>
      <c r="I893" s="19"/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t="14.25" customHeight="1">
      <c r="A894">
        <v>2226</v>
      </c>
      <c r="B894">
        <f>IF(表1[[#This Row],[不调整offset]]="x",IFERROR(VLOOKUP(表1[[#This Row],[8:image]],常量!J:N,4,FALSE),0),0)</f>
        <v>0</v>
      </c>
      <c r="C894">
        <f>IF(表1[[#This Row],[不调整offset]]="x",IFERROR(VLOOKUP(表1[[#This Row],[8:image]],常量!J:N,5,FALSE),0),0)</f>
        <v>0</v>
      </c>
      <c r="E894">
        <v>1</v>
      </c>
      <c r="F894">
        <v>12</v>
      </c>
      <c r="G894" s="1" t="s">
        <v>113</v>
      </c>
      <c r="H894" s="17" t="s">
        <v>3544</v>
      </c>
      <c r="I894" s="19"/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t="14.25" customHeight="1">
      <c r="A895">
        <v>2227</v>
      </c>
      <c r="B895">
        <f>IF(表1[[#This Row],[不调整offset]]="x",IFERROR(VLOOKUP(表1[[#This Row],[8:image]],常量!J:N,4,FALSE),0),0)</f>
        <v>0</v>
      </c>
      <c r="C895">
        <f>IF(表1[[#This Row],[不调整offset]]="x",IFERROR(VLOOKUP(表1[[#This Row],[8:image]],常量!J:N,5,FALSE),0),0)</f>
        <v>0</v>
      </c>
      <c r="E895">
        <v>1</v>
      </c>
      <c r="F895">
        <v>12</v>
      </c>
      <c r="G895" s="1" t="s">
        <v>675</v>
      </c>
      <c r="H895" s="17" t="s">
        <v>3545</v>
      </c>
      <c r="I895" s="19"/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t="14.25" customHeight="1">
      <c r="A896">
        <v>2228</v>
      </c>
      <c r="B896">
        <f>IF(表1[[#This Row],[不调整offset]]="x",IFERROR(VLOOKUP(表1[[#This Row],[8:image]],常量!J:N,4,FALSE),0),0)</f>
        <v>0</v>
      </c>
      <c r="C896">
        <f>IF(表1[[#This Row],[不调整offset]]="x",IFERROR(VLOOKUP(表1[[#This Row],[8:image]],常量!J:N,5,FALSE),0),0)</f>
        <v>0</v>
      </c>
      <c r="E896">
        <v>1</v>
      </c>
      <c r="F896">
        <v>12</v>
      </c>
      <c r="G896" s="1" t="s">
        <v>11</v>
      </c>
      <c r="H896" s="17" t="s">
        <v>3546</v>
      </c>
      <c r="I896" s="19"/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t="14.25" customHeight="1">
      <c r="A897">
        <v>2229</v>
      </c>
      <c r="B897">
        <f>IF(表1[[#This Row],[不调整offset]]="x",IFERROR(VLOOKUP(表1[[#This Row],[8:image]],常量!J:N,4,FALSE),0),0)</f>
        <v>0</v>
      </c>
      <c r="C897">
        <f>IF(表1[[#This Row],[不调整offset]]="x",IFERROR(VLOOKUP(表1[[#This Row],[8:image]],常量!J:N,5,FALSE),0),0)</f>
        <v>0</v>
      </c>
      <c r="E897" t="s">
        <v>2587</v>
      </c>
      <c r="F897">
        <v>6</v>
      </c>
      <c r="G897" s="1" t="s">
        <v>825</v>
      </c>
      <c r="H897" s="17" t="s">
        <v>3547</v>
      </c>
      <c r="I897" s="19"/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t="14.25" customHeight="1">
      <c r="A898">
        <v>2230</v>
      </c>
      <c r="B898">
        <f>IF(表1[[#This Row],[不调整offset]]="x",IFERROR(VLOOKUP(表1[[#This Row],[8:image]],常量!J:N,4,FALSE),0),0)</f>
        <v>0</v>
      </c>
      <c r="C898">
        <f>IF(表1[[#This Row],[不调整offset]]="x",IFERROR(VLOOKUP(表1[[#This Row],[8:image]],常量!J:N,5,FALSE),0),0)</f>
        <v>0</v>
      </c>
      <c r="E898" t="s">
        <v>2587</v>
      </c>
      <c r="F898">
        <v>6</v>
      </c>
      <c r="G898" s="1" t="s">
        <v>826</v>
      </c>
      <c r="H898" s="17" t="s">
        <v>3548</v>
      </c>
      <c r="I898" s="19"/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t="14.25" customHeight="1">
      <c r="A899">
        <v>2231</v>
      </c>
      <c r="B899">
        <f>IF(表1[[#This Row],[不调整offset]]="x",IFERROR(VLOOKUP(表1[[#This Row],[8:image]],常量!J:N,4,FALSE),0),0)</f>
        <v>0</v>
      </c>
      <c r="C899">
        <f>IF(表1[[#This Row],[不调整offset]]="x",IFERROR(VLOOKUP(表1[[#This Row],[8:image]],常量!J:N,5,FALSE),0),0)</f>
        <v>0</v>
      </c>
      <c r="E899" t="s">
        <v>2587</v>
      </c>
      <c r="F899">
        <v>6</v>
      </c>
      <c r="G899" s="1" t="s">
        <v>827</v>
      </c>
      <c r="H899" s="17" t="s">
        <v>3549</v>
      </c>
      <c r="I899" s="19"/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t="14.25" customHeight="1">
      <c r="A900">
        <v>2232</v>
      </c>
      <c r="B900">
        <f>IF(表1[[#This Row],[不调整offset]]="x",IFERROR(VLOOKUP(表1[[#This Row],[8:image]],常量!J:N,4,FALSE),0),0)</f>
        <v>0</v>
      </c>
      <c r="C900">
        <f>IF(表1[[#This Row],[不调整offset]]="x",IFERROR(VLOOKUP(表1[[#This Row],[8:image]],常量!J:N,5,FALSE),0),0)</f>
        <v>0</v>
      </c>
      <c r="E900" t="s">
        <v>2587</v>
      </c>
      <c r="F900">
        <v>6</v>
      </c>
      <c r="G900" s="1" t="s">
        <v>828</v>
      </c>
      <c r="H900" s="17" t="s">
        <v>3550</v>
      </c>
      <c r="I900" s="19"/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t="14.25" customHeight="1">
      <c r="A901">
        <v>2233</v>
      </c>
      <c r="B901">
        <f>IF(表1[[#This Row],[不调整offset]]="x",IFERROR(VLOOKUP(表1[[#This Row],[8:image]],常量!J:N,4,FALSE),0),0)</f>
        <v>0</v>
      </c>
      <c r="C901">
        <f>IF(表1[[#This Row],[不调整offset]]="x",IFERROR(VLOOKUP(表1[[#This Row],[8:image]],常量!J:N,5,FALSE),0),0)</f>
        <v>0</v>
      </c>
      <c r="E901" t="s">
        <v>2587</v>
      </c>
      <c r="F901">
        <v>6</v>
      </c>
      <c r="G901" s="1" t="s">
        <v>829</v>
      </c>
      <c r="H901" s="17" t="s">
        <v>3551</v>
      </c>
      <c r="I901" s="19"/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t="14.25" customHeight="1">
      <c r="A902">
        <v>2234</v>
      </c>
      <c r="B902">
        <f>IF(表1[[#This Row],[不调整offset]]="x",IFERROR(VLOOKUP(表1[[#This Row],[8:image]],常量!J:N,4,FALSE),0),0)</f>
        <v>0</v>
      </c>
      <c r="C902">
        <f>IF(表1[[#This Row],[不调整offset]]="x",IFERROR(VLOOKUP(表1[[#This Row],[8:image]],常量!J:N,5,FALSE),0),0)</f>
        <v>0</v>
      </c>
      <c r="E902" t="s">
        <v>2587</v>
      </c>
      <c r="F902">
        <v>6</v>
      </c>
      <c r="G902" s="1" t="s">
        <v>830</v>
      </c>
      <c r="H902" s="17" t="s">
        <v>3552</v>
      </c>
      <c r="I902" s="19"/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t="14.25" customHeight="1">
      <c r="A903">
        <v>2235</v>
      </c>
      <c r="B903">
        <f>IF(表1[[#This Row],[不调整offset]]="x",IFERROR(VLOOKUP(表1[[#This Row],[8:image]],常量!J:N,4,FALSE),0),0)</f>
        <v>0</v>
      </c>
      <c r="C903">
        <f>IF(表1[[#This Row],[不调整offset]]="x",IFERROR(VLOOKUP(表1[[#This Row],[8:image]],常量!J:N,5,FALSE),0),0)</f>
        <v>0</v>
      </c>
      <c r="E903" t="s">
        <v>2587</v>
      </c>
      <c r="F903">
        <v>6</v>
      </c>
      <c r="G903" s="1" t="s">
        <v>831</v>
      </c>
      <c r="H903" s="17" t="s">
        <v>3553</v>
      </c>
      <c r="I903" s="19"/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t="14.25" customHeight="1">
      <c r="A904">
        <v>2236</v>
      </c>
      <c r="B904">
        <f>IF(表1[[#This Row],[不调整offset]]="x",IFERROR(VLOOKUP(表1[[#This Row],[8:image]],常量!J:N,4,FALSE),0),0)</f>
        <v>0</v>
      </c>
      <c r="C904">
        <f>IF(表1[[#This Row],[不调整offset]]="x",IFERROR(VLOOKUP(表1[[#This Row],[8:image]],常量!J:N,5,FALSE),0),0)</f>
        <v>0</v>
      </c>
      <c r="E904" t="s">
        <v>2587</v>
      </c>
      <c r="F904">
        <v>6</v>
      </c>
      <c r="G904" s="1" t="s">
        <v>832</v>
      </c>
      <c r="H904" s="17" t="s">
        <v>3554</v>
      </c>
      <c r="I904" s="19"/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t="14.25" customHeight="1">
      <c r="A905">
        <v>2237</v>
      </c>
      <c r="B905">
        <f>IF(表1[[#This Row],[不调整offset]]="x",IFERROR(VLOOKUP(表1[[#This Row],[8:image]],常量!J:N,4,FALSE),0),0)</f>
        <v>0</v>
      </c>
      <c r="C905">
        <f>IF(表1[[#This Row],[不调整offset]]="x",IFERROR(VLOOKUP(表1[[#This Row],[8:image]],常量!J:N,5,FALSE),0),0)</f>
        <v>0</v>
      </c>
      <c r="E905" t="s">
        <v>2587</v>
      </c>
      <c r="F905">
        <v>6</v>
      </c>
      <c r="G905" s="1" t="s">
        <v>833</v>
      </c>
      <c r="H905" s="17" t="s">
        <v>3555</v>
      </c>
      <c r="I905" s="19"/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t="14.25" customHeight="1">
      <c r="A906">
        <v>2238</v>
      </c>
      <c r="B906">
        <f>IF(表1[[#This Row],[不调整offset]]="x",IFERROR(VLOOKUP(表1[[#This Row],[8:image]],常量!J:N,4,FALSE),0),0)</f>
        <v>0</v>
      </c>
      <c r="C906">
        <f>IF(表1[[#This Row],[不调整offset]]="x",IFERROR(VLOOKUP(表1[[#This Row],[8:image]],常量!J:N,5,FALSE),0),0)</f>
        <v>0</v>
      </c>
      <c r="E906" t="s">
        <v>2587</v>
      </c>
      <c r="F906">
        <v>6</v>
      </c>
      <c r="G906" s="1" t="s">
        <v>834</v>
      </c>
      <c r="H906" s="17" t="s">
        <v>3556</v>
      </c>
      <c r="I906" s="19"/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customHeight="1">
      <c r="A907">
        <v>2239</v>
      </c>
      <c r="B907">
        <f>IF(表1[[#This Row],[不调整offset]]="x",IFERROR(VLOOKUP(表1[[#This Row],[8:image]],常量!J:N,4,FALSE),0),0)</f>
        <v>0</v>
      </c>
      <c r="C907">
        <f>IF(表1[[#This Row],[不调整offset]]="x",IFERROR(VLOOKUP(表1[[#This Row],[8:image]],常量!J:N,5,FALSE),0),0)</f>
        <v>0</v>
      </c>
      <c r="E907" t="s">
        <v>2587</v>
      </c>
      <c r="F907">
        <v>6</v>
      </c>
      <c r="G907" s="12" t="s">
        <v>663</v>
      </c>
      <c r="H907" s="17" t="s">
        <v>3557</v>
      </c>
      <c r="I907" s="17" t="s">
        <v>4439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t="14.25" customHeight="1">
      <c r="A908">
        <v>2300</v>
      </c>
      <c r="B908">
        <f>IF(表1[[#This Row],[不调整offset]]="x",IFERROR(VLOOKUP(表1[[#This Row],[8:image]],常量!J:N,4,FALSE),0),0)</f>
        <v>0</v>
      </c>
      <c r="C908">
        <f>IF(表1[[#This Row],[不调整offset]]="x",IFERROR(VLOOKUP(表1[[#This Row],[8:image]],常量!J:N,5,FALSE),0),0)</f>
        <v>0</v>
      </c>
      <c r="E908" t="s">
        <v>2589</v>
      </c>
      <c r="F908">
        <v>18</v>
      </c>
      <c r="G908" s="1" t="s">
        <v>675</v>
      </c>
      <c r="H908" s="17" t="s">
        <v>3558</v>
      </c>
      <c r="I908" s="19"/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t="14.25" customHeight="1">
      <c r="A909">
        <v>2301</v>
      </c>
      <c r="B909">
        <f>IF(表1[[#This Row],[不调整offset]]="x",IFERROR(VLOOKUP(表1[[#This Row],[8:image]],常量!J:N,4,FALSE),0),0)</f>
        <v>0</v>
      </c>
      <c r="C909">
        <f>IF(表1[[#This Row],[不调整offset]]="x",IFERROR(VLOOKUP(表1[[#This Row],[8:image]],常量!J:N,5,FALSE),0),0)</f>
        <v>0</v>
      </c>
      <c r="E909" t="s">
        <v>2587</v>
      </c>
      <c r="F909">
        <v>6</v>
      </c>
      <c r="G909" s="1" t="s">
        <v>835</v>
      </c>
      <c r="H909" s="17" t="s">
        <v>3559</v>
      </c>
      <c r="I909" s="17" t="s">
        <v>4440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t="14.25" customHeight="1">
      <c r="A910">
        <v>2302</v>
      </c>
      <c r="B910">
        <f>IF(表1[[#This Row],[不调整offset]]="x",IFERROR(VLOOKUP(表1[[#This Row],[8:image]],常量!J:N,4,FALSE),0),0)</f>
        <v>0</v>
      </c>
      <c r="C910">
        <f>IF(表1[[#This Row],[不调整offset]]="x",IFERROR(VLOOKUP(表1[[#This Row],[8:image]],常量!J:N,5,FALSE),0),0)</f>
        <v>0</v>
      </c>
      <c r="E910" t="s">
        <v>2587</v>
      </c>
      <c r="F910">
        <v>6</v>
      </c>
      <c r="G910" s="1" t="s">
        <v>836</v>
      </c>
      <c r="H910" s="17" t="s">
        <v>3560</v>
      </c>
      <c r="I910" s="17" t="s">
        <v>4441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t="14.25" customHeight="1">
      <c r="A911">
        <v>2303</v>
      </c>
      <c r="B911">
        <f>IF(表1[[#This Row],[不调整offset]]="x",IFERROR(VLOOKUP(表1[[#This Row],[8:image]],常量!J:N,4,FALSE),0),0)</f>
        <v>0</v>
      </c>
      <c r="C911">
        <f>IF(表1[[#This Row],[不调整offset]]="x",IFERROR(VLOOKUP(表1[[#This Row],[8:image]],常量!J:N,5,FALSE),0),0)</f>
        <v>0</v>
      </c>
      <c r="E911" t="s">
        <v>2587</v>
      </c>
      <c r="F911">
        <v>6</v>
      </c>
      <c r="G911" s="1" t="s">
        <v>837</v>
      </c>
      <c r="H911" s="17" t="s">
        <v>3561</v>
      </c>
      <c r="I911" s="17" t="s">
        <v>4442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t="14.25" customHeight="1">
      <c r="A912">
        <v>2304</v>
      </c>
      <c r="B912">
        <f>IF(表1[[#This Row],[不调整offset]]="x",IFERROR(VLOOKUP(表1[[#This Row],[8:image]],常量!J:N,4,FALSE),0),0)</f>
        <v>0</v>
      </c>
      <c r="C912">
        <f>IF(表1[[#This Row],[不调整offset]]="x",IFERROR(VLOOKUP(表1[[#This Row],[8:image]],常量!J:N,5,FALSE),0),0)</f>
        <v>0</v>
      </c>
      <c r="E912" t="s">
        <v>2587</v>
      </c>
      <c r="F912">
        <v>6</v>
      </c>
      <c r="G912" s="1" t="s">
        <v>838</v>
      </c>
      <c r="H912" s="17" t="s">
        <v>3562</v>
      </c>
      <c r="I912" s="17" t="s">
        <v>4443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t="14.25" customHeight="1">
      <c r="A913">
        <v>2305</v>
      </c>
      <c r="B913">
        <f>IF(表1[[#This Row],[不调整offset]]="x",IFERROR(VLOOKUP(表1[[#This Row],[8:image]],常量!J:N,4,FALSE),0),0)</f>
        <v>0</v>
      </c>
      <c r="C913">
        <f>IF(表1[[#This Row],[不调整offset]]="x",IFERROR(VLOOKUP(表1[[#This Row],[8:image]],常量!J:N,5,FALSE),0),0)</f>
        <v>0</v>
      </c>
      <c r="E913" t="s">
        <v>2587</v>
      </c>
      <c r="F913">
        <v>6</v>
      </c>
      <c r="G913" s="1" t="s">
        <v>839</v>
      </c>
      <c r="H913" s="17" t="s">
        <v>3563</v>
      </c>
      <c r="I913" s="17" t="s">
        <v>4444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customHeight="1">
      <c r="A914">
        <v>2306</v>
      </c>
      <c r="B914">
        <f>IF(表1[[#This Row],[不调整offset]]="x",IFERROR(VLOOKUP(表1[[#This Row],[8:image]],常量!J:N,4,FALSE),0),0)</f>
        <v>0</v>
      </c>
      <c r="C914">
        <f>IF(表1[[#This Row],[不调整offset]]="x",IFERROR(VLOOKUP(表1[[#This Row],[8:image]],常量!J:N,5,FALSE),0),0)</f>
        <v>0</v>
      </c>
      <c r="E914" t="s">
        <v>2587</v>
      </c>
      <c r="F914">
        <v>6</v>
      </c>
      <c r="G914" s="1" t="s">
        <v>840</v>
      </c>
      <c r="H914" s="16" t="s">
        <v>3564</v>
      </c>
      <c r="I914" s="16" t="s">
        <v>4445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t="14.25" customHeight="1">
      <c r="A915">
        <v>2307</v>
      </c>
      <c r="B915">
        <f>IF(表1[[#This Row],[不调整offset]]="x",IFERROR(VLOOKUP(表1[[#This Row],[8:image]],常量!J:N,4,FALSE),0),0)</f>
        <v>0</v>
      </c>
      <c r="C915">
        <f>IF(表1[[#This Row],[不调整offset]]="x",IFERROR(VLOOKUP(表1[[#This Row],[8:image]],常量!J:N,5,FALSE),0),0)</f>
        <v>0</v>
      </c>
      <c r="E915" t="s">
        <v>2587</v>
      </c>
      <c r="F915">
        <v>6</v>
      </c>
      <c r="G915" s="1" t="s">
        <v>841</v>
      </c>
      <c r="H915" s="17" t="s">
        <v>3565</v>
      </c>
      <c r="I915" s="17" t="s">
        <v>4446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t="14.25" customHeight="1">
      <c r="A916">
        <v>2308</v>
      </c>
      <c r="B916">
        <f>IF(表1[[#This Row],[不调整offset]]="x",IFERROR(VLOOKUP(表1[[#This Row],[8:image]],常量!J:N,4,FALSE),0),0)</f>
        <v>0</v>
      </c>
      <c r="C916">
        <f>IF(表1[[#This Row],[不调整offset]]="x",IFERROR(VLOOKUP(表1[[#This Row],[8:image]],常量!J:N,5,FALSE),0),0)</f>
        <v>0</v>
      </c>
      <c r="E916" t="s">
        <v>2587</v>
      </c>
      <c r="F916">
        <v>6</v>
      </c>
      <c r="G916" s="1" t="s">
        <v>842</v>
      </c>
      <c r="H916" s="17" t="s">
        <v>3566</v>
      </c>
      <c r="I916" s="17" t="s">
        <v>4447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t="14.25" customHeight="1">
      <c r="A917">
        <v>2309</v>
      </c>
      <c r="B917">
        <f>IF(表1[[#This Row],[不调整offset]]="x",IFERROR(VLOOKUP(表1[[#This Row],[8:image]],常量!J:N,4,FALSE),0),0)</f>
        <v>0</v>
      </c>
      <c r="C917">
        <f>IF(表1[[#This Row],[不调整offset]]="x",IFERROR(VLOOKUP(表1[[#This Row],[8:image]],常量!J:N,5,FALSE),0),0)</f>
        <v>0</v>
      </c>
      <c r="E917" t="s">
        <v>2587</v>
      </c>
      <c r="F917">
        <v>6</v>
      </c>
      <c r="G917" s="1" t="s">
        <v>843</v>
      </c>
      <c r="H917" s="17" t="s">
        <v>3567</v>
      </c>
      <c r="I917" s="17" t="s">
        <v>4448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t="14.25" customHeight="1">
      <c r="A918">
        <v>2310</v>
      </c>
      <c r="B918">
        <f>IF(表1[[#This Row],[不调整offset]]="x",IFERROR(VLOOKUP(表1[[#This Row],[8:image]],常量!J:N,4,FALSE),0),0)</f>
        <v>0</v>
      </c>
      <c r="C918">
        <f>IF(表1[[#This Row],[不调整offset]]="x",IFERROR(VLOOKUP(表1[[#This Row],[8:image]],常量!J:N,5,FALSE),0),0)</f>
        <v>0</v>
      </c>
      <c r="E918" t="s">
        <v>2587</v>
      </c>
      <c r="F918">
        <v>6</v>
      </c>
      <c r="G918" s="1" t="s">
        <v>844</v>
      </c>
      <c r="H918" s="17" t="s">
        <v>3568</v>
      </c>
      <c r="I918" s="17" t="s">
        <v>4449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t="14.25" customHeight="1">
      <c r="A919">
        <v>2311</v>
      </c>
      <c r="B919">
        <f>IF(表1[[#This Row],[不调整offset]]="x",IFERROR(VLOOKUP(表1[[#This Row],[8:image]],常量!J:N,4,FALSE),0),0)</f>
        <v>0</v>
      </c>
      <c r="C919">
        <f>IF(表1[[#This Row],[不调整offset]]="x",IFERROR(VLOOKUP(表1[[#This Row],[8:image]],常量!J:N,5,FALSE),0),0)</f>
        <v>0</v>
      </c>
      <c r="E919" t="s">
        <v>2587</v>
      </c>
      <c r="F919">
        <v>6</v>
      </c>
      <c r="G919" s="1" t="s">
        <v>845</v>
      </c>
      <c r="H919" s="17" t="s">
        <v>3569</v>
      </c>
      <c r="I919" s="19"/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t="14.25" customHeight="1">
      <c r="A920">
        <v>2312</v>
      </c>
      <c r="B920">
        <f>IF(表1[[#This Row],[不调整offset]]="x",IFERROR(VLOOKUP(表1[[#This Row],[8:image]],常量!J:N,4,FALSE),0),0)</f>
        <v>0</v>
      </c>
      <c r="C920">
        <f>IF(表1[[#This Row],[不调整offset]]="x",IFERROR(VLOOKUP(表1[[#This Row],[8:image]],常量!J:N,5,FALSE),0),0)</f>
        <v>0</v>
      </c>
      <c r="E920">
        <v>1</v>
      </c>
      <c r="F920">
        <v>12</v>
      </c>
      <c r="G920" s="1" t="s">
        <v>846</v>
      </c>
      <c r="H920" s="17" t="s">
        <v>3570</v>
      </c>
      <c r="I920" s="19"/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customHeight="1">
      <c r="A921">
        <v>2313</v>
      </c>
      <c r="B921">
        <f>IF(表1[[#This Row],[不调整offset]]="x",IFERROR(VLOOKUP(表1[[#This Row],[8:image]],常量!J:N,4,FALSE),0),0)</f>
        <v>0</v>
      </c>
      <c r="C921">
        <f>IF(表1[[#This Row],[不调整offset]]="x",IFERROR(VLOOKUP(表1[[#This Row],[8:image]],常量!J:N,5,FALSE),0),0)</f>
        <v>0</v>
      </c>
      <c r="E921" t="s">
        <v>2587</v>
      </c>
      <c r="F921">
        <v>6</v>
      </c>
      <c r="G921" s="8" t="s">
        <v>831</v>
      </c>
      <c r="H921" s="16" t="s">
        <v>3571</v>
      </c>
      <c r="I921" s="16" t="s">
        <v>4450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customHeight="1">
      <c r="A922">
        <v>2314</v>
      </c>
      <c r="B922">
        <f>IF(表1[[#This Row],[不调整offset]]="x",IFERROR(VLOOKUP(表1[[#This Row],[8:image]],常量!J:N,4,FALSE),0),0)</f>
        <v>0</v>
      </c>
      <c r="C922">
        <f>IF(表1[[#This Row],[不调整offset]]="x",IFERROR(VLOOKUP(表1[[#This Row],[8:image]],常量!J:N,5,FALSE),0),0)</f>
        <v>0</v>
      </c>
      <c r="E922" t="s">
        <v>2587</v>
      </c>
      <c r="F922">
        <v>6</v>
      </c>
      <c r="G922" s="1" t="s">
        <v>847</v>
      </c>
      <c r="H922" s="16" t="s">
        <v>3572</v>
      </c>
      <c r="I922" s="16" t="s">
        <v>4451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customHeight="1">
      <c r="A923">
        <v>2315</v>
      </c>
      <c r="B923">
        <f>IF(表1[[#This Row],[不调整offset]]="x",IFERROR(VLOOKUP(表1[[#This Row],[8:image]],常量!J:N,4,FALSE),0),0)</f>
        <v>0</v>
      </c>
      <c r="C923">
        <f>IF(表1[[#This Row],[不调整offset]]="x",IFERROR(VLOOKUP(表1[[#This Row],[8:image]],常量!J:N,5,FALSE),0),0)</f>
        <v>0</v>
      </c>
      <c r="E923" t="s">
        <v>2587</v>
      </c>
      <c r="F923">
        <v>6</v>
      </c>
      <c r="G923" s="1" t="s">
        <v>848</v>
      </c>
      <c r="H923" s="16" t="s">
        <v>3573</v>
      </c>
      <c r="I923" s="16" t="s">
        <v>4452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customHeight="1">
      <c r="A924">
        <v>2316</v>
      </c>
      <c r="B924">
        <f>IF(表1[[#This Row],[不调整offset]]="x",IFERROR(VLOOKUP(表1[[#This Row],[8:image]],常量!J:N,4,FALSE),0),0)</f>
        <v>0</v>
      </c>
      <c r="C924">
        <f>IF(表1[[#This Row],[不调整offset]]="x",IFERROR(VLOOKUP(表1[[#This Row],[8:image]],常量!J:N,5,FALSE),0),0)</f>
        <v>0</v>
      </c>
      <c r="E924" t="s">
        <v>2587</v>
      </c>
      <c r="F924">
        <v>6</v>
      </c>
      <c r="G924" s="1" t="s">
        <v>849</v>
      </c>
      <c r="H924" s="16" t="s">
        <v>3574</v>
      </c>
      <c r="I924" s="16" t="s">
        <v>4453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customHeight="1">
      <c r="A925">
        <v>2317</v>
      </c>
      <c r="B925">
        <f>IF(表1[[#This Row],[不调整offset]]="x",IFERROR(VLOOKUP(表1[[#This Row],[8:image]],常量!J:N,4,FALSE),0),0)</f>
        <v>0</v>
      </c>
      <c r="C925">
        <f>IF(表1[[#This Row],[不调整offset]]="x",IFERROR(VLOOKUP(表1[[#This Row],[8:image]],常量!J:N,5,FALSE),0),0)</f>
        <v>0</v>
      </c>
      <c r="E925" t="s">
        <v>2587</v>
      </c>
      <c r="F925">
        <v>6</v>
      </c>
      <c r="G925" s="1" t="s">
        <v>850</v>
      </c>
      <c r="H925" s="16" t="s">
        <v>3575</v>
      </c>
      <c r="I925" s="16" t="s">
        <v>4454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customHeight="1">
      <c r="A926">
        <v>2318</v>
      </c>
      <c r="B926">
        <f>IF(表1[[#This Row],[不调整offset]]="x",IFERROR(VLOOKUP(表1[[#This Row],[8:image]],常量!J:N,4,FALSE),0),0)</f>
        <v>0</v>
      </c>
      <c r="C926">
        <f>IF(表1[[#This Row],[不调整offset]]="x",IFERROR(VLOOKUP(表1[[#This Row],[8:image]],常量!J:N,5,FALSE),0),0)</f>
        <v>0</v>
      </c>
      <c r="E926" t="s">
        <v>2587</v>
      </c>
      <c r="F926">
        <v>6</v>
      </c>
      <c r="G926" s="8" t="s">
        <v>851</v>
      </c>
      <c r="H926" s="16" t="s">
        <v>3576</v>
      </c>
      <c r="I926" s="16" t="s">
        <v>4455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customHeight="1">
      <c r="A927">
        <v>2350</v>
      </c>
      <c r="B927">
        <f>IF(表1[[#This Row],[不调整offset]]="x",IFERROR(VLOOKUP(表1[[#This Row],[8:image]],常量!J:N,4,FALSE),0),0)</f>
        <v>0</v>
      </c>
      <c r="C927">
        <f>IF(表1[[#This Row],[不调整offset]]="x",IFERROR(VLOOKUP(表1[[#This Row],[8:image]],常量!J:N,5,FALSE),0),0)</f>
        <v>0</v>
      </c>
      <c r="E927" t="s">
        <v>2587</v>
      </c>
      <c r="F927">
        <v>6</v>
      </c>
      <c r="G927" s="8" t="s">
        <v>852</v>
      </c>
      <c r="H927" s="16" t="s">
        <v>3577</v>
      </c>
      <c r="I927" s="16" t="s">
        <v>4456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customHeight="1">
      <c r="A928">
        <v>2351</v>
      </c>
      <c r="B928">
        <f>IF(表1[[#This Row],[不调整offset]]="x",IFERROR(VLOOKUP(表1[[#This Row],[8:image]],常量!J:N,4,FALSE),0),0)</f>
        <v>0</v>
      </c>
      <c r="C928">
        <f>IF(表1[[#This Row],[不调整offset]]="x",IFERROR(VLOOKUP(表1[[#This Row],[8:image]],常量!J:N,5,FALSE),0),0)</f>
        <v>0</v>
      </c>
      <c r="E928" t="s">
        <v>2587</v>
      </c>
      <c r="F928">
        <v>6</v>
      </c>
      <c r="G928" s="1" t="s">
        <v>853</v>
      </c>
      <c r="H928" s="16" t="s">
        <v>3578</v>
      </c>
      <c r="I928" s="16" t="s">
        <v>4457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t="14.25" customHeight="1">
      <c r="A929">
        <v>2352</v>
      </c>
      <c r="B929">
        <f>IF(表1[[#This Row],[不调整offset]]="x",IFERROR(VLOOKUP(表1[[#This Row],[8:image]],常量!J:N,4,FALSE),0),0)</f>
        <v>0</v>
      </c>
      <c r="C929">
        <f>IF(表1[[#This Row],[不调整offset]]="x",IFERROR(VLOOKUP(表1[[#This Row],[8:image]],常量!J:N,5,FALSE),0),0)</f>
        <v>0</v>
      </c>
      <c r="E929" t="s">
        <v>2587</v>
      </c>
      <c r="F929">
        <v>6</v>
      </c>
      <c r="G929" s="1" t="s">
        <v>664</v>
      </c>
      <c r="H929" s="17" t="s">
        <v>3579</v>
      </c>
      <c r="I929" s="17" t="s">
        <v>4458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t="14.25" customHeight="1">
      <c r="A930">
        <v>2353</v>
      </c>
      <c r="B930">
        <f>IF(表1[[#This Row],[不调整offset]]="x",IFERROR(VLOOKUP(表1[[#This Row],[8:image]],常量!J:N,4,FALSE),0),0)</f>
        <v>0</v>
      </c>
      <c r="C930">
        <f>IF(表1[[#This Row],[不调整offset]]="x",IFERROR(VLOOKUP(表1[[#This Row],[8:image]],常量!J:N,5,FALSE),0),0)</f>
        <v>0</v>
      </c>
      <c r="E930" t="s">
        <v>2587</v>
      </c>
      <c r="F930">
        <v>6</v>
      </c>
      <c r="G930" s="1" t="s">
        <v>665</v>
      </c>
      <c r="H930" s="17" t="s">
        <v>3580</v>
      </c>
      <c r="I930" s="17" t="s">
        <v>4459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t="14.25" customHeight="1">
      <c r="A931">
        <v>2354</v>
      </c>
      <c r="B931">
        <f>IF(表1[[#This Row],[不调整offset]]="x",IFERROR(VLOOKUP(表1[[#This Row],[8:image]],常量!J:N,4,FALSE),0),0)</f>
        <v>0</v>
      </c>
      <c r="C931">
        <f>IF(表1[[#This Row],[不调整offset]]="x",IFERROR(VLOOKUP(表1[[#This Row],[8:image]],常量!J:N,5,FALSE),0),0)</f>
        <v>0</v>
      </c>
      <c r="E931" t="s">
        <v>2587</v>
      </c>
      <c r="F931">
        <v>6</v>
      </c>
      <c r="G931" s="1" t="s">
        <v>854</v>
      </c>
      <c r="H931" s="17" t="s">
        <v>3581</v>
      </c>
      <c r="I931" s="17" t="s">
        <v>4460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t="14.25" customHeight="1">
      <c r="A932">
        <v>2400</v>
      </c>
      <c r="B932">
        <f>IF(表1[[#This Row],[不调整offset]]="x",IFERROR(VLOOKUP(表1[[#This Row],[8:image]],常量!J:N,4,FALSE),0),0)</f>
        <v>0</v>
      </c>
      <c r="C932">
        <f>IF(表1[[#This Row],[不调整offset]]="x",IFERROR(VLOOKUP(表1[[#This Row],[8:image]],常量!J:N,5,FALSE),0),0)</f>
        <v>0</v>
      </c>
      <c r="E932" t="s">
        <v>2589</v>
      </c>
      <c r="F932">
        <v>18</v>
      </c>
      <c r="G932" s="1" t="s">
        <v>855</v>
      </c>
      <c r="H932" s="17" t="s">
        <v>3582</v>
      </c>
      <c r="I932" s="19"/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t="14.25" customHeight="1">
      <c r="A933">
        <v>2401</v>
      </c>
      <c r="B933">
        <f>IF(表1[[#This Row],[不调整offset]]="x",IFERROR(VLOOKUP(表1[[#This Row],[8:image]],常量!J:N,4,FALSE),0),0)</f>
        <v>0</v>
      </c>
      <c r="C933">
        <f>IF(表1[[#This Row],[不调整offset]]="x",IFERROR(VLOOKUP(表1[[#This Row],[8:image]],常量!J:N,5,FALSE),0),0)</f>
        <v>0</v>
      </c>
      <c r="E933">
        <v>1</v>
      </c>
      <c r="F933">
        <v>12</v>
      </c>
      <c r="G933" s="1" t="s">
        <v>1267</v>
      </c>
      <c r="H933" s="17" t="s">
        <v>3583</v>
      </c>
      <c r="I933" s="17" t="s">
        <v>4461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customHeight="1">
      <c r="A934">
        <v>2500</v>
      </c>
      <c r="B934">
        <f>IF(表1[[#This Row],[不调整offset]]="x",IFERROR(VLOOKUP(表1[[#This Row],[8:image]],常量!J:N,4,FALSE),0),0)</f>
        <v>0</v>
      </c>
      <c r="C934">
        <f>IF(表1[[#This Row],[不调整offset]]="x",IFERROR(VLOOKUP(表1[[#This Row],[8:image]],常量!J:N,5,FALSE),0),0)</f>
        <v>0</v>
      </c>
      <c r="E934">
        <v>0.5</v>
      </c>
      <c r="F934">
        <v>6</v>
      </c>
      <c r="G934" s="1" t="s">
        <v>33</v>
      </c>
      <c r="H934" s="17" t="s">
        <v>3584</v>
      </c>
      <c r="I934" s="17" t="s">
        <v>4462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customHeight="1">
      <c r="A935">
        <v>2501</v>
      </c>
      <c r="B935">
        <f>IF(表1[[#This Row],[不调整offset]]="x",IFERROR(VLOOKUP(表1[[#This Row],[8:image]],常量!J:N,4,FALSE),0),0)</f>
        <v>0</v>
      </c>
      <c r="C935">
        <f>IF(表1[[#This Row],[不调整offset]]="x",IFERROR(VLOOKUP(表1[[#This Row],[8:image]],常量!J:N,5,FALSE),0),0)</f>
        <v>0</v>
      </c>
      <c r="E935">
        <v>0.5</v>
      </c>
      <c r="F935">
        <v>6</v>
      </c>
      <c r="G935" s="1" t="s">
        <v>856</v>
      </c>
      <c r="H935" s="17" t="s">
        <v>3585</v>
      </c>
      <c r="I935" s="19"/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customHeight="1">
      <c r="A936">
        <v>2502</v>
      </c>
      <c r="B936">
        <f>IF(表1[[#This Row],[不调整offset]]="x",IFERROR(VLOOKUP(表1[[#This Row],[8:image]],常量!J:N,4,FALSE),0),0)</f>
        <v>0</v>
      </c>
      <c r="C936">
        <f>IF(表1[[#This Row],[不调整offset]]="x",IFERROR(VLOOKUP(表1[[#This Row],[8:image]],常量!J:N,5,FALSE),0),0)</f>
        <v>0</v>
      </c>
      <c r="E936">
        <v>0.5</v>
      </c>
      <c r="F936">
        <v>6</v>
      </c>
      <c r="G936" s="1" t="s">
        <v>857</v>
      </c>
      <c r="H936" s="17" t="s">
        <v>3586</v>
      </c>
      <c r="I936" s="19"/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customHeight="1">
      <c r="A937">
        <v>2503</v>
      </c>
      <c r="B937">
        <f>IF(表1[[#This Row],[不调整offset]]="x",IFERROR(VLOOKUP(表1[[#This Row],[8:image]],常量!J:N,4,FALSE),0),0)</f>
        <v>0</v>
      </c>
      <c r="C937">
        <f>IF(表1[[#This Row],[不调整offset]]="x",IFERROR(VLOOKUP(表1[[#This Row],[8:image]],常量!J:N,5,FALSE),0),0)</f>
        <v>0</v>
      </c>
      <c r="E937">
        <v>0.5</v>
      </c>
      <c r="F937">
        <v>6</v>
      </c>
      <c r="G937" s="1" t="s">
        <v>858</v>
      </c>
      <c r="H937" s="17" t="s">
        <v>3587</v>
      </c>
      <c r="I937" s="19"/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customHeight="1">
      <c r="A938">
        <v>2504</v>
      </c>
      <c r="B938">
        <f>IF(表1[[#This Row],[不调整offset]]="x",IFERROR(VLOOKUP(表1[[#This Row],[8:image]],常量!J:N,4,FALSE),0),0)</f>
        <v>0</v>
      </c>
      <c r="C938">
        <f>IF(表1[[#This Row],[不调整offset]]="x",IFERROR(VLOOKUP(表1[[#This Row],[8:image]],常量!J:N,5,FALSE),0),0)</f>
        <v>0</v>
      </c>
      <c r="E938">
        <v>0.5</v>
      </c>
      <c r="F938">
        <v>6</v>
      </c>
      <c r="G938" s="1" t="s">
        <v>710</v>
      </c>
      <c r="H938" s="17" t="s">
        <v>3588</v>
      </c>
      <c r="I938" s="19"/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customHeight="1">
      <c r="A939">
        <v>2505</v>
      </c>
      <c r="B939">
        <f>IF(表1[[#This Row],[不调整offset]]="x",IFERROR(VLOOKUP(表1[[#This Row],[8:image]],常量!J:N,4,FALSE),0),0)</f>
        <v>0</v>
      </c>
      <c r="C939">
        <f>IF(表1[[#This Row],[不调整offset]]="x",IFERROR(VLOOKUP(表1[[#This Row],[8:image]],常量!J:N,5,FALSE),0),0)</f>
        <v>0</v>
      </c>
      <c r="E939">
        <v>1</v>
      </c>
      <c r="F939">
        <v>12</v>
      </c>
      <c r="G939" s="1" t="s">
        <v>859</v>
      </c>
      <c r="H939" s="17" t="s">
        <v>3589</v>
      </c>
      <c r="I939" s="19"/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customHeight="1">
      <c r="A940">
        <v>2506</v>
      </c>
      <c r="B940">
        <f>IF(表1[[#This Row],[不调整offset]]="x",IFERROR(VLOOKUP(表1[[#This Row],[8:image]],常量!J:N,4,FALSE),0),0)</f>
        <v>0</v>
      </c>
      <c r="C940">
        <f>IF(表1[[#This Row],[不调整offset]]="x",IFERROR(VLOOKUP(表1[[#This Row],[8:image]],常量!J:N,5,FALSE),0),0)</f>
        <v>0</v>
      </c>
      <c r="E940">
        <v>1</v>
      </c>
      <c r="F940">
        <v>12</v>
      </c>
      <c r="G940" s="1" t="s">
        <v>860</v>
      </c>
      <c r="H940" s="17" t="s">
        <v>3590</v>
      </c>
      <c r="I940" s="19"/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customHeight="1">
      <c r="A941">
        <v>2507</v>
      </c>
      <c r="B941">
        <f>IF(表1[[#This Row],[不调整offset]]="x",IFERROR(VLOOKUP(表1[[#This Row],[8:image]],常量!J:N,4,FALSE),0),0)</f>
        <v>0</v>
      </c>
      <c r="C941">
        <f>IF(表1[[#This Row],[不调整offset]]="x",IFERROR(VLOOKUP(表1[[#This Row],[8:image]],常量!J:N,5,FALSE),0),0)</f>
        <v>0</v>
      </c>
      <c r="E941">
        <v>1</v>
      </c>
      <c r="F941">
        <v>12</v>
      </c>
      <c r="G941" s="1" t="s">
        <v>861</v>
      </c>
      <c r="H941" s="17" t="s">
        <v>3591</v>
      </c>
      <c r="I941" s="19"/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customHeight="1">
      <c r="A942">
        <v>2508</v>
      </c>
      <c r="B942">
        <f>IF(表1[[#This Row],[不调整offset]]="x",IFERROR(VLOOKUP(表1[[#This Row],[8:image]],常量!J:N,4,FALSE),0),0)</f>
        <v>0</v>
      </c>
      <c r="C942">
        <f>IF(表1[[#This Row],[不调整offset]]="x",IFERROR(VLOOKUP(表1[[#This Row],[8:image]],常量!J:N,5,FALSE),0),0)</f>
        <v>0</v>
      </c>
      <c r="E942">
        <v>0.5</v>
      </c>
      <c r="F942">
        <v>6</v>
      </c>
      <c r="G942" s="1" t="s">
        <v>862</v>
      </c>
      <c r="H942" s="16" t="s">
        <v>3592</v>
      </c>
      <c r="I942" s="16" t="s">
        <v>4463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customHeight="1">
      <c r="A943">
        <v>2509</v>
      </c>
      <c r="B943">
        <f>IF(表1[[#This Row],[不调整offset]]="x",IFERROR(VLOOKUP(表1[[#This Row],[8:image]],常量!J:N,4,FALSE),0),0)</f>
        <v>0</v>
      </c>
      <c r="C943">
        <f>IF(表1[[#This Row],[不调整offset]]="x",IFERROR(VLOOKUP(表1[[#This Row],[8:image]],常量!J:N,5,FALSE),0),0)</f>
        <v>0</v>
      </c>
      <c r="E943">
        <v>0.5</v>
      </c>
      <c r="F943">
        <v>6</v>
      </c>
      <c r="G943" s="1" t="s">
        <v>863</v>
      </c>
      <c r="H943" s="16" t="s">
        <v>3593</v>
      </c>
      <c r="I943" s="16" t="s">
        <v>4464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customHeight="1">
      <c r="A944">
        <v>2510</v>
      </c>
      <c r="B944">
        <f>IF(表1[[#This Row],[不调整offset]]="x",IFERROR(VLOOKUP(表1[[#This Row],[8:image]],常量!J:N,4,FALSE),0),0)</f>
        <v>0</v>
      </c>
      <c r="C944">
        <f>IF(表1[[#This Row],[不调整offset]]="x",IFERROR(VLOOKUP(表1[[#This Row],[8:image]],常量!J:N,5,FALSE),0),0)</f>
        <v>0</v>
      </c>
      <c r="E944">
        <v>0.5</v>
      </c>
      <c r="F944">
        <v>6</v>
      </c>
      <c r="G944" s="1" t="s">
        <v>864</v>
      </c>
      <c r="H944" s="16" t="s">
        <v>3594</v>
      </c>
      <c r="I944" s="16" t="s">
        <v>4465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customHeight="1">
      <c r="A945">
        <v>2511</v>
      </c>
      <c r="B945">
        <f>IF(表1[[#This Row],[不调整offset]]="x",IFERROR(VLOOKUP(表1[[#This Row],[8:image]],常量!J:N,4,FALSE),0),0)</f>
        <v>0</v>
      </c>
      <c r="C945">
        <f>IF(表1[[#This Row],[不调整offset]]="x",IFERROR(VLOOKUP(表1[[#This Row],[8:image]],常量!J:N,5,FALSE),0),0)</f>
        <v>0</v>
      </c>
      <c r="E945">
        <v>0.5</v>
      </c>
      <c r="F945">
        <v>6</v>
      </c>
      <c r="G945" s="1" t="s">
        <v>865</v>
      </c>
      <c r="H945" s="16" t="s">
        <v>3595</v>
      </c>
      <c r="I945" s="16" t="s">
        <v>4466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customHeight="1">
      <c r="A946">
        <v>2512</v>
      </c>
      <c r="B946">
        <f>IF(表1[[#This Row],[不调整offset]]="x",IFERROR(VLOOKUP(表1[[#This Row],[8:image]],常量!J:N,4,FALSE),0),0)</f>
        <v>0</v>
      </c>
      <c r="C946">
        <f>IF(表1[[#This Row],[不调整offset]]="x",IFERROR(VLOOKUP(表1[[#This Row],[8:image]],常量!J:N,5,FALSE),0),0)</f>
        <v>0</v>
      </c>
      <c r="E946">
        <v>0.5</v>
      </c>
      <c r="F946">
        <v>6</v>
      </c>
      <c r="G946" s="1" t="s">
        <v>866</v>
      </c>
      <c r="H946" s="16" t="s">
        <v>3596</v>
      </c>
      <c r="I946" s="16" t="s">
        <v>4467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customHeight="1">
      <c r="A947">
        <v>2513</v>
      </c>
      <c r="B947">
        <f>IF(表1[[#This Row],[不调整offset]]="x",IFERROR(VLOOKUP(表1[[#This Row],[8:image]],常量!J:N,4,FALSE),0),0)</f>
        <v>0</v>
      </c>
      <c r="C947">
        <f>IF(表1[[#This Row],[不调整offset]]="x",IFERROR(VLOOKUP(表1[[#This Row],[8:image]],常量!J:N,5,FALSE),0),0)</f>
        <v>0</v>
      </c>
      <c r="E947">
        <v>0.5</v>
      </c>
      <c r="F947">
        <v>6</v>
      </c>
      <c r="G947" s="1" t="s">
        <v>867</v>
      </c>
      <c r="H947" s="17" t="s">
        <v>3597</v>
      </c>
      <c r="I947" s="17" t="s">
        <v>4468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customHeight="1">
      <c r="A948">
        <v>2514</v>
      </c>
      <c r="B948">
        <f>IF(表1[[#This Row],[不调整offset]]="x",IFERROR(VLOOKUP(表1[[#This Row],[8:image]],常量!J:N,4,FALSE),0),0)</f>
        <v>0</v>
      </c>
      <c r="C948">
        <f>IF(表1[[#This Row],[不调整offset]]="x",IFERROR(VLOOKUP(表1[[#This Row],[8:image]],常量!J:N,5,FALSE),0),0)</f>
        <v>0</v>
      </c>
      <c r="E948">
        <v>0.5</v>
      </c>
      <c r="F948">
        <v>6</v>
      </c>
      <c r="G948" s="1" t="s">
        <v>868</v>
      </c>
      <c r="H948" s="17" t="s">
        <v>3598</v>
      </c>
      <c r="I948" s="17" t="s">
        <v>4469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customHeight="1">
      <c r="A949">
        <v>2515</v>
      </c>
      <c r="B949">
        <f>IF(表1[[#This Row],[不调整offset]]="x",IFERROR(VLOOKUP(表1[[#This Row],[8:image]],常量!J:N,4,FALSE),0),0)</f>
        <v>0</v>
      </c>
      <c r="C949">
        <f>IF(表1[[#This Row],[不调整offset]]="x",IFERROR(VLOOKUP(表1[[#This Row],[8:image]],常量!J:N,5,FALSE),0),0)</f>
        <v>0</v>
      </c>
      <c r="E949">
        <v>0.5</v>
      </c>
      <c r="F949">
        <v>6</v>
      </c>
      <c r="G949" s="1" t="s">
        <v>869</v>
      </c>
      <c r="H949" s="16" t="s">
        <v>3599</v>
      </c>
      <c r="I949" s="16" t="s">
        <v>4470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customHeight="1">
      <c r="A950">
        <v>2516</v>
      </c>
      <c r="B950">
        <f>IF(表1[[#This Row],[不调整offset]]="x",IFERROR(VLOOKUP(表1[[#This Row],[8:image]],常量!J:N,4,FALSE),0),0)</f>
        <v>0</v>
      </c>
      <c r="C950">
        <f>IF(表1[[#This Row],[不调整offset]]="x",IFERROR(VLOOKUP(表1[[#This Row],[8:image]],常量!J:N,5,FALSE),0),0)</f>
        <v>0</v>
      </c>
      <c r="E950">
        <v>0.5</v>
      </c>
      <c r="F950">
        <v>6</v>
      </c>
      <c r="G950" s="1" t="s">
        <v>870</v>
      </c>
      <c r="H950" s="17" t="s">
        <v>3600</v>
      </c>
      <c r="I950" s="17" t="s">
        <v>4471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customHeight="1">
      <c r="A951">
        <v>2517</v>
      </c>
      <c r="B951">
        <f>IF(表1[[#This Row],[不调整offset]]="x",IFERROR(VLOOKUP(表1[[#This Row],[8:image]],常量!J:N,4,FALSE),0),0)</f>
        <v>0</v>
      </c>
      <c r="C951">
        <f>IF(表1[[#This Row],[不调整offset]]="x",IFERROR(VLOOKUP(表1[[#This Row],[8:image]],常量!J:N,5,FALSE),0),0)</f>
        <v>0</v>
      </c>
      <c r="E951">
        <v>0.5</v>
      </c>
      <c r="F951">
        <v>6</v>
      </c>
      <c r="G951" s="1" t="s">
        <v>871</v>
      </c>
      <c r="H951" s="16" t="s">
        <v>3601</v>
      </c>
      <c r="I951" s="16" t="s">
        <v>4472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customHeight="1">
      <c r="A952">
        <v>2518</v>
      </c>
      <c r="B952">
        <f>IF(表1[[#This Row],[不调整offset]]="x",IFERROR(VLOOKUP(表1[[#This Row],[8:image]],常量!J:N,4,FALSE),0),0)</f>
        <v>0</v>
      </c>
      <c r="C952">
        <f>IF(表1[[#This Row],[不调整offset]]="x",IFERROR(VLOOKUP(表1[[#This Row],[8:image]],常量!J:N,5,FALSE),0),0)</f>
        <v>0</v>
      </c>
      <c r="E952">
        <v>0.5</v>
      </c>
      <c r="F952">
        <v>6</v>
      </c>
      <c r="G952" s="1" t="s">
        <v>872</v>
      </c>
      <c r="H952" s="17" t="s">
        <v>3602</v>
      </c>
      <c r="I952" s="17" t="s">
        <v>4473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customHeight="1">
      <c r="A953">
        <v>2519</v>
      </c>
      <c r="B953">
        <f>IF(表1[[#This Row],[不调整offset]]="x",IFERROR(VLOOKUP(表1[[#This Row],[8:image]],常量!J:N,4,FALSE),0),0)</f>
        <v>0</v>
      </c>
      <c r="C953">
        <f>IF(表1[[#This Row],[不调整offset]]="x",IFERROR(VLOOKUP(表1[[#This Row],[8:image]],常量!J:N,5,FALSE),0),0)</f>
        <v>0</v>
      </c>
      <c r="E953">
        <v>0.5</v>
      </c>
      <c r="F953">
        <v>6</v>
      </c>
      <c r="G953" s="1" t="s">
        <v>873</v>
      </c>
      <c r="H953" s="17" t="s">
        <v>3603</v>
      </c>
      <c r="I953" s="17" t="s">
        <v>4474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customHeight="1">
      <c r="A954">
        <v>2520</v>
      </c>
      <c r="B954">
        <f>IF(表1[[#This Row],[不调整offset]]="x",IFERROR(VLOOKUP(表1[[#This Row],[8:image]],常量!J:N,4,FALSE),0),0)</f>
        <v>0</v>
      </c>
      <c r="C954">
        <f>IF(表1[[#This Row],[不调整offset]]="x",IFERROR(VLOOKUP(表1[[#This Row],[8:image]],常量!J:N,5,FALSE),0),0)</f>
        <v>0</v>
      </c>
      <c r="E954">
        <v>0.5</v>
      </c>
      <c r="F954">
        <v>6</v>
      </c>
      <c r="G954" s="1" t="s">
        <v>874</v>
      </c>
      <c r="H954" s="17" t="s">
        <v>3604</v>
      </c>
      <c r="I954" s="17" t="s">
        <v>4475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customHeight="1">
      <c r="A955">
        <v>2521</v>
      </c>
      <c r="B955">
        <f>IF(表1[[#This Row],[不调整offset]]="x",IFERROR(VLOOKUP(表1[[#This Row],[8:image]],常量!J:N,4,FALSE),0),0)</f>
        <v>0</v>
      </c>
      <c r="C955">
        <f>IF(表1[[#This Row],[不调整offset]]="x",IFERROR(VLOOKUP(表1[[#This Row],[8:image]],常量!J:N,5,FALSE),0),0)</f>
        <v>0</v>
      </c>
      <c r="E955">
        <v>0.5</v>
      </c>
      <c r="F955">
        <v>6</v>
      </c>
      <c r="G955" s="1" t="s">
        <v>875</v>
      </c>
      <c r="H955" s="17" t="s">
        <v>3605</v>
      </c>
      <c r="I955" s="17" t="s">
        <v>4476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customHeight="1">
      <c r="A956">
        <v>2522</v>
      </c>
      <c r="B956">
        <f>IF(表1[[#This Row],[不调整offset]]="x",IFERROR(VLOOKUP(表1[[#This Row],[8:image]],常量!J:N,4,FALSE),0),0)</f>
        <v>0</v>
      </c>
      <c r="C956">
        <f>IF(表1[[#This Row],[不调整offset]]="x",IFERROR(VLOOKUP(表1[[#This Row],[8:image]],常量!J:N,5,FALSE),0),0)</f>
        <v>0</v>
      </c>
      <c r="E956">
        <v>0.5</v>
      </c>
      <c r="F956">
        <v>6</v>
      </c>
      <c r="G956" s="1" t="s">
        <v>876</v>
      </c>
      <c r="H956" s="17" t="s">
        <v>3606</v>
      </c>
      <c r="I956" s="17" t="s">
        <v>4477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customHeight="1">
      <c r="A957">
        <v>2523</v>
      </c>
      <c r="B957">
        <f>IF(表1[[#This Row],[不调整offset]]="x",IFERROR(VLOOKUP(表1[[#This Row],[8:image]],常量!J:N,4,FALSE),0),0)</f>
        <v>0</v>
      </c>
      <c r="C957">
        <f>IF(表1[[#This Row],[不调整offset]]="x",IFERROR(VLOOKUP(表1[[#This Row],[8:image]],常量!J:N,5,FALSE),0),0)</f>
        <v>0</v>
      </c>
      <c r="E957">
        <v>0.5</v>
      </c>
      <c r="F957">
        <v>6</v>
      </c>
      <c r="G957" s="1" t="s">
        <v>877</v>
      </c>
      <c r="H957" s="17" t="s">
        <v>3607</v>
      </c>
      <c r="I957" s="17" t="s">
        <v>4478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customHeight="1">
      <c r="A958">
        <v>2524</v>
      </c>
      <c r="B958">
        <f>IF(表1[[#This Row],[不调整offset]]="x",IFERROR(VLOOKUP(表1[[#This Row],[8:image]],常量!J:N,4,FALSE),0),0)</f>
        <v>0</v>
      </c>
      <c r="C958">
        <f>IF(表1[[#This Row],[不调整offset]]="x",IFERROR(VLOOKUP(表1[[#This Row],[8:image]],常量!J:N,5,FALSE),0),0)</f>
        <v>0</v>
      </c>
      <c r="E958">
        <v>0.5</v>
      </c>
      <c r="F958">
        <v>6</v>
      </c>
      <c r="G958" s="1" t="s">
        <v>878</v>
      </c>
      <c r="H958" s="17" t="s">
        <v>3608</v>
      </c>
      <c r="I958" s="17" t="s">
        <v>4479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customHeight="1">
      <c r="A959">
        <v>2525</v>
      </c>
      <c r="B959">
        <f>IF(表1[[#This Row],[不调整offset]]="x",IFERROR(VLOOKUP(表1[[#This Row],[8:image]],常量!J:N,4,FALSE),0),0)</f>
        <v>0</v>
      </c>
      <c r="C959">
        <f>IF(表1[[#This Row],[不调整offset]]="x",IFERROR(VLOOKUP(表1[[#This Row],[8:image]],常量!J:N,5,FALSE),0),0)</f>
        <v>0</v>
      </c>
      <c r="E959">
        <v>0.5</v>
      </c>
      <c r="F959">
        <v>6</v>
      </c>
      <c r="G959" s="1" t="s">
        <v>879</v>
      </c>
      <c r="H959" s="17" t="s">
        <v>3609</v>
      </c>
      <c r="I959" s="17" t="s">
        <v>4480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customHeight="1">
      <c r="A960">
        <v>2526</v>
      </c>
      <c r="B960">
        <f>IF(表1[[#This Row],[不调整offset]]="x",IFERROR(VLOOKUP(表1[[#This Row],[8:image]],常量!J:N,4,FALSE),0),0)</f>
        <v>0</v>
      </c>
      <c r="C960">
        <f>IF(表1[[#This Row],[不调整offset]]="x",IFERROR(VLOOKUP(表1[[#This Row],[8:image]],常量!J:N,5,FALSE),0),0)</f>
        <v>0</v>
      </c>
      <c r="E960">
        <v>0.7</v>
      </c>
      <c r="F960">
        <v>6</v>
      </c>
      <c r="G960" s="1" t="s">
        <v>689</v>
      </c>
      <c r="H960" s="17" t="s">
        <v>3610</v>
      </c>
      <c r="I960" s="17" t="s">
        <v>4481</v>
      </c>
      <c r="J960" s="15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customHeight="1">
      <c r="A961">
        <v>2527</v>
      </c>
      <c r="B961">
        <f>IF(表1[[#This Row],[不调整offset]]="x",IFERROR(VLOOKUP(表1[[#This Row],[8:image]],常量!J:N,4,FALSE),0),0)</f>
        <v>0</v>
      </c>
      <c r="C961">
        <f>IF(表1[[#This Row],[不调整offset]]="x",IFERROR(VLOOKUP(表1[[#This Row],[8:image]],常量!J:N,5,FALSE),0),0)</f>
        <v>0</v>
      </c>
      <c r="E961">
        <v>0.7</v>
      </c>
      <c r="F961">
        <v>6</v>
      </c>
      <c r="G961" s="1" t="s">
        <v>690</v>
      </c>
      <c r="H961" s="17" t="s">
        <v>3611</v>
      </c>
      <c r="I961" s="17" t="s">
        <v>4482</v>
      </c>
      <c r="J961" s="15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customHeight="1">
      <c r="A962">
        <v>2528</v>
      </c>
      <c r="B962">
        <f>IF(表1[[#This Row],[不调整offset]]="x",IFERROR(VLOOKUP(表1[[#This Row],[8:image]],常量!J:N,4,FALSE),0),0)</f>
        <v>0</v>
      </c>
      <c r="C962">
        <f>IF(表1[[#This Row],[不调整offset]]="x",IFERROR(VLOOKUP(表1[[#This Row],[8:image]],常量!J:N,5,FALSE),0),0)</f>
        <v>0</v>
      </c>
      <c r="E962">
        <v>0.7</v>
      </c>
      <c r="F962">
        <v>6</v>
      </c>
      <c r="G962" s="1" t="s">
        <v>691</v>
      </c>
      <c r="H962" s="17" t="s">
        <v>3612</v>
      </c>
      <c r="I962" s="17" t="s">
        <v>4483</v>
      </c>
      <c r="J962" s="15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962" s="5" t="s">
        <v>1282</v>
      </c>
    </row>
    <row r="963" spans="1:16" ht="14.25" customHeight="1">
      <c r="A963">
        <v>2529</v>
      </c>
      <c r="B963">
        <f>IF(表1[[#This Row],[不调整offset]]="x",IFERROR(VLOOKUP(表1[[#This Row],[8:image]],常量!J:N,4,FALSE),0),0)</f>
        <v>0</v>
      </c>
      <c r="C963">
        <f>IF(表1[[#This Row],[不调整offset]]="x",IFERROR(VLOOKUP(表1[[#This Row],[8:image]],常量!J:N,5,FALSE),0),0)</f>
        <v>0</v>
      </c>
      <c r="E963">
        <v>0.7</v>
      </c>
      <c r="F963">
        <v>6</v>
      </c>
      <c r="G963" s="1" t="s">
        <v>692</v>
      </c>
      <c r="H963" s="17" t="s">
        <v>3613</v>
      </c>
      <c r="I963" s="17" t="s">
        <v>4484</v>
      </c>
      <c r="J963" s="15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customHeight="1">
      <c r="A964">
        <v>2530</v>
      </c>
      <c r="B964">
        <f>IF(表1[[#This Row],[不调整offset]]="x",IFERROR(VLOOKUP(表1[[#This Row],[8:image]],常量!J:N,4,FALSE),0),0)</f>
        <v>0</v>
      </c>
      <c r="C964">
        <f>IF(表1[[#This Row],[不调整offset]]="x",IFERROR(VLOOKUP(表1[[#This Row],[8:image]],常量!J:N,5,FALSE),0),0)</f>
        <v>0</v>
      </c>
      <c r="E964">
        <v>0.5</v>
      </c>
      <c r="F964">
        <v>6</v>
      </c>
      <c r="G964" s="1" t="s">
        <v>880</v>
      </c>
      <c r="H964" s="17" t="s">
        <v>3614</v>
      </c>
      <c r="I964" s="17" t="s">
        <v>4485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customHeight="1">
      <c r="A965">
        <v>2531</v>
      </c>
      <c r="B965">
        <f>IF(表1[[#This Row],[不调整offset]]="x",IFERROR(VLOOKUP(表1[[#This Row],[8:image]],常量!J:N,4,FALSE),0),0)</f>
        <v>0</v>
      </c>
      <c r="C965">
        <f>IF(表1[[#This Row],[不调整offset]]="x",IFERROR(VLOOKUP(表1[[#This Row],[8:image]],常量!J:N,5,FALSE),0),0)</f>
        <v>0</v>
      </c>
      <c r="E965">
        <v>0.7</v>
      </c>
      <c r="F965">
        <v>6</v>
      </c>
      <c r="G965" s="1" t="s">
        <v>881</v>
      </c>
      <c r="H965" s="17" t="s">
        <v>3615</v>
      </c>
      <c r="I965" s="17" t="s">
        <v>4486</v>
      </c>
      <c r="J965" s="1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customHeight="1">
      <c r="A966">
        <v>2532</v>
      </c>
      <c r="B966">
        <f>IF(表1[[#This Row],[不调整offset]]="x",IFERROR(VLOOKUP(表1[[#This Row],[8:image]],常量!J:N,4,FALSE),0),0)</f>
        <v>0</v>
      </c>
      <c r="C966">
        <f>IF(表1[[#This Row],[不调整offset]]="x",IFERROR(VLOOKUP(表1[[#This Row],[8:image]],常量!J:N,5,FALSE),0),0)</f>
        <v>0</v>
      </c>
      <c r="E966">
        <v>0.7</v>
      </c>
      <c r="F966">
        <v>6</v>
      </c>
      <c r="G966" s="1" t="s">
        <v>882</v>
      </c>
      <c r="H966" s="17" t="s">
        <v>3616</v>
      </c>
      <c r="I966" s="17" t="s">
        <v>4487</v>
      </c>
      <c r="J966" s="15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customHeight="1">
      <c r="A967">
        <v>2533</v>
      </c>
      <c r="B967">
        <f>IF(表1[[#This Row],[不调整offset]]="x",IFERROR(VLOOKUP(表1[[#This Row],[8:image]],常量!J:N,4,FALSE),0),0)</f>
        <v>0</v>
      </c>
      <c r="C967">
        <f>IF(表1[[#This Row],[不调整offset]]="x",IFERROR(VLOOKUP(表1[[#This Row],[8:image]],常量!J:N,5,FALSE),0),0)</f>
        <v>0</v>
      </c>
      <c r="E967">
        <v>0.7</v>
      </c>
      <c r="F967">
        <v>6</v>
      </c>
      <c r="G967" s="1" t="s">
        <v>883</v>
      </c>
      <c r="H967" s="17" t="s">
        <v>3617</v>
      </c>
      <c r="I967" s="17" t="s">
        <v>4488</v>
      </c>
      <c r="J967" s="15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customHeight="1">
      <c r="A968">
        <v>2534</v>
      </c>
      <c r="B968">
        <f>IF(表1[[#This Row],[不调整offset]]="x",IFERROR(VLOOKUP(表1[[#This Row],[8:image]],常量!J:N,4,FALSE),0),0)</f>
        <v>0</v>
      </c>
      <c r="C968">
        <f>IF(表1[[#This Row],[不调整offset]]="x",IFERROR(VLOOKUP(表1[[#This Row],[8:image]],常量!J:N,5,FALSE),0),0)</f>
        <v>0</v>
      </c>
      <c r="E968">
        <v>0.7</v>
      </c>
      <c r="F968">
        <v>6</v>
      </c>
      <c r="G968" s="1" t="s">
        <v>884</v>
      </c>
      <c r="H968" s="17" t="s">
        <v>3618</v>
      </c>
      <c r="I968" s="17" t="s">
        <v>4489</v>
      </c>
      <c r="J968" s="15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customHeight="1">
      <c r="A969">
        <v>2535</v>
      </c>
      <c r="B969">
        <f>IF(表1[[#This Row],[不调整offset]]="x",IFERROR(VLOOKUP(表1[[#This Row],[8:image]],常量!J:N,4,FALSE),0),0)</f>
        <v>0</v>
      </c>
      <c r="C969">
        <f>IF(表1[[#This Row],[不调整offset]]="x",IFERROR(VLOOKUP(表1[[#This Row],[8:image]],常量!J:N,5,FALSE),0),0)</f>
        <v>0</v>
      </c>
      <c r="E969">
        <v>0.7</v>
      </c>
      <c r="F969">
        <v>6</v>
      </c>
      <c r="G969" s="1" t="s">
        <v>885</v>
      </c>
      <c r="H969" s="17" t="s">
        <v>3619</v>
      </c>
      <c r="I969" s="17" t="s">
        <v>4490</v>
      </c>
      <c r="J969" s="15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customHeight="1">
      <c r="A970">
        <v>2536</v>
      </c>
      <c r="B970">
        <f>IF(表1[[#This Row],[不调整offset]]="x",IFERROR(VLOOKUP(表1[[#This Row],[8:image]],常量!J:N,4,FALSE),0),0)</f>
        <v>0</v>
      </c>
      <c r="C970">
        <f>IF(表1[[#This Row],[不调整offset]]="x",IFERROR(VLOOKUP(表1[[#This Row],[8:image]],常量!J:N,5,FALSE),0),0)</f>
        <v>0</v>
      </c>
      <c r="E970">
        <v>0.7</v>
      </c>
      <c r="F970">
        <v>6</v>
      </c>
      <c r="G970" s="1" t="s">
        <v>886</v>
      </c>
      <c r="H970" s="17" t="s">
        <v>3620</v>
      </c>
      <c r="I970" s="17" t="s">
        <v>4491</v>
      </c>
      <c r="J970" s="15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customHeight="1">
      <c r="A971">
        <v>2537</v>
      </c>
      <c r="B971">
        <f>IF(表1[[#This Row],[不调整offset]]="x",IFERROR(VLOOKUP(表1[[#This Row],[8:image]],常量!J:N,4,FALSE),0),0)</f>
        <v>0</v>
      </c>
      <c r="C971">
        <f>IF(表1[[#This Row],[不调整offset]]="x",IFERROR(VLOOKUP(表1[[#This Row],[8:image]],常量!J:N,5,FALSE),0),0)</f>
        <v>0</v>
      </c>
      <c r="E971">
        <v>0.7</v>
      </c>
      <c r="F971">
        <v>6</v>
      </c>
      <c r="G971" s="1" t="s">
        <v>887</v>
      </c>
      <c r="H971" s="17" t="s">
        <v>3621</v>
      </c>
      <c r="I971" s="17" t="s">
        <v>4492</v>
      </c>
      <c r="J971" s="15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customHeight="1">
      <c r="A972">
        <v>2538</v>
      </c>
      <c r="B972">
        <f>IF(表1[[#This Row],[不调整offset]]="x",IFERROR(VLOOKUP(表1[[#This Row],[8:image]],常量!J:N,4,FALSE),0),0)</f>
        <v>0</v>
      </c>
      <c r="C972">
        <f>IF(表1[[#This Row],[不调整offset]]="x",IFERROR(VLOOKUP(表1[[#This Row],[8:image]],常量!J:N,5,FALSE),0),0)</f>
        <v>0</v>
      </c>
      <c r="E972">
        <v>0.5</v>
      </c>
      <c r="F972">
        <v>6</v>
      </c>
      <c r="G972" s="1" t="s">
        <v>888</v>
      </c>
      <c r="H972" s="17" t="s">
        <v>3622</v>
      </c>
      <c r="I972" s="17" t="s">
        <v>4493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customHeight="1">
      <c r="A973">
        <v>2539</v>
      </c>
      <c r="B973">
        <f>IF(表1[[#This Row],[不调整offset]]="x",IFERROR(VLOOKUP(表1[[#This Row],[8:image]],常量!J:N,4,FALSE),0),0)</f>
        <v>0</v>
      </c>
      <c r="C973">
        <f>IF(表1[[#This Row],[不调整offset]]="x",IFERROR(VLOOKUP(表1[[#This Row],[8:image]],常量!J:N,5,FALSE),0),0)</f>
        <v>0</v>
      </c>
      <c r="E973">
        <v>0.5</v>
      </c>
      <c r="F973">
        <v>6</v>
      </c>
      <c r="G973" s="1" t="s">
        <v>889</v>
      </c>
      <c r="H973" s="17" t="s">
        <v>3623</v>
      </c>
      <c r="I973" s="17" t="s">
        <v>4494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customHeight="1">
      <c r="A974">
        <v>2540</v>
      </c>
      <c r="B974">
        <f>IF(表1[[#This Row],[不调整offset]]="x",IFERROR(VLOOKUP(表1[[#This Row],[8:image]],常量!J:N,4,FALSE),0),0)</f>
        <v>0</v>
      </c>
      <c r="C974">
        <f>IF(表1[[#This Row],[不调整offset]]="x",IFERROR(VLOOKUP(表1[[#This Row],[8:image]],常量!J:N,5,FALSE),0),0)</f>
        <v>0</v>
      </c>
      <c r="E974">
        <v>0.5</v>
      </c>
      <c r="F974">
        <v>6</v>
      </c>
      <c r="G974" s="1" t="s">
        <v>890</v>
      </c>
      <c r="H974" s="17" t="s">
        <v>3624</v>
      </c>
      <c r="I974" s="17" t="s">
        <v>4495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customHeight="1">
      <c r="A975">
        <v>2541</v>
      </c>
      <c r="B975">
        <f>IF(表1[[#This Row],[不调整offset]]="x",IFERROR(VLOOKUP(表1[[#This Row],[8:image]],常量!J:N,4,FALSE),0),0)</f>
        <v>0</v>
      </c>
      <c r="C975">
        <f>IF(表1[[#This Row],[不调整offset]]="x",IFERROR(VLOOKUP(表1[[#This Row],[8:image]],常量!J:N,5,FALSE),0),0)</f>
        <v>0</v>
      </c>
      <c r="E975">
        <v>0.5</v>
      </c>
      <c r="F975">
        <v>6</v>
      </c>
      <c r="G975" s="1" t="s">
        <v>891</v>
      </c>
      <c r="H975" s="17" t="s">
        <v>3625</v>
      </c>
      <c r="I975" s="17" t="s">
        <v>4496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customHeight="1">
      <c r="A976">
        <v>2542</v>
      </c>
      <c r="B976">
        <f>IF(表1[[#This Row],[不调整offset]]="x",IFERROR(VLOOKUP(表1[[#This Row],[8:image]],常量!J:N,4,FALSE),0),0)</f>
        <v>0</v>
      </c>
      <c r="C976">
        <f>IF(表1[[#This Row],[不调整offset]]="x",IFERROR(VLOOKUP(表1[[#This Row],[8:image]],常量!J:N,5,FALSE),0),0)</f>
        <v>0</v>
      </c>
      <c r="E976">
        <v>0.5</v>
      </c>
      <c r="F976">
        <v>6</v>
      </c>
      <c r="G976" s="1" t="s">
        <v>892</v>
      </c>
      <c r="H976" s="17" t="s">
        <v>3626</v>
      </c>
      <c r="I976" s="17" t="s">
        <v>4497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customHeight="1">
      <c r="A977">
        <v>2543</v>
      </c>
      <c r="B977">
        <f>IF(表1[[#This Row],[不调整offset]]="x",IFERROR(VLOOKUP(表1[[#This Row],[8:image]],常量!J:N,4,FALSE),0),0)</f>
        <v>0</v>
      </c>
      <c r="C977">
        <f>IF(表1[[#This Row],[不调整offset]]="x",IFERROR(VLOOKUP(表1[[#This Row],[8:image]],常量!J:N,5,FALSE),0),0)</f>
        <v>0</v>
      </c>
      <c r="E977">
        <v>0.5</v>
      </c>
      <c r="F977">
        <v>6</v>
      </c>
      <c r="G977" s="1" t="s">
        <v>893</v>
      </c>
      <c r="H977" s="17" t="s">
        <v>3627</v>
      </c>
      <c r="I977" s="17" t="s">
        <v>4498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customHeight="1">
      <c r="A978">
        <v>2544</v>
      </c>
      <c r="B978">
        <f>IF(表1[[#This Row],[不调整offset]]="x",IFERROR(VLOOKUP(表1[[#This Row],[8:image]],常量!J:N,4,FALSE),0),0)</f>
        <v>0</v>
      </c>
      <c r="C978">
        <f>IF(表1[[#This Row],[不调整offset]]="x",IFERROR(VLOOKUP(表1[[#This Row],[8:image]],常量!J:N,5,FALSE),0),0)</f>
        <v>0</v>
      </c>
      <c r="E978">
        <v>0.5</v>
      </c>
      <c r="F978">
        <v>6</v>
      </c>
      <c r="G978" s="1" t="s">
        <v>894</v>
      </c>
      <c r="H978" s="17" t="s">
        <v>3628</v>
      </c>
      <c r="I978" s="17" t="s">
        <v>4499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customHeight="1">
      <c r="A979">
        <v>2545</v>
      </c>
      <c r="B979">
        <f>IF(表1[[#This Row],[不调整offset]]="x",IFERROR(VLOOKUP(表1[[#This Row],[8:image]],常量!J:N,4,FALSE),0),0)</f>
        <v>0</v>
      </c>
      <c r="C979">
        <f>IF(表1[[#This Row],[不调整offset]]="x",IFERROR(VLOOKUP(表1[[#This Row],[8:image]],常量!J:N,5,FALSE),0),0)</f>
        <v>0</v>
      </c>
      <c r="E979">
        <v>0.5</v>
      </c>
      <c r="F979">
        <v>6</v>
      </c>
      <c r="G979" s="1" t="s">
        <v>895</v>
      </c>
      <c r="H979" s="17" t="s">
        <v>3629</v>
      </c>
      <c r="I979" s="17" t="s">
        <v>4500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customHeight="1">
      <c r="A980">
        <v>2546</v>
      </c>
      <c r="B980">
        <f>IF(表1[[#This Row],[不调整offset]]="x",IFERROR(VLOOKUP(表1[[#This Row],[8:image]],常量!J:N,4,FALSE),0),0)</f>
        <v>0</v>
      </c>
      <c r="C980">
        <f>IF(表1[[#This Row],[不调整offset]]="x",IFERROR(VLOOKUP(表1[[#This Row],[8:image]],常量!J:N,5,FALSE),0),0)</f>
        <v>0</v>
      </c>
      <c r="E980">
        <v>0.5</v>
      </c>
      <c r="F980">
        <v>6</v>
      </c>
      <c r="G980" s="1" t="s">
        <v>896</v>
      </c>
      <c r="H980" s="17" t="s">
        <v>3630</v>
      </c>
      <c r="I980" s="17" t="s">
        <v>4501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customHeight="1">
      <c r="A981">
        <v>2547</v>
      </c>
      <c r="B981">
        <f>IF(表1[[#This Row],[不调整offset]]="x",IFERROR(VLOOKUP(表1[[#This Row],[8:image]],常量!J:N,4,FALSE),0),0)</f>
        <v>0</v>
      </c>
      <c r="C981">
        <f>IF(表1[[#This Row],[不调整offset]]="x",IFERROR(VLOOKUP(表1[[#This Row],[8:image]],常量!J:N,5,FALSE),0),0)</f>
        <v>0</v>
      </c>
      <c r="E981">
        <v>0.5</v>
      </c>
      <c r="F981">
        <v>6</v>
      </c>
      <c r="G981" s="1" t="s">
        <v>897</v>
      </c>
      <c r="H981" s="17" t="s">
        <v>3631</v>
      </c>
      <c r="I981" s="17" t="s">
        <v>4502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customHeight="1">
      <c r="A982">
        <v>2548</v>
      </c>
      <c r="B982">
        <f>IF(表1[[#This Row],[不调整offset]]="x",IFERROR(VLOOKUP(表1[[#This Row],[8:image]],常量!J:N,4,FALSE),0),0)</f>
        <v>0</v>
      </c>
      <c r="C982">
        <f>IF(表1[[#This Row],[不调整offset]]="x",IFERROR(VLOOKUP(表1[[#This Row],[8:image]],常量!J:N,5,FALSE),0),0)</f>
        <v>0</v>
      </c>
      <c r="E982">
        <v>0.5</v>
      </c>
      <c r="F982">
        <v>6</v>
      </c>
      <c r="G982" s="1" t="s">
        <v>898</v>
      </c>
      <c r="H982" s="17" t="s">
        <v>3632</v>
      </c>
      <c r="I982" s="17" t="s">
        <v>4503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customHeight="1">
      <c r="A983">
        <v>2549</v>
      </c>
      <c r="B983">
        <f>IF(表1[[#This Row],[不调整offset]]="x",IFERROR(VLOOKUP(表1[[#This Row],[8:image]],常量!J:N,4,FALSE),0),0)</f>
        <v>0</v>
      </c>
      <c r="C983">
        <f>IF(表1[[#This Row],[不调整offset]]="x",IFERROR(VLOOKUP(表1[[#This Row],[8:image]],常量!J:N,5,FALSE),0),0)</f>
        <v>0</v>
      </c>
      <c r="E983">
        <v>0.5</v>
      </c>
      <c r="F983">
        <v>6</v>
      </c>
      <c r="G983" s="1" t="s">
        <v>899</v>
      </c>
      <c r="H983" s="17" t="s">
        <v>3633</v>
      </c>
      <c r="I983" s="17" t="s">
        <v>4504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customHeight="1">
      <c r="A984">
        <v>2550</v>
      </c>
      <c r="B984">
        <f>IF(表1[[#This Row],[不调整offset]]="x",IFERROR(VLOOKUP(表1[[#This Row],[8:image]],常量!J:N,4,FALSE),0),0)</f>
        <v>0</v>
      </c>
      <c r="C984">
        <f>IF(表1[[#This Row],[不调整offset]]="x",IFERROR(VLOOKUP(表1[[#This Row],[8:image]],常量!J:N,5,FALSE),0),0)</f>
        <v>0</v>
      </c>
      <c r="E984">
        <v>0.8</v>
      </c>
      <c r="F984">
        <v>6</v>
      </c>
      <c r="G984" s="1" t="s">
        <v>839</v>
      </c>
      <c r="H984" s="17" t="s">
        <v>3634</v>
      </c>
      <c r="I984" s="17" t="s">
        <v>4505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customHeight="1">
      <c r="A985">
        <v>2551</v>
      </c>
      <c r="B985">
        <f>IF(表1[[#This Row],[不调整offset]]="x",IFERROR(VLOOKUP(表1[[#This Row],[8:image]],常量!J:N,4,FALSE),0),0)</f>
        <v>0</v>
      </c>
      <c r="C985">
        <f>IF(表1[[#This Row],[不调整offset]]="x",IFERROR(VLOOKUP(表1[[#This Row],[8:image]],常量!J:N,5,FALSE),0),0)</f>
        <v>0</v>
      </c>
      <c r="E985">
        <v>0.5</v>
      </c>
      <c r="F985">
        <v>6</v>
      </c>
      <c r="G985" s="1" t="s">
        <v>900</v>
      </c>
      <c r="H985" s="17" t="s">
        <v>3635</v>
      </c>
      <c r="I985" s="17" t="s">
        <v>4506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customHeight="1">
      <c r="A986">
        <v>2552</v>
      </c>
      <c r="B986">
        <f>IF(表1[[#This Row],[不调整offset]]="x",IFERROR(VLOOKUP(表1[[#This Row],[8:image]],常量!J:N,4,FALSE),0),0)</f>
        <v>0</v>
      </c>
      <c r="C986">
        <f>IF(表1[[#This Row],[不调整offset]]="x",IFERROR(VLOOKUP(表1[[#This Row],[8:image]],常量!J:N,5,FALSE),0),0)</f>
        <v>0</v>
      </c>
      <c r="E986">
        <v>0.5</v>
      </c>
      <c r="F986">
        <v>6</v>
      </c>
      <c r="G986" s="1" t="s">
        <v>901</v>
      </c>
      <c r="H986" s="17" t="s">
        <v>3636</v>
      </c>
      <c r="I986" s="17" t="s">
        <v>4507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customHeight="1">
      <c r="A987">
        <v>2553</v>
      </c>
      <c r="B987">
        <f>IF(表1[[#This Row],[不调整offset]]="x",IFERROR(VLOOKUP(表1[[#This Row],[8:image]],常量!J:N,4,FALSE),0),0)</f>
        <v>0</v>
      </c>
      <c r="C987">
        <f>IF(表1[[#This Row],[不调整offset]]="x",IFERROR(VLOOKUP(表1[[#This Row],[8:image]],常量!J:N,5,FALSE),0),0)</f>
        <v>0</v>
      </c>
      <c r="E987">
        <v>0.5</v>
      </c>
      <c r="F987">
        <v>6</v>
      </c>
      <c r="G987" s="1" t="s">
        <v>902</v>
      </c>
      <c r="H987" s="17" t="s">
        <v>3637</v>
      </c>
      <c r="I987" s="17" t="s">
        <v>4508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customHeight="1">
      <c r="A988">
        <v>2554</v>
      </c>
      <c r="B988">
        <f>IF(表1[[#This Row],[不调整offset]]="x",IFERROR(VLOOKUP(表1[[#This Row],[8:image]],常量!J:N,4,FALSE),0),0)</f>
        <v>0</v>
      </c>
      <c r="C988">
        <f>IF(表1[[#This Row],[不调整offset]]="x",IFERROR(VLOOKUP(表1[[#This Row],[8:image]],常量!J:N,5,FALSE),0),0)</f>
        <v>0</v>
      </c>
      <c r="E988">
        <v>0.5</v>
      </c>
      <c r="F988">
        <v>6</v>
      </c>
      <c r="G988" s="1" t="s">
        <v>903</v>
      </c>
      <c r="H988" s="17" t="s">
        <v>3638</v>
      </c>
      <c r="I988" s="17" t="s">
        <v>4509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customHeight="1">
      <c r="A989">
        <v>2555</v>
      </c>
      <c r="B989">
        <f>IF(表1[[#This Row],[不调整offset]]="x",IFERROR(VLOOKUP(表1[[#This Row],[8:image]],常量!J:N,4,FALSE),0),0)</f>
        <v>0</v>
      </c>
      <c r="C989">
        <f>IF(表1[[#This Row],[不调整offset]]="x",IFERROR(VLOOKUP(表1[[#This Row],[8:image]],常量!J:N,5,FALSE),0),0)</f>
        <v>0</v>
      </c>
      <c r="E989">
        <v>0.5</v>
      </c>
      <c r="F989">
        <v>6</v>
      </c>
      <c r="G989" s="1" t="s">
        <v>904</v>
      </c>
      <c r="H989" s="17" t="s">
        <v>3639</v>
      </c>
      <c r="I989" s="17" t="s">
        <v>4510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customHeight="1">
      <c r="A990">
        <v>2556</v>
      </c>
      <c r="B990">
        <f>IF(表1[[#This Row],[不调整offset]]="x",IFERROR(VLOOKUP(表1[[#This Row],[8:image]],常量!J:N,4,FALSE),0),0)</f>
        <v>0</v>
      </c>
      <c r="C990">
        <f>IF(表1[[#This Row],[不调整offset]]="x",IFERROR(VLOOKUP(表1[[#This Row],[8:image]],常量!J:N,5,FALSE),0),0)</f>
        <v>0</v>
      </c>
      <c r="E990">
        <v>0.5</v>
      </c>
      <c r="F990">
        <v>6</v>
      </c>
      <c r="G990" s="1" t="s">
        <v>905</v>
      </c>
      <c r="H990" s="17" t="s">
        <v>3640</v>
      </c>
      <c r="I990" s="17" t="s">
        <v>4511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customHeight="1">
      <c r="A991">
        <v>2557</v>
      </c>
      <c r="B991">
        <f>IF(表1[[#This Row],[不调整offset]]="x",IFERROR(VLOOKUP(表1[[#This Row],[8:image]],常量!J:N,4,FALSE),0),0)</f>
        <v>0</v>
      </c>
      <c r="C991">
        <f>IF(表1[[#This Row],[不调整offset]]="x",IFERROR(VLOOKUP(表1[[#This Row],[8:image]],常量!J:N,5,FALSE),0),0)</f>
        <v>0</v>
      </c>
      <c r="E991">
        <v>0.5</v>
      </c>
      <c r="F991">
        <v>6</v>
      </c>
      <c r="G991" s="1" t="s">
        <v>906</v>
      </c>
      <c r="H991" s="17" t="s">
        <v>3641</v>
      </c>
      <c r="I991" s="17" t="s">
        <v>4512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customHeight="1">
      <c r="A992">
        <v>2558</v>
      </c>
      <c r="B992">
        <f>IF(表1[[#This Row],[不调整offset]]="x",IFERROR(VLOOKUP(表1[[#This Row],[8:image]],常量!J:N,4,FALSE),0),0)</f>
        <v>0</v>
      </c>
      <c r="C992">
        <f>IF(表1[[#This Row],[不调整offset]]="x",IFERROR(VLOOKUP(表1[[#This Row],[8:image]],常量!J:N,5,FALSE),0),0)</f>
        <v>0</v>
      </c>
      <c r="E992">
        <v>0.5</v>
      </c>
      <c r="F992">
        <v>6</v>
      </c>
      <c r="G992" s="1" t="s">
        <v>763</v>
      </c>
      <c r="H992" s="17" t="s">
        <v>3642</v>
      </c>
      <c r="I992" s="17" t="s">
        <v>4513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customHeight="1">
      <c r="A993">
        <v>2559</v>
      </c>
      <c r="B993">
        <f>IF(表1[[#This Row],[不调整offset]]="x",IFERROR(VLOOKUP(表1[[#This Row],[8:image]],常量!J:N,4,FALSE),0),0)</f>
        <v>0</v>
      </c>
      <c r="C993">
        <f>IF(表1[[#This Row],[不调整offset]]="x",IFERROR(VLOOKUP(表1[[#This Row],[8:image]],常量!J:N,5,FALSE),0),0)</f>
        <v>0</v>
      </c>
      <c r="E993">
        <v>0.5</v>
      </c>
      <c r="F993">
        <v>6</v>
      </c>
      <c r="G993" s="1" t="s">
        <v>764</v>
      </c>
      <c r="H993" s="17" t="s">
        <v>3643</v>
      </c>
      <c r="I993" s="17" t="s">
        <v>4514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customHeight="1">
      <c r="A994">
        <v>2560</v>
      </c>
      <c r="B994">
        <f>IF(表1[[#This Row],[不调整offset]]="x",IFERROR(VLOOKUP(表1[[#This Row],[8:image]],常量!J:N,4,FALSE),0),0)</f>
        <v>0</v>
      </c>
      <c r="C994">
        <f>IF(表1[[#This Row],[不调整offset]]="x",IFERROR(VLOOKUP(表1[[#This Row],[8:image]],常量!J:N,5,FALSE),0),0)</f>
        <v>0</v>
      </c>
      <c r="E994">
        <v>0.5</v>
      </c>
      <c r="F994">
        <v>6</v>
      </c>
      <c r="G994" s="1" t="s">
        <v>907</v>
      </c>
      <c r="H994" s="17" t="s">
        <v>3644</v>
      </c>
      <c r="I994" s="17" t="s">
        <v>4515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customHeight="1">
      <c r="A995">
        <v>2561</v>
      </c>
      <c r="B995">
        <f>IF(表1[[#This Row],[不调整offset]]="x",IFERROR(VLOOKUP(表1[[#This Row],[8:image]],常量!J:N,4,FALSE),0),0)</f>
        <v>0</v>
      </c>
      <c r="C995">
        <f>IF(表1[[#This Row],[不调整offset]]="x",IFERROR(VLOOKUP(表1[[#This Row],[8:image]],常量!J:N,5,FALSE),0),0)</f>
        <v>0</v>
      </c>
      <c r="E995">
        <v>0.5</v>
      </c>
      <c r="F995">
        <v>6</v>
      </c>
      <c r="G995" s="1" t="s">
        <v>908</v>
      </c>
      <c r="H995" s="17" t="s">
        <v>3645</v>
      </c>
      <c r="I995" s="17" t="s">
        <v>4516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customHeight="1">
      <c r="A996">
        <v>2562</v>
      </c>
      <c r="B996">
        <f>IF(表1[[#This Row],[不调整offset]]="x",IFERROR(VLOOKUP(表1[[#This Row],[8:image]],常量!J:N,4,FALSE),0),0)</f>
        <v>0</v>
      </c>
      <c r="C996">
        <f>IF(表1[[#This Row],[不调整offset]]="x",IFERROR(VLOOKUP(表1[[#This Row],[8:image]],常量!J:N,5,FALSE),0),0)</f>
        <v>0</v>
      </c>
      <c r="E996">
        <v>0.5</v>
      </c>
      <c r="F996">
        <v>6</v>
      </c>
      <c r="G996" s="1" t="s">
        <v>766</v>
      </c>
      <c r="H996" s="17" t="s">
        <v>3646</v>
      </c>
      <c r="I996" s="17" t="s">
        <v>4517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customHeight="1">
      <c r="A997">
        <v>2563</v>
      </c>
      <c r="B997">
        <f>IF(表1[[#This Row],[不调整offset]]="x",IFERROR(VLOOKUP(表1[[#This Row],[8:image]],常量!J:N,4,FALSE),0),0)</f>
        <v>0</v>
      </c>
      <c r="C997">
        <f>IF(表1[[#This Row],[不调整offset]]="x",IFERROR(VLOOKUP(表1[[#This Row],[8:image]],常量!J:N,5,FALSE),0),0)</f>
        <v>0</v>
      </c>
      <c r="E997">
        <v>0.5</v>
      </c>
      <c r="F997">
        <v>6</v>
      </c>
      <c r="G997" s="1" t="s">
        <v>909</v>
      </c>
      <c r="H997" s="17" t="s">
        <v>3647</v>
      </c>
      <c r="I997" s="17" t="s">
        <v>4518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customHeight="1">
      <c r="A998">
        <v>2564</v>
      </c>
      <c r="B998">
        <f>IF(表1[[#This Row],[不调整offset]]="x",IFERROR(VLOOKUP(表1[[#This Row],[8:image]],常量!J:N,4,FALSE),0),0)</f>
        <v>0</v>
      </c>
      <c r="C998">
        <f>IF(表1[[#This Row],[不调整offset]]="x",IFERROR(VLOOKUP(表1[[#This Row],[8:image]],常量!J:N,5,FALSE),0),0)</f>
        <v>0</v>
      </c>
      <c r="E998">
        <v>0.5</v>
      </c>
      <c r="F998">
        <v>6</v>
      </c>
      <c r="G998" s="1" t="s">
        <v>910</v>
      </c>
      <c r="H998" s="17" t="s">
        <v>3648</v>
      </c>
      <c r="I998" s="17" t="s">
        <v>4519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customHeight="1">
      <c r="A999">
        <v>2565</v>
      </c>
      <c r="B999">
        <f>IF(表1[[#This Row],[不调整offset]]="x",IFERROR(VLOOKUP(表1[[#This Row],[8:image]],常量!J:N,4,FALSE),0),0)</f>
        <v>0</v>
      </c>
      <c r="C999">
        <f>IF(表1[[#This Row],[不调整offset]]="x",IFERROR(VLOOKUP(表1[[#This Row],[8:image]],常量!J:N,5,FALSE),0),0)</f>
        <v>0</v>
      </c>
      <c r="E999">
        <v>0.5</v>
      </c>
      <c r="F999">
        <v>6</v>
      </c>
      <c r="G999" s="1" t="s">
        <v>665</v>
      </c>
      <c r="H999" s="17" t="s">
        <v>3649</v>
      </c>
      <c r="I999" s="17" t="s">
        <v>4520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customHeight="1">
      <c r="A1000">
        <v>2566</v>
      </c>
      <c r="B1000">
        <f>IF(表1[[#This Row],[不调整offset]]="x",IFERROR(VLOOKUP(表1[[#This Row],[8:image]],常量!J:N,4,FALSE),0),0)</f>
        <v>0</v>
      </c>
      <c r="C1000">
        <f>IF(表1[[#This Row],[不调整offset]]="x",IFERROR(VLOOKUP(表1[[#This Row],[8:image]],常量!J:N,5,FALSE),0),0)</f>
        <v>0</v>
      </c>
      <c r="E1000">
        <v>0.5</v>
      </c>
      <c r="F1000">
        <v>6</v>
      </c>
      <c r="G1000" s="1" t="s">
        <v>911</v>
      </c>
      <c r="H1000" s="17" t="s">
        <v>3650</v>
      </c>
      <c r="I1000" s="17" t="s">
        <v>4521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customHeight="1">
      <c r="A1001">
        <v>2567</v>
      </c>
      <c r="B1001">
        <f>IF(表1[[#This Row],[不调整offset]]="x",IFERROR(VLOOKUP(表1[[#This Row],[8:image]],常量!J:N,4,FALSE),0),0)</f>
        <v>0</v>
      </c>
      <c r="C1001">
        <f>IF(表1[[#This Row],[不调整offset]]="x",IFERROR(VLOOKUP(表1[[#This Row],[8:image]],常量!J:N,5,FALSE),0),0)</f>
        <v>0</v>
      </c>
      <c r="E1001">
        <v>0.5</v>
      </c>
      <c r="F1001">
        <v>6</v>
      </c>
      <c r="G1001" s="1" t="s">
        <v>912</v>
      </c>
      <c r="H1001" s="17" t="s">
        <v>3651</v>
      </c>
      <c r="I1001" s="17" t="s">
        <v>4522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customHeight="1">
      <c r="A1002">
        <v>2568</v>
      </c>
      <c r="B1002">
        <f>IF(表1[[#This Row],[不调整offset]]="x",IFERROR(VLOOKUP(表1[[#This Row],[8:image]],常量!J:N,4,FALSE),0),0)</f>
        <v>0</v>
      </c>
      <c r="C1002">
        <f>IF(表1[[#This Row],[不调整offset]]="x",IFERROR(VLOOKUP(表1[[#This Row],[8:image]],常量!J:N,5,FALSE),0),0)</f>
        <v>0</v>
      </c>
      <c r="E1002">
        <v>0.5</v>
      </c>
      <c r="F1002">
        <v>6</v>
      </c>
      <c r="G1002" s="1" t="s">
        <v>913</v>
      </c>
      <c r="H1002" s="17" t="s">
        <v>3652</v>
      </c>
      <c r="I1002" s="17" t="s">
        <v>4523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customHeight="1">
      <c r="A1003">
        <v>2569</v>
      </c>
      <c r="B1003">
        <f>IF(表1[[#This Row],[不调整offset]]="x",IFERROR(VLOOKUP(表1[[#This Row],[8:image]],常量!J:N,4,FALSE),0),0)</f>
        <v>0</v>
      </c>
      <c r="C1003">
        <f>IF(表1[[#This Row],[不调整offset]]="x",IFERROR(VLOOKUP(表1[[#This Row],[8:image]],常量!J:N,5,FALSE),0),0)</f>
        <v>0</v>
      </c>
      <c r="E1003">
        <v>0.5</v>
      </c>
      <c r="F1003">
        <v>6</v>
      </c>
      <c r="G1003" s="1" t="s">
        <v>914</v>
      </c>
      <c r="H1003" s="17" t="s">
        <v>3653</v>
      </c>
      <c r="I1003" s="17" t="s">
        <v>4524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customHeight="1">
      <c r="A1004">
        <v>2570</v>
      </c>
      <c r="B1004">
        <f>IF(表1[[#This Row],[不调整offset]]="x",IFERROR(VLOOKUP(表1[[#This Row],[8:image]],常量!J:N,4,FALSE),0),0)</f>
        <v>0</v>
      </c>
      <c r="C1004">
        <f>IF(表1[[#This Row],[不调整offset]]="x",IFERROR(VLOOKUP(表1[[#This Row],[8:image]],常量!J:N,5,FALSE),0),0)</f>
        <v>0</v>
      </c>
      <c r="E1004">
        <v>0.5</v>
      </c>
      <c r="F1004">
        <v>6</v>
      </c>
      <c r="G1004" s="1" t="s">
        <v>915</v>
      </c>
      <c r="H1004" s="17" t="s">
        <v>3654</v>
      </c>
      <c r="I1004" s="17" t="s">
        <v>4525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customHeight="1">
      <c r="A1005">
        <v>2571</v>
      </c>
      <c r="B1005">
        <f>IF(表1[[#This Row],[不调整offset]]="x",IFERROR(VLOOKUP(表1[[#This Row],[8:image]],常量!J:N,4,FALSE),0),0)</f>
        <v>0</v>
      </c>
      <c r="C1005">
        <f>IF(表1[[#This Row],[不调整offset]]="x",IFERROR(VLOOKUP(表1[[#This Row],[8:image]],常量!J:N,5,FALSE),0),0)</f>
        <v>0</v>
      </c>
      <c r="E1005">
        <v>0.5</v>
      </c>
      <c r="F1005">
        <v>6</v>
      </c>
      <c r="G1005" s="1" t="s">
        <v>916</v>
      </c>
      <c r="H1005" s="17" t="s">
        <v>3655</v>
      </c>
      <c r="I1005" s="17" t="s">
        <v>4526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customHeight="1">
      <c r="A1006">
        <v>2572</v>
      </c>
      <c r="B1006">
        <f>IF(表1[[#This Row],[不调整offset]]="x",IFERROR(VLOOKUP(表1[[#This Row],[8:image]],常量!J:N,4,FALSE),0),0)</f>
        <v>0</v>
      </c>
      <c r="C1006">
        <f>IF(表1[[#This Row],[不调整offset]]="x",IFERROR(VLOOKUP(表1[[#This Row],[8:image]],常量!J:N,5,FALSE),0),0)</f>
        <v>0</v>
      </c>
      <c r="E1006">
        <v>0.5</v>
      </c>
      <c r="F1006">
        <v>6</v>
      </c>
      <c r="G1006" s="1" t="s">
        <v>917</v>
      </c>
      <c r="H1006" s="17" t="s">
        <v>3656</v>
      </c>
      <c r="I1006" s="17" t="s">
        <v>4527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customHeight="1">
      <c r="A1007">
        <v>2573</v>
      </c>
      <c r="B1007">
        <f>IF(表1[[#This Row],[不调整offset]]="x",IFERROR(VLOOKUP(表1[[#This Row],[8:image]],常量!J:N,4,FALSE),0),0)</f>
        <v>0</v>
      </c>
      <c r="C1007">
        <f>IF(表1[[#This Row],[不调整offset]]="x",IFERROR(VLOOKUP(表1[[#This Row],[8:image]],常量!J:N,5,FALSE),0),0)</f>
        <v>0</v>
      </c>
      <c r="E1007">
        <v>0.5</v>
      </c>
      <c r="F1007">
        <v>6</v>
      </c>
      <c r="G1007" s="1" t="s">
        <v>918</v>
      </c>
      <c r="H1007" s="17" t="s">
        <v>3657</v>
      </c>
      <c r="I1007" s="17" t="s">
        <v>4528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customHeight="1">
      <c r="A1008">
        <v>2574</v>
      </c>
      <c r="B1008">
        <f>IF(表1[[#This Row],[不调整offset]]="x",IFERROR(VLOOKUP(表1[[#This Row],[8:image]],常量!J:N,4,FALSE),0),0)</f>
        <v>0</v>
      </c>
      <c r="C1008">
        <f>IF(表1[[#This Row],[不调整offset]]="x",IFERROR(VLOOKUP(表1[[#This Row],[8:image]],常量!J:N,5,FALSE),0),0)</f>
        <v>0</v>
      </c>
      <c r="E1008">
        <v>0.5</v>
      </c>
      <c r="F1008">
        <v>6</v>
      </c>
      <c r="G1008" s="1" t="s">
        <v>919</v>
      </c>
      <c r="H1008" s="17" t="s">
        <v>3658</v>
      </c>
      <c r="I1008" s="17" t="s">
        <v>4529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customHeight="1">
      <c r="A1009">
        <v>2575</v>
      </c>
      <c r="B1009">
        <f>IF(表1[[#This Row],[不调整offset]]="x",IFERROR(VLOOKUP(表1[[#This Row],[8:image]],常量!J:N,4,FALSE),0),0)</f>
        <v>0</v>
      </c>
      <c r="C1009">
        <f>IF(表1[[#This Row],[不调整offset]]="x",IFERROR(VLOOKUP(表1[[#This Row],[8:image]],常量!J:N,5,FALSE),0),0)</f>
        <v>0</v>
      </c>
      <c r="E1009">
        <v>0.5</v>
      </c>
      <c r="F1009">
        <v>6</v>
      </c>
      <c r="G1009" s="1" t="s">
        <v>201</v>
      </c>
      <c r="H1009" s="17" t="s">
        <v>3659</v>
      </c>
      <c r="I1009" s="17" t="s">
        <v>4530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customHeight="1">
      <c r="A1010">
        <v>2576</v>
      </c>
      <c r="B1010">
        <f>IF(表1[[#This Row],[不调整offset]]="x",IFERROR(VLOOKUP(表1[[#This Row],[8:image]],常量!J:N,4,FALSE),0),0)</f>
        <v>0</v>
      </c>
      <c r="C1010">
        <f>IF(表1[[#This Row],[不调整offset]]="x",IFERROR(VLOOKUP(表1[[#This Row],[8:image]],常量!J:N,5,FALSE),0),0)</f>
        <v>0</v>
      </c>
      <c r="E1010">
        <v>0.5</v>
      </c>
      <c r="F1010">
        <v>6</v>
      </c>
      <c r="G1010" s="1" t="s">
        <v>202</v>
      </c>
      <c r="H1010" s="17" t="s">
        <v>3660</v>
      </c>
      <c r="I1010" s="17" t="s">
        <v>4531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customHeight="1">
      <c r="A1011">
        <v>2577</v>
      </c>
      <c r="B1011">
        <f>IF(表1[[#This Row],[不调整offset]]="x",IFERROR(VLOOKUP(表1[[#This Row],[8:image]],常量!J:N,4,FALSE),0),0)</f>
        <v>0</v>
      </c>
      <c r="C1011">
        <f>IF(表1[[#This Row],[不调整offset]]="x",IFERROR(VLOOKUP(表1[[#This Row],[8:image]],常量!J:N,5,FALSE),0),0)</f>
        <v>0</v>
      </c>
      <c r="E1011">
        <v>0.5</v>
      </c>
      <c r="F1011">
        <v>6</v>
      </c>
      <c r="G1011" s="1" t="s">
        <v>203</v>
      </c>
      <c r="H1011" s="17" t="s">
        <v>3661</v>
      </c>
      <c r="I1011" s="17" t="s">
        <v>4532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customHeight="1">
      <c r="A1012">
        <v>2578</v>
      </c>
      <c r="B1012">
        <f>IF(表1[[#This Row],[不调整offset]]="x",IFERROR(VLOOKUP(表1[[#This Row],[8:image]],常量!J:N,4,FALSE),0),0)</f>
        <v>0</v>
      </c>
      <c r="C1012">
        <f>IF(表1[[#This Row],[不调整offset]]="x",IFERROR(VLOOKUP(表1[[#This Row],[8:image]],常量!J:N,5,FALSE),0),0)</f>
        <v>0</v>
      </c>
      <c r="E1012">
        <v>0.5</v>
      </c>
      <c r="F1012">
        <v>6</v>
      </c>
      <c r="G1012" s="1" t="s">
        <v>204</v>
      </c>
      <c r="H1012" s="17" t="s">
        <v>3662</v>
      </c>
      <c r="I1012" s="17" t="s">
        <v>4533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customHeight="1">
      <c r="A1013">
        <v>2579</v>
      </c>
      <c r="B1013">
        <f>IF(表1[[#This Row],[不调整offset]]="x",IFERROR(VLOOKUP(表1[[#This Row],[8:image]],常量!J:N,4,FALSE),0),0)</f>
        <v>0</v>
      </c>
      <c r="C1013">
        <f>IF(表1[[#This Row],[不调整offset]]="x",IFERROR(VLOOKUP(表1[[#This Row],[8:image]],常量!J:N,5,FALSE),0),0)</f>
        <v>0</v>
      </c>
      <c r="E1013">
        <v>0.5</v>
      </c>
      <c r="F1013">
        <v>6</v>
      </c>
      <c r="G1013" s="1" t="s">
        <v>205</v>
      </c>
      <c r="H1013" s="17" t="s">
        <v>3663</v>
      </c>
      <c r="I1013" s="17" t="s">
        <v>4534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customHeight="1">
      <c r="A1014">
        <v>2580</v>
      </c>
      <c r="B1014">
        <f>IF(表1[[#This Row],[不调整offset]]="x",IFERROR(VLOOKUP(表1[[#This Row],[8:image]],常量!J:N,4,FALSE),0),0)</f>
        <v>0</v>
      </c>
      <c r="C1014">
        <f>IF(表1[[#This Row],[不调整offset]]="x",IFERROR(VLOOKUP(表1[[#This Row],[8:image]],常量!J:N,5,FALSE),0),0)</f>
        <v>0</v>
      </c>
      <c r="E1014">
        <v>0.5</v>
      </c>
      <c r="F1014">
        <v>6</v>
      </c>
      <c r="G1014" s="1" t="s">
        <v>206</v>
      </c>
      <c r="H1014" s="17" t="s">
        <v>3664</v>
      </c>
      <c r="I1014" s="17" t="s">
        <v>4535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customHeight="1">
      <c r="A1015">
        <v>2581</v>
      </c>
      <c r="B1015">
        <f>IF(表1[[#This Row],[不调整offset]]="x",IFERROR(VLOOKUP(表1[[#This Row],[8:image]],常量!J:N,4,FALSE),0),0)</f>
        <v>0</v>
      </c>
      <c r="C1015">
        <f>IF(表1[[#This Row],[不调整offset]]="x",IFERROR(VLOOKUP(表1[[#This Row],[8:image]],常量!J:N,5,FALSE),0),0)</f>
        <v>0</v>
      </c>
      <c r="E1015">
        <v>0.5</v>
      </c>
      <c r="F1015">
        <v>6</v>
      </c>
      <c r="G1015" s="1" t="s">
        <v>207</v>
      </c>
      <c r="H1015" s="17" t="s">
        <v>3665</v>
      </c>
      <c r="I1015" s="17" t="s">
        <v>4536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customHeight="1">
      <c r="A1016">
        <v>2582</v>
      </c>
      <c r="B1016">
        <f>IF(表1[[#This Row],[不调整offset]]="x",IFERROR(VLOOKUP(表1[[#This Row],[8:image]],常量!J:N,4,FALSE),0),0)</f>
        <v>0</v>
      </c>
      <c r="C1016">
        <f>IF(表1[[#This Row],[不调整offset]]="x",IFERROR(VLOOKUP(表1[[#This Row],[8:image]],常量!J:N,5,FALSE),0),0)</f>
        <v>0</v>
      </c>
      <c r="E1016">
        <v>0.5</v>
      </c>
      <c r="F1016">
        <v>6</v>
      </c>
      <c r="G1016" s="1" t="s">
        <v>208</v>
      </c>
      <c r="H1016" s="17" t="s">
        <v>3666</v>
      </c>
      <c r="I1016" s="17" t="s">
        <v>4537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customHeight="1">
      <c r="A1017">
        <v>2583</v>
      </c>
      <c r="B1017">
        <f>IF(表1[[#This Row],[不调整offset]]="x",IFERROR(VLOOKUP(表1[[#This Row],[8:image]],常量!J:N,4,FALSE),0),0)</f>
        <v>0</v>
      </c>
      <c r="C1017">
        <f>IF(表1[[#This Row],[不调整offset]]="x",IFERROR(VLOOKUP(表1[[#This Row],[8:image]],常量!J:N,5,FALSE),0),0)</f>
        <v>0</v>
      </c>
      <c r="E1017">
        <v>0.5</v>
      </c>
      <c r="F1017">
        <v>6</v>
      </c>
      <c r="G1017" s="1" t="s">
        <v>209</v>
      </c>
      <c r="H1017" s="17" t="s">
        <v>3667</v>
      </c>
      <c r="I1017" s="17" t="s">
        <v>4538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customHeight="1">
      <c r="A1018">
        <v>2584</v>
      </c>
      <c r="B1018">
        <f>IF(表1[[#This Row],[不调整offset]]="x",IFERROR(VLOOKUP(表1[[#This Row],[8:image]],常量!J:N,4,FALSE),0),0)</f>
        <v>0</v>
      </c>
      <c r="C1018">
        <f>IF(表1[[#This Row],[不调整offset]]="x",IFERROR(VLOOKUP(表1[[#This Row],[8:image]],常量!J:N,5,FALSE),0),0)</f>
        <v>0</v>
      </c>
      <c r="E1018">
        <v>0.5</v>
      </c>
      <c r="F1018">
        <v>6</v>
      </c>
      <c r="G1018" s="1" t="s">
        <v>210</v>
      </c>
      <c r="H1018" s="17" t="s">
        <v>3668</v>
      </c>
      <c r="I1018" s="17" t="s">
        <v>4539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customHeight="1">
      <c r="A1019">
        <v>2585</v>
      </c>
      <c r="B1019">
        <f>IF(表1[[#This Row],[不调整offset]]="x",IFERROR(VLOOKUP(表1[[#This Row],[8:image]],常量!J:N,4,FALSE),0),0)</f>
        <v>0</v>
      </c>
      <c r="C1019">
        <f>IF(表1[[#This Row],[不调整offset]]="x",IFERROR(VLOOKUP(表1[[#This Row],[8:image]],常量!J:N,5,FALSE),0),0)</f>
        <v>0</v>
      </c>
      <c r="E1019">
        <v>0.5</v>
      </c>
      <c r="F1019">
        <v>6</v>
      </c>
      <c r="G1019" s="1" t="s">
        <v>211</v>
      </c>
      <c r="H1019" s="17" t="s">
        <v>3669</v>
      </c>
      <c r="I1019" s="17" t="s">
        <v>4540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customHeight="1">
      <c r="A1020">
        <v>2586</v>
      </c>
      <c r="B1020">
        <f>IF(表1[[#This Row],[不调整offset]]="x",IFERROR(VLOOKUP(表1[[#This Row],[8:image]],常量!J:N,4,FALSE),0),0)</f>
        <v>0</v>
      </c>
      <c r="C1020">
        <f>IF(表1[[#This Row],[不调整offset]]="x",IFERROR(VLOOKUP(表1[[#This Row],[8:image]],常量!J:N,5,FALSE),0),0)</f>
        <v>0</v>
      </c>
      <c r="E1020">
        <v>0.5</v>
      </c>
      <c r="F1020">
        <v>6</v>
      </c>
      <c r="G1020" s="1" t="s">
        <v>212</v>
      </c>
      <c r="H1020" s="17" t="s">
        <v>3670</v>
      </c>
      <c r="I1020" s="17" t="s">
        <v>4541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customHeight="1">
      <c r="A1021">
        <v>2587</v>
      </c>
      <c r="B1021">
        <f>IF(表1[[#This Row],[不调整offset]]="x",IFERROR(VLOOKUP(表1[[#This Row],[8:image]],常量!J:N,4,FALSE),0),0)</f>
        <v>0</v>
      </c>
      <c r="C1021">
        <f>IF(表1[[#This Row],[不调整offset]]="x",IFERROR(VLOOKUP(表1[[#This Row],[8:image]],常量!J:N,5,FALSE),0),0)</f>
        <v>0</v>
      </c>
      <c r="E1021">
        <v>0.5</v>
      </c>
      <c r="F1021">
        <v>6</v>
      </c>
      <c r="G1021" s="1" t="s">
        <v>213</v>
      </c>
      <c r="H1021" s="17" t="s">
        <v>3671</v>
      </c>
      <c r="I1021" s="17" t="s">
        <v>4542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customHeight="1">
      <c r="A1022">
        <v>2588</v>
      </c>
      <c r="B1022">
        <f>IF(表1[[#This Row],[不调整offset]]="x",IFERROR(VLOOKUP(表1[[#This Row],[8:image]],常量!J:N,4,FALSE),0),0)</f>
        <v>0</v>
      </c>
      <c r="C1022">
        <f>IF(表1[[#This Row],[不调整offset]]="x",IFERROR(VLOOKUP(表1[[#This Row],[8:image]],常量!J:N,5,FALSE),0),0)</f>
        <v>0</v>
      </c>
      <c r="E1022">
        <v>0.7</v>
      </c>
      <c r="F1022">
        <v>6</v>
      </c>
      <c r="G1022" s="1" t="s">
        <v>920</v>
      </c>
      <c r="H1022" s="17" t="s">
        <v>3672</v>
      </c>
      <c r="I1022" s="17" t="s">
        <v>4543</v>
      </c>
      <c r="J1022" s="15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customHeight="1">
      <c r="A1023">
        <v>2589</v>
      </c>
      <c r="B1023">
        <f>IF(表1[[#This Row],[不调整offset]]="x",IFERROR(VLOOKUP(表1[[#This Row],[8:image]],常量!J:N,4,FALSE),0),0)</f>
        <v>0</v>
      </c>
      <c r="C1023">
        <f>IF(表1[[#This Row],[不调整offset]]="x",IFERROR(VLOOKUP(表1[[#This Row],[8:image]],常量!J:N,5,FALSE),0),0)</f>
        <v>0</v>
      </c>
      <c r="E1023">
        <v>0.7</v>
      </c>
      <c r="F1023">
        <v>6</v>
      </c>
      <c r="G1023" s="1" t="s">
        <v>921</v>
      </c>
      <c r="H1023" s="17" t="s">
        <v>3673</v>
      </c>
      <c r="I1023" s="17" t="s">
        <v>4544</v>
      </c>
      <c r="J1023" s="15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customHeight="1">
      <c r="A1024">
        <v>2590</v>
      </c>
      <c r="B1024">
        <f>IF(表1[[#This Row],[不调整offset]]="x",IFERROR(VLOOKUP(表1[[#This Row],[8:image]],常量!J:N,4,FALSE),0),0)</f>
        <v>0</v>
      </c>
      <c r="C1024">
        <f>IF(表1[[#This Row],[不调整offset]]="x",IFERROR(VLOOKUP(表1[[#This Row],[8:image]],常量!J:N,5,FALSE),0),0)</f>
        <v>0</v>
      </c>
      <c r="E1024">
        <v>0.7</v>
      </c>
      <c r="F1024">
        <v>6</v>
      </c>
      <c r="G1024" s="1" t="s">
        <v>922</v>
      </c>
      <c r="H1024" s="17" t="s">
        <v>3674</v>
      </c>
      <c r="I1024" s="17" t="s">
        <v>4545</v>
      </c>
      <c r="J1024" s="15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customHeight="1">
      <c r="A1025">
        <v>2591</v>
      </c>
      <c r="B1025">
        <f>IF(表1[[#This Row],[不调整offset]]="x",IFERROR(VLOOKUP(表1[[#This Row],[8:image]],常量!J:N,4,FALSE),0),0)</f>
        <v>0</v>
      </c>
      <c r="C1025">
        <f>IF(表1[[#This Row],[不调整offset]]="x",IFERROR(VLOOKUP(表1[[#This Row],[8:image]],常量!J:N,5,FALSE),0),0)</f>
        <v>0</v>
      </c>
      <c r="E1025">
        <v>0.7</v>
      </c>
      <c r="F1025">
        <v>6</v>
      </c>
      <c r="G1025" s="1" t="s">
        <v>923</v>
      </c>
      <c r="H1025" s="17" t="s">
        <v>3675</v>
      </c>
      <c r="I1025" s="17" t="s">
        <v>4546</v>
      </c>
      <c r="J1025" s="1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customHeight="1">
      <c r="A1026">
        <v>2592</v>
      </c>
      <c r="B1026">
        <f>IF(表1[[#This Row],[不调整offset]]="x",IFERROR(VLOOKUP(表1[[#This Row],[8:image]],常量!J:N,4,FALSE),0),0)</f>
        <v>0</v>
      </c>
      <c r="C1026">
        <f>IF(表1[[#This Row],[不调整offset]]="x",IFERROR(VLOOKUP(表1[[#This Row],[8:image]],常量!J:N,5,FALSE),0),0)</f>
        <v>0</v>
      </c>
      <c r="E1026">
        <v>0.7</v>
      </c>
      <c r="F1026">
        <v>6</v>
      </c>
      <c r="G1026" s="1" t="s">
        <v>924</v>
      </c>
      <c r="H1026" s="17" t="s">
        <v>3676</v>
      </c>
      <c r="I1026" s="17" t="s">
        <v>4547</v>
      </c>
      <c r="J1026" s="15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customHeight="1">
      <c r="A1027">
        <v>2593</v>
      </c>
      <c r="B1027">
        <f>IF(表1[[#This Row],[不调整offset]]="x",IFERROR(VLOOKUP(表1[[#This Row],[8:image]],常量!J:N,4,FALSE),0),0)</f>
        <v>0</v>
      </c>
      <c r="C1027">
        <f>IF(表1[[#This Row],[不调整offset]]="x",IFERROR(VLOOKUP(表1[[#This Row],[8:image]],常量!J:N,5,FALSE),0),0)</f>
        <v>0</v>
      </c>
      <c r="E1027">
        <v>0.7</v>
      </c>
      <c r="F1027">
        <v>6</v>
      </c>
      <c r="G1027" s="1" t="s">
        <v>925</v>
      </c>
      <c r="H1027" s="17" t="s">
        <v>3677</v>
      </c>
      <c r="I1027" s="17" t="s">
        <v>4548</v>
      </c>
      <c r="J1027" s="15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customHeight="1">
      <c r="A1028">
        <v>2594</v>
      </c>
      <c r="B1028">
        <f>IF(表1[[#This Row],[不调整offset]]="x",IFERROR(VLOOKUP(表1[[#This Row],[8:image]],常量!J:N,4,FALSE),0),0)</f>
        <v>0</v>
      </c>
      <c r="C1028">
        <f>IF(表1[[#This Row],[不调整offset]]="x",IFERROR(VLOOKUP(表1[[#This Row],[8:image]],常量!J:N,5,FALSE),0),0)</f>
        <v>0</v>
      </c>
      <c r="E1028">
        <v>0.7</v>
      </c>
      <c r="F1028">
        <v>6</v>
      </c>
      <c r="G1028" s="1" t="s">
        <v>926</v>
      </c>
      <c r="H1028" s="17" t="s">
        <v>3678</v>
      </c>
      <c r="I1028" s="17" t="s">
        <v>4549</v>
      </c>
      <c r="J1028" s="15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customHeight="1">
      <c r="A1029">
        <v>2595</v>
      </c>
      <c r="B1029">
        <f>IF(表1[[#This Row],[不调整offset]]="x",IFERROR(VLOOKUP(表1[[#This Row],[8:image]],常量!J:N,4,FALSE),0),0)</f>
        <v>0</v>
      </c>
      <c r="C1029">
        <f>IF(表1[[#This Row],[不调整offset]]="x",IFERROR(VLOOKUP(表1[[#This Row],[8:image]],常量!J:N,5,FALSE),0),0)</f>
        <v>0</v>
      </c>
      <c r="E1029">
        <v>1</v>
      </c>
      <c r="F1029">
        <v>12</v>
      </c>
      <c r="G1029" s="1" t="s">
        <v>927</v>
      </c>
      <c r="H1029" s="17" t="s">
        <v>3679</v>
      </c>
      <c r="I1029" s="19"/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customHeight="1">
      <c r="A1030">
        <v>2596</v>
      </c>
      <c r="B1030">
        <f>IF(表1[[#This Row],[不调整offset]]="x",IFERROR(VLOOKUP(表1[[#This Row],[8:image]],常量!J:N,4,FALSE),0),0)</f>
        <v>0</v>
      </c>
      <c r="C1030">
        <f>IF(表1[[#This Row],[不调整offset]]="x",IFERROR(VLOOKUP(表1[[#This Row],[8:image]],常量!J:N,5,FALSE),0),0)</f>
        <v>0</v>
      </c>
      <c r="E1030">
        <v>1</v>
      </c>
      <c r="F1030">
        <v>12</v>
      </c>
      <c r="G1030" s="1" t="s">
        <v>928</v>
      </c>
      <c r="H1030" s="17" t="s">
        <v>3680</v>
      </c>
      <c r="I1030" s="19"/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customHeight="1">
      <c r="A1031">
        <v>2597</v>
      </c>
      <c r="B1031">
        <f>IF(表1[[#This Row],[不调整offset]]="x",IFERROR(VLOOKUP(表1[[#This Row],[8:image]],常量!J:N,4,FALSE),0),0)</f>
        <v>0</v>
      </c>
      <c r="C1031">
        <f>IF(表1[[#This Row],[不调整offset]]="x",IFERROR(VLOOKUP(表1[[#This Row],[8:image]],常量!J:N,5,FALSE),0),0)</f>
        <v>0</v>
      </c>
      <c r="E1031">
        <v>1</v>
      </c>
      <c r="F1031">
        <v>12</v>
      </c>
      <c r="G1031" s="1" t="s">
        <v>929</v>
      </c>
      <c r="H1031" s="17" t="s">
        <v>3681</v>
      </c>
      <c r="I1031" s="19"/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f>IF(表1[[#This Row],[不调整offset]]="x",IFERROR(VLOOKUP(表1[[#This Row],[8:image]],常量!J:N,4,FALSE),0),0)</f>
        <v>0</v>
      </c>
      <c r="C1032">
        <f>IF(表1[[#This Row],[不调整offset]]="x",IFERROR(VLOOKUP(表1[[#This Row],[8:image]],常量!J:N,5,FALSE),0),0)</f>
        <v>0</v>
      </c>
      <c r="E1032">
        <v>1</v>
      </c>
      <c r="F1032">
        <v>12</v>
      </c>
      <c r="G1032" s="1" t="s">
        <v>930</v>
      </c>
      <c r="H1032" s="17" t="s">
        <v>3682</v>
      </c>
      <c r="I1032" s="19"/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f>IF(表1[[#This Row],[不调整offset]]="x",IFERROR(VLOOKUP(表1[[#This Row],[8:image]],常量!J:N,4,FALSE),0),0)</f>
        <v>0</v>
      </c>
      <c r="C1033">
        <f>IF(表1[[#This Row],[不调整offset]]="x",IFERROR(VLOOKUP(表1[[#This Row],[8:image]],常量!J:N,5,FALSE),0),0)</f>
        <v>0</v>
      </c>
      <c r="E1033">
        <v>1</v>
      </c>
      <c r="F1033">
        <v>12</v>
      </c>
      <c r="G1033" s="1" t="s">
        <v>931</v>
      </c>
      <c r="H1033" s="17" t="s">
        <v>3683</v>
      </c>
      <c r="I1033" s="19"/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f>IF(表1[[#This Row],[不调整offset]]="x",IFERROR(VLOOKUP(表1[[#This Row],[8:image]],常量!J:N,4,FALSE),0),0)</f>
        <v>0</v>
      </c>
      <c r="C1034">
        <f>IF(表1[[#This Row],[不调整offset]]="x",IFERROR(VLOOKUP(表1[[#This Row],[8:image]],常量!J:N,5,FALSE),0),0)</f>
        <v>0</v>
      </c>
      <c r="E1034">
        <v>1</v>
      </c>
      <c r="F1034">
        <v>12</v>
      </c>
      <c r="G1034" s="1" t="s">
        <v>932</v>
      </c>
      <c r="H1034" s="17" t="s">
        <v>3684</v>
      </c>
      <c r="I1034" s="19"/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f>IF(表1[[#This Row],[不调整offset]]="x",IFERROR(VLOOKUP(表1[[#This Row],[8:image]],常量!J:N,4,FALSE),0),0)</f>
        <v>0</v>
      </c>
      <c r="C1035">
        <f>IF(表1[[#This Row],[不调整offset]]="x",IFERROR(VLOOKUP(表1[[#This Row],[8:image]],常量!J:N,5,FALSE),0),0)</f>
        <v>0</v>
      </c>
      <c r="E1035">
        <v>1</v>
      </c>
      <c r="F1035">
        <v>12</v>
      </c>
      <c r="G1035" s="1" t="s">
        <v>933</v>
      </c>
      <c r="H1035" s="17" t="s">
        <v>3685</v>
      </c>
      <c r="I1035" s="19"/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f>IF(表1[[#This Row],[不调整offset]]="x",IFERROR(VLOOKUP(表1[[#This Row],[8:image]],常量!J:N,4,FALSE),0),0)</f>
        <v>0</v>
      </c>
      <c r="C1036">
        <f>IF(表1[[#This Row],[不调整offset]]="x",IFERROR(VLOOKUP(表1[[#This Row],[8:image]],常量!J:N,5,FALSE),0),0)</f>
        <v>0</v>
      </c>
      <c r="E1036">
        <v>1</v>
      </c>
      <c r="F1036">
        <v>12</v>
      </c>
      <c r="G1036" s="1" t="s">
        <v>934</v>
      </c>
      <c r="H1036" s="17" t="s">
        <v>3686</v>
      </c>
      <c r="I1036" s="19"/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f>IF(表1[[#This Row],[不调整offset]]="x",IFERROR(VLOOKUP(表1[[#This Row],[8:image]],常量!J:N,4,FALSE),0),0)</f>
        <v>0</v>
      </c>
      <c r="C1037">
        <f>IF(表1[[#This Row],[不调整offset]]="x",IFERROR(VLOOKUP(表1[[#This Row],[8:image]],常量!J:N,5,FALSE),0),0)</f>
        <v>0</v>
      </c>
      <c r="E1037">
        <v>1</v>
      </c>
      <c r="F1037">
        <v>12</v>
      </c>
      <c r="G1037" s="1" t="s">
        <v>935</v>
      </c>
      <c r="H1037" s="17" t="s">
        <v>3687</v>
      </c>
      <c r="I1037" s="19"/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f>IF(表1[[#This Row],[不调整offset]]="x",IFERROR(VLOOKUP(表1[[#This Row],[8:image]],常量!J:N,4,FALSE),0),0)</f>
        <v>0</v>
      </c>
      <c r="C1038">
        <f>IF(表1[[#This Row],[不调整offset]]="x",IFERROR(VLOOKUP(表1[[#This Row],[8:image]],常量!J:N,5,FALSE),0),0)</f>
        <v>0</v>
      </c>
      <c r="E1038">
        <v>1</v>
      </c>
      <c r="F1038">
        <v>12</v>
      </c>
      <c r="G1038" s="1" t="s">
        <v>936</v>
      </c>
      <c r="H1038" s="17" t="s">
        <v>3688</v>
      </c>
      <c r="I1038" s="19"/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f>IF(表1[[#This Row],[不调整offset]]="x",IFERROR(VLOOKUP(表1[[#This Row],[8:image]],常量!J:N,4,FALSE),0),0)</f>
        <v>0</v>
      </c>
      <c r="C1039">
        <f>IF(表1[[#This Row],[不调整offset]]="x",IFERROR(VLOOKUP(表1[[#This Row],[8:image]],常量!J:N,5,FALSE),0),0)</f>
        <v>0</v>
      </c>
      <c r="E1039">
        <v>1</v>
      </c>
      <c r="F1039">
        <v>12</v>
      </c>
      <c r="G1039" s="1" t="s">
        <v>937</v>
      </c>
      <c r="H1039" s="17" t="s">
        <v>3689</v>
      </c>
      <c r="I1039" s="19"/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IF(表1[[#This Row],[不调整offset]]="x",IFERROR(VLOOKUP(表1[[#This Row],[8:image]],常量!J:N,4,FALSE),0),0)</f>
        <v>12.25</v>
      </c>
      <c r="C1040">
        <f>IF(表1[[#This Row],[不调整offset]]="x",IFERROR(VLOOKUP(表1[[#This Row],[8:image]],常量!J:N,5,FALSE),0),0)</f>
        <v>3.25</v>
      </c>
      <c r="E1040" t="s">
        <v>2587</v>
      </c>
      <c r="F1040">
        <v>6</v>
      </c>
      <c r="G1040" s="1" t="s">
        <v>938</v>
      </c>
      <c r="H1040" s="17" t="s">
        <v>3690</v>
      </c>
      <c r="I1040" s="19"/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2586</v>
      </c>
      <c r="P1040" s="5"/>
    </row>
    <row r="1041" spans="1:16" ht="14.25" customHeight="1">
      <c r="A1041">
        <v>3001</v>
      </c>
      <c r="B1041">
        <f>IF(表1[[#This Row],[不调整offset]]="x",IFERROR(VLOOKUP(表1[[#This Row],[8:image]],常量!J:N,4,FALSE),0),0)</f>
        <v>12.25</v>
      </c>
      <c r="C1041">
        <f>IF(表1[[#This Row],[不调整offset]]="x",IFERROR(VLOOKUP(表1[[#This Row],[8:image]],常量!J:N,5,FALSE),0),0)</f>
        <v>3.25</v>
      </c>
      <c r="E1041" t="s">
        <v>2587</v>
      </c>
      <c r="F1041">
        <v>6</v>
      </c>
      <c r="G1041" s="1" t="s">
        <v>939</v>
      </c>
      <c r="H1041" s="17" t="s">
        <v>3691</v>
      </c>
      <c r="I1041" s="19"/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2586</v>
      </c>
      <c r="P1041" s="5"/>
    </row>
    <row r="1042" spans="1:16" ht="14.25" customHeight="1">
      <c r="A1042">
        <v>3002</v>
      </c>
      <c r="B1042">
        <f>IF(表1[[#This Row],[不调整offset]]="x",IFERROR(VLOOKUP(表1[[#This Row],[8:image]],常量!J:N,4,FALSE),0),0)</f>
        <v>12.25</v>
      </c>
      <c r="C1042">
        <f>IF(表1[[#This Row],[不调整offset]]="x",IFERROR(VLOOKUP(表1[[#This Row],[8:image]],常量!J:N,5,FALSE),0),0)</f>
        <v>3.25</v>
      </c>
      <c r="E1042" t="s">
        <v>2587</v>
      </c>
      <c r="F1042">
        <v>6</v>
      </c>
      <c r="G1042" s="1" t="s">
        <v>940</v>
      </c>
      <c r="H1042" s="17" t="s">
        <v>3692</v>
      </c>
      <c r="I1042" s="19"/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2586</v>
      </c>
      <c r="P1042" s="5"/>
    </row>
    <row r="1043" spans="1:16" ht="14.25" customHeight="1">
      <c r="A1043">
        <v>3003</v>
      </c>
      <c r="B1043">
        <f>IF(表1[[#This Row],[不调整offset]]="x",IFERROR(VLOOKUP(表1[[#This Row],[8:image]],常量!J:N,4,FALSE),0),0)</f>
        <v>6.25</v>
      </c>
      <c r="C1043">
        <f>IF(表1[[#This Row],[不调整offset]]="x",IFERROR(VLOOKUP(表1[[#This Row],[8:image]],常量!J:N,5,FALSE),0),0)</f>
        <v>3.25</v>
      </c>
      <c r="E1043" t="s">
        <v>2587</v>
      </c>
      <c r="F1043">
        <v>6</v>
      </c>
      <c r="G1043" s="1" t="s">
        <v>941</v>
      </c>
      <c r="H1043" s="17" t="s">
        <v>3693</v>
      </c>
      <c r="I1043" s="19"/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2586</v>
      </c>
      <c r="P1043" s="5"/>
    </row>
    <row r="1044" spans="1:16" ht="14.25" customHeight="1">
      <c r="A1044">
        <v>3004</v>
      </c>
      <c r="B1044">
        <f>IF(表1[[#This Row],[不调整offset]]="x",IFERROR(VLOOKUP(表1[[#This Row],[8:image]],常量!J:N,4,FALSE),0),0)</f>
        <v>9.25</v>
      </c>
      <c r="C1044">
        <f>IF(表1[[#This Row],[不调整offset]]="x",IFERROR(VLOOKUP(表1[[#This Row],[8:image]],常量!J:N,5,FALSE),0),0)</f>
        <v>3.25</v>
      </c>
      <c r="E1044" t="s">
        <v>2587</v>
      </c>
      <c r="F1044">
        <v>6</v>
      </c>
      <c r="G1044" s="1" t="s">
        <v>942</v>
      </c>
      <c r="H1044" s="17" t="s">
        <v>3694</v>
      </c>
      <c r="I1044" s="19"/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2586</v>
      </c>
      <c r="P1044" s="5"/>
    </row>
    <row r="1045" spans="1:16" ht="14.25" customHeight="1">
      <c r="A1045">
        <v>3005</v>
      </c>
      <c r="B1045">
        <f>IF(表1[[#This Row],[不调整offset]]="x",IFERROR(VLOOKUP(表1[[#This Row],[8:image]],常量!J:N,4,FALSE),0),0)</f>
        <v>9.25</v>
      </c>
      <c r="C1045">
        <f>IF(表1[[#This Row],[不调整offset]]="x",IFERROR(VLOOKUP(表1[[#This Row],[8:image]],常量!J:N,5,FALSE),0),0)</f>
        <v>3.25</v>
      </c>
      <c r="E1045" t="s">
        <v>2587</v>
      </c>
      <c r="F1045">
        <v>6</v>
      </c>
      <c r="G1045" s="1" t="s">
        <v>943</v>
      </c>
      <c r="H1045" s="17" t="s">
        <v>3695</v>
      </c>
      <c r="I1045" s="19"/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2586</v>
      </c>
      <c r="P1045" s="5"/>
    </row>
    <row r="1046" spans="1:16" ht="14.25" customHeight="1">
      <c r="A1046">
        <v>3006</v>
      </c>
      <c r="B1046">
        <f>IF(表1[[#This Row],[不调整offset]]="x",IFERROR(VLOOKUP(表1[[#This Row],[8:image]],常量!J:N,4,FALSE),0),0)</f>
        <v>6.25</v>
      </c>
      <c r="C1046">
        <f>IF(表1[[#This Row],[不调整offset]]="x",IFERROR(VLOOKUP(表1[[#This Row],[8:image]],常量!J:N,5,FALSE),0),0)</f>
        <v>3.25</v>
      </c>
      <c r="E1046" t="s">
        <v>2587</v>
      </c>
      <c r="F1046">
        <v>6</v>
      </c>
      <c r="G1046" s="1" t="s">
        <v>944</v>
      </c>
      <c r="H1046" s="17" t="s">
        <v>3696</v>
      </c>
      <c r="I1046" s="19"/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2586</v>
      </c>
      <c r="P1046" s="5"/>
    </row>
    <row r="1047" spans="1:16" ht="14.25" customHeight="1">
      <c r="A1047">
        <v>3007</v>
      </c>
      <c r="B1047">
        <f>IF(表1[[#This Row],[不调整offset]]="x",IFERROR(VLOOKUP(表1[[#This Row],[8:image]],常量!J:N,4,FALSE),0),0)</f>
        <v>9.25</v>
      </c>
      <c r="C1047">
        <f>IF(表1[[#This Row],[不调整offset]]="x",IFERROR(VLOOKUP(表1[[#This Row],[8:image]],常量!J:N,5,FALSE),0),0)</f>
        <v>3.25</v>
      </c>
      <c r="E1047" t="s">
        <v>2587</v>
      </c>
      <c r="F1047">
        <v>6</v>
      </c>
      <c r="G1047" s="1" t="s">
        <v>945</v>
      </c>
      <c r="H1047" s="17" t="s">
        <v>3697</v>
      </c>
      <c r="I1047" s="19"/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2586</v>
      </c>
      <c r="P1047" s="5"/>
    </row>
    <row r="1048" spans="1:16" ht="14.25" customHeight="1">
      <c r="A1048">
        <v>3008</v>
      </c>
      <c r="B1048">
        <f>IF(表1[[#This Row],[不调整offset]]="x",IFERROR(VLOOKUP(表1[[#This Row],[8:image]],常量!J:N,4,FALSE),0),0)</f>
        <v>9.25</v>
      </c>
      <c r="C1048">
        <f>IF(表1[[#This Row],[不调整offset]]="x",IFERROR(VLOOKUP(表1[[#This Row],[8:image]],常量!J:N,5,FALSE),0),0)</f>
        <v>3.25</v>
      </c>
      <c r="E1048" t="s">
        <v>2587</v>
      </c>
      <c r="F1048">
        <v>6</v>
      </c>
      <c r="G1048" s="1" t="s">
        <v>946</v>
      </c>
      <c r="H1048" s="17" t="s">
        <v>3698</v>
      </c>
      <c r="I1048" s="19"/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2586</v>
      </c>
      <c r="P1048" s="5"/>
    </row>
    <row r="1049" spans="1:16" ht="14.25" customHeight="1">
      <c r="A1049">
        <v>3009</v>
      </c>
      <c r="B1049">
        <f>IF(表1[[#This Row],[不调整offset]]="x",IFERROR(VLOOKUP(表1[[#This Row],[8:image]],常量!J:N,4,FALSE),0),0)</f>
        <v>6.25</v>
      </c>
      <c r="C1049">
        <f>IF(表1[[#This Row],[不调整offset]]="x",IFERROR(VLOOKUP(表1[[#This Row],[8:image]],常量!J:N,5,FALSE),0),0)</f>
        <v>3.25</v>
      </c>
      <c r="E1049" t="s">
        <v>2587</v>
      </c>
      <c r="F1049">
        <v>6</v>
      </c>
      <c r="G1049" s="1" t="s">
        <v>947</v>
      </c>
      <c r="H1049" s="17" t="s">
        <v>3699</v>
      </c>
      <c r="I1049" s="19"/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2586</v>
      </c>
      <c r="P1049" s="5"/>
    </row>
    <row r="1050" spans="1:16" ht="14.25" customHeight="1">
      <c r="A1050">
        <v>3010</v>
      </c>
      <c r="B1050">
        <f>IF(表1[[#This Row],[不调整offset]]="x",IFERROR(VLOOKUP(表1[[#This Row],[8:image]],常量!J:N,4,FALSE),0),0)</f>
        <v>9.25</v>
      </c>
      <c r="C1050">
        <f>IF(表1[[#This Row],[不调整offset]]="x",IFERROR(VLOOKUP(表1[[#This Row],[8:image]],常量!J:N,5,FALSE),0),0)</f>
        <v>3.25</v>
      </c>
      <c r="E1050" t="s">
        <v>2587</v>
      </c>
      <c r="F1050">
        <v>6</v>
      </c>
      <c r="G1050" s="1" t="s">
        <v>948</v>
      </c>
      <c r="H1050" s="17" t="s">
        <v>3700</v>
      </c>
      <c r="I1050" s="19"/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2586</v>
      </c>
      <c r="P1050" s="5"/>
    </row>
    <row r="1051" spans="1:16" ht="14.25" customHeight="1">
      <c r="A1051">
        <v>3011</v>
      </c>
      <c r="B1051">
        <f>IF(表1[[#This Row],[不调整offset]]="x",IFERROR(VLOOKUP(表1[[#This Row],[8:image]],常量!J:N,4,FALSE),0),0)</f>
        <v>6.25</v>
      </c>
      <c r="C1051">
        <f>IF(表1[[#This Row],[不调整offset]]="x",IFERROR(VLOOKUP(表1[[#This Row],[8:image]],常量!J:N,5,FALSE),0),0)</f>
        <v>3.25</v>
      </c>
      <c r="E1051" t="s">
        <v>2587</v>
      </c>
      <c r="F1051">
        <v>6</v>
      </c>
      <c r="G1051" s="1" t="s">
        <v>949</v>
      </c>
      <c r="H1051" s="17" t="s">
        <v>3701</v>
      </c>
      <c r="I1051" s="19"/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2586</v>
      </c>
      <c r="P1051" s="5"/>
    </row>
    <row r="1052" spans="1:16" ht="14.25" customHeight="1">
      <c r="A1052">
        <v>3012</v>
      </c>
      <c r="B1052">
        <f>IF(表1[[#This Row],[不调整offset]]="x",IFERROR(VLOOKUP(表1[[#This Row],[8:image]],常量!J:N,4,FALSE),0),0)</f>
        <v>6.25</v>
      </c>
      <c r="C1052">
        <f>IF(表1[[#This Row],[不调整offset]]="x",IFERROR(VLOOKUP(表1[[#This Row],[8:image]],常量!J:N,5,FALSE),0),0)</f>
        <v>3.25</v>
      </c>
      <c r="E1052" t="s">
        <v>2587</v>
      </c>
      <c r="F1052">
        <v>6</v>
      </c>
      <c r="G1052" s="1" t="s">
        <v>950</v>
      </c>
      <c r="H1052" s="17" t="s">
        <v>3702</v>
      </c>
      <c r="I1052" s="19"/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2586</v>
      </c>
      <c r="P1052" s="5"/>
    </row>
    <row r="1053" spans="1:16" ht="14.25" customHeight="1">
      <c r="A1053">
        <v>3013</v>
      </c>
      <c r="B1053">
        <f>IF(表1[[#This Row],[不调整offset]]="x",IFERROR(VLOOKUP(表1[[#This Row],[8:image]],常量!J:N,4,FALSE),0),0)</f>
        <v>6.25</v>
      </c>
      <c r="C1053">
        <f>IF(表1[[#This Row],[不调整offset]]="x",IFERROR(VLOOKUP(表1[[#This Row],[8:image]],常量!J:N,5,FALSE),0),0)</f>
        <v>3.25</v>
      </c>
      <c r="E1053" t="s">
        <v>2587</v>
      </c>
      <c r="F1053">
        <v>6</v>
      </c>
      <c r="G1053" s="1" t="s">
        <v>951</v>
      </c>
      <c r="H1053" s="17" t="s">
        <v>3703</v>
      </c>
      <c r="I1053" s="19"/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2586</v>
      </c>
      <c r="P1053" s="5"/>
    </row>
    <row r="1054" spans="1:16" ht="14.25" customHeight="1">
      <c r="A1054">
        <v>3014</v>
      </c>
      <c r="B1054">
        <f>IF(表1[[#This Row],[不调整offset]]="x",IFERROR(VLOOKUP(表1[[#This Row],[8:image]],常量!J:N,4,FALSE),0),0)</f>
        <v>9.25</v>
      </c>
      <c r="C1054">
        <f>IF(表1[[#This Row],[不调整offset]]="x",IFERROR(VLOOKUP(表1[[#This Row],[8:image]],常量!J:N,5,FALSE),0),0)</f>
        <v>3.25</v>
      </c>
      <c r="E1054" t="s">
        <v>2587</v>
      </c>
      <c r="F1054">
        <v>6</v>
      </c>
      <c r="G1054" s="1" t="s">
        <v>952</v>
      </c>
      <c r="H1054" s="17" t="s">
        <v>3704</v>
      </c>
      <c r="I1054" s="19"/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2586</v>
      </c>
      <c r="P1054" s="5"/>
    </row>
    <row r="1055" spans="1:16" ht="14.25" customHeight="1">
      <c r="A1055">
        <v>3015</v>
      </c>
      <c r="B1055">
        <f>IF(表1[[#This Row],[不调整offset]]="x",IFERROR(VLOOKUP(表1[[#This Row],[8:image]],常量!J:N,4,FALSE),0),0)</f>
        <v>0</v>
      </c>
      <c r="C1055">
        <f>IF(表1[[#This Row],[不调整offset]]="x",IFERROR(VLOOKUP(表1[[#This Row],[8:image]],常量!J:N,5,FALSE),0),0)</f>
        <v>0</v>
      </c>
      <c r="E1055" t="s">
        <v>2587</v>
      </c>
      <c r="F1055">
        <v>6</v>
      </c>
      <c r="G1055" s="13" t="s">
        <v>953</v>
      </c>
      <c r="H1055" s="16" t="s">
        <v>3705</v>
      </c>
      <c r="I1055" s="19"/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2586</v>
      </c>
      <c r="P1055" s="5"/>
    </row>
    <row r="1056" spans="1:16" ht="14.25" customHeight="1">
      <c r="A1056">
        <v>3016</v>
      </c>
      <c r="B1056">
        <f>IF(表1[[#This Row],[不调整offset]]="x",IFERROR(VLOOKUP(表1[[#This Row],[8:image]],常量!J:N,4,FALSE),0),0)</f>
        <v>12.25</v>
      </c>
      <c r="C1056">
        <f>IF(表1[[#This Row],[不调整offset]]="x",IFERROR(VLOOKUP(表1[[#This Row],[8:image]],常量!J:N,5,FALSE),0),0)</f>
        <v>3.25</v>
      </c>
      <c r="E1056" t="s">
        <v>2587</v>
      </c>
      <c r="F1056">
        <v>6</v>
      </c>
      <c r="G1056" s="12" t="s">
        <v>941</v>
      </c>
      <c r="H1056" s="17" t="s">
        <v>3706</v>
      </c>
      <c r="I1056" s="19"/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2586</v>
      </c>
      <c r="P1056" s="5"/>
    </row>
    <row r="1057" spans="1:16" ht="14.25" customHeight="1">
      <c r="A1057">
        <v>3017</v>
      </c>
      <c r="B1057">
        <f>IF(表1[[#This Row],[不调整offset]]="x",IFERROR(VLOOKUP(表1[[#This Row],[8:image]],常量!J:N,4,FALSE),0),0)</f>
        <v>0</v>
      </c>
      <c r="C1057">
        <f>IF(表1[[#This Row],[不调整offset]]="x",IFERROR(VLOOKUP(表1[[#This Row],[8:image]],常量!J:N,5,FALSE),0),0)</f>
        <v>0</v>
      </c>
      <c r="E1057" t="s">
        <v>2587</v>
      </c>
      <c r="F1057">
        <v>6</v>
      </c>
      <c r="G1057" s="13" t="s">
        <v>954</v>
      </c>
      <c r="H1057" s="16" t="s">
        <v>3707</v>
      </c>
      <c r="I1057" s="19"/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2586</v>
      </c>
      <c r="P1057" s="5"/>
    </row>
    <row r="1058" spans="1:16" ht="14.25" customHeight="1">
      <c r="A1058">
        <v>3018</v>
      </c>
      <c r="B1058">
        <f>IF(表1[[#This Row],[不调整offset]]="x",IFERROR(VLOOKUP(表1[[#This Row],[8:image]],常量!J:N,4,FALSE),0),0)</f>
        <v>18.25</v>
      </c>
      <c r="C1058">
        <f>IF(表1[[#This Row],[不调整offset]]="x",IFERROR(VLOOKUP(表1[[#This Row],[8:image]],常量!J:N,5,FALSE),0),0)</f>
        <v>3.25</v>
      </c>
      <c r="E1058" t="s">
        <v>2587</v>
      </c>
      <c r="F1058">
        <v>6</v>
      </c>
      <c r="G1058" s="12" t="s">
        <v>941</v>
      </c>
      <c r="H1058" s="17" t="s">
        <v>3708</v>
      </c>
      <c r="I1058" s="19"/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2586</v>
      </c>
      <c r="P1058" s="5"/>
    </row>
    <row r="1059" spans="1:16" ht="14.25" customHeight="1">
      <c r="A1059">
        <v>3019</v>
      </c>
      <c r="B1059">
        <f>IF(表1[[#This Row],[不调整offset]]="x",IFERROR(VLOOKUP(表1[[#This Row],[8:image]],常量!J:N,4,FALSE),0),0)</f>
        <v>0</v>
      </c>
      <c r="C1059">
        <f>IF(表1[[#This Row],[不调整offset]]="x",IFERROR(VLOOKUP(表1[[#This Row],[8:image]],常量!J:N,5,FALSE),0),0)</f>
        <v>0</v>
      </c>
      <c r="E1059" t="s">
        <v>2587</v>
      </c>
      <c r="F1059">
        <v>6</v>
      </c>
      <c r="G1059" s="13" t="s">
        <v>955</v>
      </c>
      <c r="H1059" s="16" t="s">
        <v>3709</v>
      </c>
      <c r="I1059" s="19"/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2586</v>
      </c>
      <c r="P1059" s="5"/>
    </row>
    <row r="1060" spans="1:16" ht="14.25" customHeight="1">
      <c r="A1060">
        <v>3020</v>
      </c>
      <c r="B1060">
        <f>IF(表1[[#This Row],[不调整offset]]="x",IFERROR(VLOOKUP(表1[[#This Row],[8:image]],常量!J:N,4,FALSE),0),0)</f>
        <v>18.25</v>
      </c>
      <c r="C1060">
        <f>IF(表1[[#This Row],[不调整offset]]="x",IFERROR(VLOOKUP(表1[[#This Row],[8:image]],常量!J:N,5,FALSE),0),0)</f>
        <v>3.25</v>
      </c>
      <c r="E1060" t="s">
        <v>2587</v>
      </c>
      <c r="F1060">
        <v>6</v>
      </c>
      <c r="G1060" s="12" t="s">
        <v>941</v>
      </c>
      <c r="H1060" s="17" t="s">
        <v>3710</v>
      </c>
      <c r="I1060" s="19"/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2586</v>
      </c>
      <c r="P1060" s="5"/>
    </row>
    <row r="1061" spans="1:16" ht="14.25" customHeight="1">
      <c r="A1061">
        <v>3021</v>
      </c>
      <c r="B1061">
        <f>IF(表1[[#This Row],[不调整offset]]="x",IFERROR(VLOOKUP(表1[[#This Row],[8:image]],常量!J:N,4,FALSE),0),0)</f>
        <v>12.25</v>
      </c>
      <c r="C1061">
        <f>IF(表1[[#This Row],[不调整offset]]="x",IFERROR(VLOOKUP(表1[[#This Row],[8:image]],常量!J:N,5,FALSE),0),0)</f>
        <v>3.25</v>
      </c>
      <c r="E1061" t="s">
        <v>2587</v>
      </c>
      <c r="F1061">
        <v>6</v>
      </c>
      <c r="G1061" s="1" t="s">
        <v>956</v>
      </c>
      <c r="H1061" s="17" t="s">
        <v>3711</v>
      </c>
      <c r="I1061" s="19"/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2586</v>
      </c>
      <c r="P1061" s="5"/>
    </row>
    <row r="1062" spans="1:16" ht="14.25" customHeight="1">
      <c r="A1062">
        <v>3022</v>
      </c>
      <c r="B1062">
        <f>IF(表1[[#This Row],[不调整offset]]="x",IFERROR(VLOOKUP(表1[[#This Row],[8:image]],常量!J:N,4,FALSE),0),0)</f>
        <v>0</v>
      </c>
      <c r="C1062">
        <f>IF(表1[[#This Row],[不调整offset]]="x",IFERROR(VLOOKUP(表1[[#This Row],[8:image]],常量!J:N,5,FALSE),0),0)</f>
        <v>0</v>
      </c>
      <c r="E1062" t="s">
        <v>2587</v>
      </c>
      <c r="F1062">
        <v>6</v>
      </c>
      <c r="G1062" s="13" t="s">
        <v>957</v>
      </c>
      <c r="H1062" s="16" t="s">
        <v>3712</v>
      </c>
      <c r="I1062" s="19"/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2586</v>
      </c>
      <c r="P1062" s="5"/>
    </row>
    <row r="1063" spans="1:16" ht="14.25" customHeight="1">
      <c r="A1063">
        <v>3023</v>
      </c>
      <c r="B1063">
        <f>IF(表1[[#This Row],[不调整offset]]="x",IFERROR(VLOOKUP(表1[[#This Row],[8:image]],常量!J:N,4,FALSE),0),0)</f>
        <v>18.25</v>
      </c>
      <c r="C1063">
        <f>IF(表1[[#This Row],[不调整offset]]="x",IFERROR(VLOOKUP(表1[[#This Row],[8:image]],常量!J:N,5,FALSE),0),0)</f>
        <v>3.25</v>
      </c>
      <c r="E1063" t="s">
        <v>2587</v>
      </c>
      <c r="F1063">
        <v>6</v>
      </c>
      <c r="G1063" s="12" t="s">
        <v>956</v>
      </c>
      <c r="H1063" s="17" t="s">
        <v>3713</v>
      </c>
      <c r="I1063" s="19"/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2586</v>
      </c>
      <c r="P1063" s="5"/>
    </row>
    <row r="1064" spans="1:16" ht="14.25" customHeight="1">
      <c r="A1064">
        <v>3024</v>
      </c>
      <c r="B1064">
        <f>IF(表1[[#This Row],[不调整offset]]="x",IFERROR(VLOOKUP(表1[[#This Row],[8:image]],常量!J:N,4,FALSE),0),0)</f>
        <v>0</v>
      </c>
      <c r="C1064">
        <f>IF(表1[[#This Row],[不调整offset]]="x",IFERROR(VLOOKUP(表1[[#This Row],[8:image]],常量!J:N,5,FALSE),0),0)</f>
        <v>0</v>
      </c>
      <c r="E1064" t="s">
        <v>2587</v>
      </c>
      <c r="F1064">
        <v>6</v>
      </c>
      <c r="G1064" s="13" t="s">
        <v>958</v>
      </c>
      <c r="H1064" s="16" t="s">
        <v>3714</v>
      </c>
      <c r="I1064" s="19"/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2586</v>
      </c>
      <c r="P1064" s="5"/>
    </row>
    <row r="1065" spans="1:16" ht="14.25" customHeight="1">
      <c r="A1065">
        <v>3025</v>
      </c>
      <c r="B1065">
        <f>IF(表1[[#This Row],[不调整offset]]="x",IFERROR(VLOOKUP(表1[[#This Row],[8:image]],常量!J:N,4,FALSE),0),0)</f>
        <v>18.25</v>
      </c>
      <c r="C1065">
        <f>IF(表1[[#This Row],[不调整offset]]="x",IFERROR(VLOOKUP(表1[[#This Row],[8:image]],常量!J:N,5,FALSE),0),0)</f>
        <v>3.25</v>
      </c>
      <c r="E1065" t="s">
        <v>2587</v>
      </c>
      <c r="F1065">
        <v>6</v>
      </c>
      <c r="G1065" s="12" t="s">
        <v>956</v>
      </c>
      <c r="H1065" s="17" t="s">
        <v>3715</v>
      </c>
      <c r="I1065" s="19"/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2586</v>
      </c>
      <c r="P1065" s="5"/>
    </row>
    <row r="1066" spans="1:16" ht="14.25" customHeight="1">
      <c r="A1066">
        <v>3026</v>
      </c>
      <c r="B1066">
        <f>IF(表1[[#This Row],[不调整offset]]="x",IFERROR(VLOOKUP(表1[[#This Row],[8:image]],常量!J:N,4,FALSE),0),0)</f>
        <v>9.25</v>
      </c>
      <c r="C1066">
        <f>IF(表1[[#This Row],[不调整offset]]="x",IFERROR(VLOOKUP(表1[[#This Row],[8:image]],常量!J:N,5,FALSE),0),0)</f>
        <v>3.25</v>
      </c>
      <c r="E1066" t="s">
        <v>2587</v>
      </c>
      <c r="F1066">
        <v>6</v>
      </c>
      <c r="G1066" s="1" t="s">
        <v>959</v>
      </c>
      <c r="H1066" s="17" t="s">
        <v>3716</v>
      </c>
      <c r="I1066" s="19"/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2586</v>
      </c>
      <c r="P1066" s="5"/>
    </row>
    <row r="1067" spans="1:16" ht="14.25" customHeight="1">
      <c r="A1067">
        <v>3027</v>
      </c>
      <c r="B1067">
        <f>IF(表1[[#This Row],[不调整offset]]="x",IFERROR(VLOOKUP(表1[[#This Row],[8:image]],常量!J:N,4,FALSE),0),0)</f>
        <v>0</v>
      </c>
      <c r="C1067">
        <f>IF(表1[[#This Row],[不调整offset]]="x",IFERROR(VLOOKUP(表1[[#This Row],[8:image]],常量!J:N,5,FALSE),0),0)</f>
        <v>0</v>
      </c>
      <c r="E1067" t="s">
        <v>2587</v>
      </c>
      <c r="F1067">
        <v>6</v>
      </c>
      <c r="G1067" s="13" t="s">
        <v>960</v>
      </c>
      <c r="H1067" s="16" t="s">
        <v>3717</v>
      </c>
      <c r="I1067" s="19"/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2586</v>
      </c>
      <c r="P1067" s="5"/>
    </row>
    <row r="1068" spans="1:16" ht="14.25" customHeight="1">
      <c r="A1068">
        <v>3028</v>
      </c>
      <c r="B1068">
        <f>IF(表1[[#This Row],[不调整offset]]="x",IFERROR(VLOOKUP(表1[[#This Row],[8:image]],常量!J:N,4,FALSE),0),0)</f>
        <v>15.25</v>
      </c>
      <c r="C1068">
        <f>IF(表1[[#This Row],[不调整offset]]="x",IFERROR(VLOOKUP(表1[[#This Row],[8:image]],常量!J:N,5,FALSE),0),0)</f>
        <v>3.25</v>
      </c>
      <c r="E1068" t="s">
        <v>2587</v>
      </c>
      <c r="F1068">
        <v>6</v>
      </c>
      <c r="G1068" s="12" t="s">
        <v>959</v>
      </c>
      <c r="H1068" s="17" t="s">
        <v>3718</v>
      </c>
      <c r="I1068" s="19"/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2586</v>
      </c>
      <c r="P1068" s="5"/>
    </row>
    <row r="1069" spans="1:16" ht="14.25" customHeight="1">
      <c r="A1069">
        <v>3029</v>
      </c>
      <c r="B1069">
        <f>IF(表1[[#This Row],[不调整offset]]="x",IFERROR(VLOOKUP(表1[[#This Row],[8:image]],常量!J:N,4,FALSE),0),0)</f>
        <v>9.25</v>
      </c>
      <c r="C1069">
        <f>IF(表1[[#This Row],[不调整offset]]="x",IFERROR(VLOOKUP(表1[[#This Row],[8:image]],常量!J:N,5,FALSE),0),0)</f>
        <v>3.25</v>
      </c>
      <c r="E1069" t="s">
        <v>2587</v>
      </c>
      <c r="F1069">
        <v>6</v>
      </c>
      <c r="G1069" s="1" t="s">
        <v>961</v>
      </c>
      <c r="H1069" s="17" t="s">
        <v>3719</v>
      </c>
      <c r="I1069" s="19"/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2586</v>
      </c>
      <c r="P1069" s="5"/>
    </row>
    <row r="1070" spans="1:16" ht="14.25" customHeight="1">
      <c r="A1070">
        <v>3030</v>
      </c>
      <c r="B1070">
        <f>IF(表1[[#This Row],[不调整offset]]="x",IFERROR(VLOOKUP(表1[[#This Row],[8:image]],常量!J:N,4,FALSE),0),0)</f>
        <v>15.25</v>
      </c>
      <c r="C1070">
        <f>IF(表1[[#This Row],[不调整offset]]="x",IFERROR(VLOOKUP(表1[[#This Row],[8:image]],常量!J:N,5,FALSE),0),0)</f>
        <v>3.25</v>
      </c>
      <c r="E1070" t="s">
        <v>2587</v>
      </c>
      <c r="F1070">
        <v>6</v>
      </c>
      <c r="G1070" s="1" t="s">
        <v>962</v>
      </c>
      <c r="H1070" s="17" t="s">
        <v>3720</v>
      </c>
      <c r="I1070" s="19"/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2586</v>
      </c>
      <c r="P1070" s="5"/>
    </row>
    <row r="1071" spans="1:16" ht="14.25" customHeight="1">
      <c r="A1071">
        <v>3031</v>
      </c>
      <c r="B1071">
        <f>IF(表1[[#This Row],[不调整offset]]="x",IFERROR(VLOOKUP(表1[[#This Row],[8:image]],常量!J:N,4,FALSE),0),0)</f>
        <v>6.25</v>
      </c>
      <c r="C1071">
        <f>IF(表1[[#This Row],[不调整offset]]="x",IFERROR(VLOOKUP(表1[[#This Row],[8:image]],常量!J:N,5,FALSE),0),0)</f>
        <v>3.25</v>
      </c>
      <c r="E1071" t="s">
        <v>2587</v>
      </c>
      <c r="F1071">
        <v>6</v>
      </c>
      <c r="G1071" s="1" t="s">
        <v>963</v>
      </c>
      <c r="H1071" s="17" t="s">
        <v>3721</v>
      </c>
      <c r="I1071" s="19"/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2586</v>
      </c>
      <c r="P1071" s="5"/>
    </row>
    <row r="1072" spans="1:16" ht="14.25" customHeight="1">
      <c r="A1072">
        <v>3032</v>
      </c>
      <c r="B1072">
        <f>IF(表1[[#This Row],[不调整offset]]="x",IFERROR(VLOOKUP(表1[[#This Row],[8:image]],常量!J:N,4,FALSE),0),0)</f>
        <v>12.25</v>
      </c>
      <c r="C1072">
        <f>IF(表1[[#This Row],[不调整offset]]="x",IFERROR(VLOOKUP(表1[[#This Row],[8:image]],常量!J:N,5,FALSE),0),0)</f>
        <v>3.25</v>
      </c>
      <c r="E1072" t="s">
        <v>2587</v>
      </c>
      <c r="F1072">
        <v>6</v>
      </c>
      <c r="G1072" s="1" t="s">
        <v>964</v>
      </c>
      <c r="H1072" s="17" t="s">
        <v>3722</v>
      </c>
      <c r="I1072" s="19"/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2586</v>
      </c>
      <c r="P1072" s="5"/>
    </row>
    <row r="1073" spans="1:16" ht="14.25" customHeight="1">
      <c r="A1073">
        <v>3033</v>
      </c>
      <c r="B1073">
        <f>IF(表1[[#This Row],[不调整offset]]="x",IFERROR(VLOOKUP(表1[[#This Row],[8:image]],常量!J:N,4,FALSE),0),0)</f>
        <v>9.25</v>
      </c>
      <c r="C1073">
        <f>IF(表1[[#This Row],[不调整offset]]="x",IFERROR(VLOOKUP(表1[[#This Row],[8:image]],常量!J:N,5,FALSE),0),0)</f>
        <v>3.25</v>
      </c>
      <c r="E1073" t="s">
        <v>2587</v>
      </c>
      <c r="F1073">
        <v>6</v>
      </c>
      <c r="G1073" s="1" t="s">
        <v>2481</v>
      </c>
      <c r="H1073" s="17" t="s">
        <v>3723</v>
      </c>
      <c r="I1073" s="19"/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2586</v>
      </c>
      <c r="P1073" s="5"/>
    </row>
    <row r="1074" spans="1:16" ht="14.25" customHeight="1">
      <c r="A1074">
        <v>3034</v>
      </c>
      <c r="B1074">
        <f>IF(表1[[#This Row],[不调整offset]]="x",IFERROR(VLOOKUP(表1[[#This Row],[8:image]],常量!J:N,4,FALSE),0),0)</f>
        <v>9.25</v>
      </c>
      <c r="C1074">
        <f>IF(表1[[#This Row],[不调整offset]]="x",IFERROR(VLOOKUP(表1[[#This Row],[8:image]],常量!J:N,5,FALSE),0),0)</f>
        <v>3.25</v>
      </c>
      <c r="E1074" t="s">
        <v>2587</v>
      </c>
      <c r="F1074">
        <v>6</v>
      </c>
      <c r="G1074" s="1" t="s">
        <v>965</v>
      </c>
      <c r="H1074" s="17" t="s">
        <v>3724</v>
      </c>
      <c r="I1074" s="19"/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2586</v>
      </c>
      <c r="P1074" s="5"/>
    </row>
    <row r="1075" spans="1:16" ht="14.25" customHeight="1">
      <c r="A1075">
        <v>3035</v>
      </c>
      <c r="B1075">
        <f>IF(表1[[#This Row],[不调整offset]]="x",IFERROR(VLOOKUP(表1[[#This Row],[8:image]],常量!J:N,4,FALSE),0),0)</f>
        <v>6.25</v>
      </c>
      <c r="C1075">
        <f>IF(表1[[#This Row],[不调整offset]]="x",IFERROR(VLOOKUP(表1[[#This Row],[8:image]],常量!J:N,5,FALSE),0),0)</f>
        <v>3.25</v>
      </c>
      <c r="E1075" t="s">
        <v>2587</v>
      </c>
      <c r="F1075">
        <v>6</v>
      </c>
      <c r="G1075" s="1" t="s">
        <v>966</v>
      </c>
      <c r="H1075" s="17" t="s">
        <v>3725</v>
      </c>
      <c r="I1075" s="19"/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2586</v>
      </c>
      <c r="P1075" s="5"/>
    </row>
    <row r="1076" spans="1:16" ht="14.25" customHeight="1">
      <c r="A1076">
        <v>3036</v>
      </c>
      <c r="B1076">
        <f>IF(表1[[#This Row],[不调整offset]]="x",IFERROR(VLOOKUP(表1[[#This Row],[8:image]],常量!J:N,4,FALSE),0),0)</f>
        <v>6.25</v>
      </c>
      <c r="C1076">
        <f>IF(表1[[#This Row],[不调整offset]]="x",IFERROR(VLOOKUP(表1[[#This Row],[8:image]],常量!J:N,5,FALSE),0),0)</f>
        <v>3.25</v>
      </c>
      <c r="E1076" t="s">
        <v>2587</v>
      </c>
      <c r="F1076">
        <v>6</v>
      </c>
      <c r="G1076" s="1" t="s">
        <v>967</v>
      </c>
      <c r="H1076" s="17" t="s">
        <v>3726</v>
      </c>
      <c r="I1076" s="19"/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2586</v>
      </c>
      <c r="P1076" s="5"/>
    </row>
    <row r="1077" spans="1:16" ht="14.25" customHeight="1">
      <c r="A1077">
        <v>3037</v>
      </c>
      <c r="B1077">
        <f>IF(表1[[#This Row],[不调整offset]]="x",IFERROR(VLOOKUP(表1[[#This Row],[8:image]],常量!J:N,4,FALSE),0),0)</f>
        <v>9.25</v>
      </c>
      <c r="C1077">
        <f>IF(表1[[#This Row],[不调整offset]]="x",IFERROR(VLOOKUP(表1[[#This Row],[8:image]],常量!J:N,5,FALSE),0),0)</f>
        <v>3.25</v>
      </c>
      <c r="E1077" t="s">
        <v>2587</v>
      </c>
      <c r="F1077">
        <v>6</v>
      </c>
      <c r="G1077" s="1" t="s">
        <v>968</v>
      </c>
      <c r="H1077" s="17" t="s">
        <v>3727</v>
      </c>
      <c r="I1077" s="19"/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2586</v>
      </c>
      <c r="P1077" s="5"/>
    </row>
    <row r="1078" spans="1:16" ht="14.25" customHeight="1">
      <c r="A1078">
        <v>3038</v>
      </c>
      <c r="B1078">
        <f>IF(表1[[#This Row],[不调整offset]]="x",IFERROR(VLOOKUP(表1[[#This Row],[8:image]],常量!J:N,4,FALSE),0),0)</f>
        <v>15.25</v>
      </c>
      <c r="C1078">
        <f>IF(表1[[#This Row],[不调整offset]]="x",IFERROR(VLOOKUP(表1[[#This Row],[8:image]],常量!J:N,5,FALSE),0),0)</f>
        <v>3.25</v>
      </c>
      <c r="E1078" t="s">
        <v>2587</v>
      </c>
      <c r="F1078">
        <v>6</v>
      </c>
      <c r="G1078" s="1" t="s">
        <v>969</v>
      </c>
      <c r="H1078" s="17" t="s">
        <v>3728</v>
      </c>
      <c r="I1078" s="19"/>
      <c r="J1078" t="str">
        <f>IF(LEN(VLOOKUP(表1[[#This Row],[id]],数据引用!A:C,3,FALSE))&gt;0,VLOOKUP(表1[[#This Row],[id]],数据引用!A:C,3,FALSE),"")</f>
        <v>火焰史莱姆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O1078" t="s">
        <v>2586</v>
      </c>
      <c r="P1078" s="5"/>
    </row>
    <row r="1079" spans="1:16" ht="14.25" customHeight="1">
      <c r="A1079">
        <v>3039</v>
      </c>
      <c r="B1079">
        <f>IF(表1[[#This Row],[不调整offset]]="x",IFERROR(VLOOKUP(表1[[#This Row],[8:image]],常量!J:N,4,FALSE),0),0)</f>
        <v>15.25</v>
      </c>
      <c r="C1079">
        <f>IF(表1[[#This Row],[不调整offset]]="x",IFERROR(VLOOKUP(表1[[#This Row],[8:image]],常量!J:N,5,FALSE),0),0)</f>
        <v>3.25</v>
      </c>
      <c r="E1079" t="s">
        <v>2587</v>
      </c>
      <c r="F1079">
        <v>6</v>
      </c>
      <c r="G1079" s="1" t="s">
        <v>970</v>
      </c>
      <c r="H1079" s="17" t="s">
        <v>3729</v>
      </c>
      <c r="I1079" s="19"/>
      <c r="J1079" t="str">
        <f>IF(LEN(VLOOKUP(表1[[#This Row],[id]],数据引用!A:C,3,FALSE))&gt;0,VLOOKUP(表1[[#This Row],[id]],数据引用!A:C,3,FALSE),"")</f>
        <v>冰霜史莱姆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O1079" t="s">
        <v>2586</v>
      </c>
      <c r="P1079" s="5"/>
    </row>
    <row r="1080" spans="1:16" ht="14.25" customHeight="1">
      <c r="A1080">
        <v>3040</v>
      </c>
      <c r="B1080">
        <f>IF(表1[[#This Row],[不调整offset]]="x",IFERROR(VLOOKUP(表1[[#This Row],[8:image]],常量!J:N,4,FALSE),0),0)</f>
        <v>12.25</v>
      </c>
      <c r="C1080">
        <f>IF(表1[[#This Row],[不调整offset]]="x",IFERROR(VLOOKUP(表1[[#This Row],[8:image]],常量!J:N,5,FALSE),0),0)</f>
        <v>3.25</v>
      </c>
      <c r="E1080" t="s">
        <v>2587</v>
      </c>
      <c r="F1080">
        <v>6</v>
      </c>
      <c r="G1080" s="1" t="s">
        <v>971</v>
      </c>
      <c r="H1080" s="17" t="s">
        <v>3730</v>
      </c>
      <c r="I1080" s="19"/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2586</v>
      </c>
      <c r="P1080" s="5"/>
    </row>
    <row r="1081" spans="1:16" ht="14.25" customHeight="1">
      <c r="A1081">
        <v>3041</v>
      </c>
      <c r="B1081">
        <f>IF(表1[[#This Row],[不调整offset]]="x",IFERROR(VLOOKUP(表1[[#This Row],[8:image]],常量!J:N,4,FALSE),0),0)</f>
        <v>0</v>
      </c>
      <c r="C1081">
        <f>IF(表1[[#This Row],[不调整offset]]="x",IFERROR(VLOOKUP(表1[[#This Row],[8:image]],常量!J:N,5,FALSE),0),0)</f>
        <v>0</v>
      </c>
      <c r="E1081" t="s">
        <v>2587</v>
      </c>
      <c r="F1081">
        <v>6</v>
      </c>
      <c r="G1081" s="13" t="s">
        <v>957</v>
      </c>
      <c r="H1081" s="16" t="s">
        <v>3731</v>
      </c>
      <c r="I1081" s="19"/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2586</v>
      </c>
      <c r="P1081" s="5"/>
    </row>
    <row r="1082" spans="1:16" ht="14.25" customHeight="1">
      <c r="A1082">
        <v>3042</v>
      </c>
      <c r="B1082">
        <f>IF(表1[[#This Row],[不调整offset]]="x",IFERROR(VLOOKUP(表1[[#This Row],[8:image]],常量!J:N,4,FALSE),0),0)</f>
        <v>18.25</v>
      </c>
      <c r="C1082">
        <f>IF(表1[[#This Row],[不调整offset]]="x",IFERROR(VLOOKUP(表1[[#This Row],[8:image]],常量!J:N,5,FALSE),0),0)</f>
        <v>3.25</v>
      </c>
      <c r="E1082" t="s">
        <v>2587</v>
      </c>
      <c r="F1082">
        <v>6</v>
      </c>
      <c r="G1082" s="12" t="s">
        <v>971</v>
      </c>
      <c r="H1082" s="17" t="s">
        <v>3732</v>
      </c>
      <c r="I1082" s="19"/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2586</v>
      </c>
      <c r="P1082" s="5"/>
    </row>
    <row r="1083" spans="1:16" ht="14.25" customHeight="1">
      <c r="A1083">
        <v>3043</v>
      </c>
      <c r="B1083">
        <f>IF(表1[[#This Row],[不调整offset]]="x",IFERROR(VLOOKUP(表1[[#This Row],[8:image]],常量!J:N,4,FALSE),0),0)</f>
        <v>0</v>
      </c>
      <c r="C1083">
        <f>IF(表1[[#This Row],[不调整offset]]="x",IFERROR(VLOOKUP(表1[[#This Row],[8:image]],常量!J:N,5,FALSE),0),0)</f>
        <v>0</v>
      </c>
      <c r="E1083" t="s">
        <v>2587</v>
      </c>
      <c r="F1083">
        <v>6</v>
      </c>
      <c r="G1083" s="13" t="s">
        <v>958</v>
      </c>
      <c r="H1083" s="16" t="s">
        <v>3733</v>
      </c>
      <c r="I1083" s="19"/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2586</v>
      </c>
      <c r="P1083" s="5"/>
    </row>
    <row r="1084" spans="1:16" ht="14.25" customHeight="1">
      <c r="A1084">
        <v>3044</v>
      </c>
      <c r="B1084">
        <f>IF(表1[[#This Row],[不调整offset]]="x",IFERROR(VLOOKUP(表1[[#This Row],[8:image]],常量!J:N,4,FALSE),0),0)</f>
        <v>18.25</v>
      </c>
      <c r="C1084">
        <f>IF(表1[[#This Row],[不调整offset]]="x",IFERROR(VLOOKUP(表1[[#This Row],[8:image]],常量!J:N,5,FALSE),0),0)</f>
        <v>3.25</v>
      </c>
      <c r="E1084" t="s">
        <v>2587</v>
      </c>
      <c r="F1084">
        <v>6</v>
      </c>
      <c r="G1084" s="12" t="s">
        <v>971</v>
      </c>
      <c r="H1084" s="17" t="s">
        <v>3734</v>
      </c>
      <c r="I1084" s="19"/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2586</v>
      </c>
      <c r="P1084" s="5"/>
    </row>
    <row r="1085" spans="1:16" ht="14.25" customHeight="1">
      <c r="A1085">
        <v>3045</v>
      </c>
      <c r="B1085">
        <f>IF(表1[[#This Row],[不调整offset]]="x",IFERROR(VLOOKUP(表1[[#This Row],[8:image]],常量!J:N,4,FALSE),0),0)</f>
        <v>9.25</v>
      </c>
      <c r="C1085">
        <f>IF(表1[[#This Row],[不调整offset]]="x",IFERROR(VLOOKUP(表1[[#This Row],[8:image]],常量!J:N,5,FALSE),0),0)</f>
        <v>3.25</v>
      </c>
      <c r="E1085" t="s">
        <v>2587</v>
      </c>
      <c r="F1085">
        <v>6</v>
      </c>
      <c r="G1085" s="1" t="s">
        <v>972</v>
      </c>
      <c r="H1085" s="17" t="s">
        <v>3735</v>
      </c>
      <c r="I1085" s="19"/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2586</v>
      </c>
      <c r="P1085" s="5"/>
    </row>
    <row r="1086" spans="1:16" ht="14.25" customHeight="1">
      <c r="A1086">
        <v>3046</v>
      </c>
      <c r="B1086">
        <f>IF(表1[[#This Row],[不调整offset]]="x",IFERROR(VLOOKUP(表1[[#This Row],[8:image]],常量!J:N,4,FALSE),0),0)</f>
        <v>9.25</v>
      </c>
      <c r="C1086">
        <f>IF(表1[[#This Row],[不调整offset]]="x",IFERROR(VLOOKUP(表1[[#This Row],[8:image]],常量!J:N,5,FALSE),0),0)</f>
        <v>3.25</v>
      </c>
      <c r="E1086" t="s">
        <v>2587</v>
      </c>
      <c r="F1086">
        <v>6</v>
      </c>
      <c r="G1086" s="1" t="s">
        <v>973</v>
      </c>
      <c r="H1086" s="17" t="s">
        <v>3736</v>
      </c>
      <c r="I1086" s="19"/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2586</v>
      </c>
      <c r="P1086" s="5"/>
    </row>
    <row r="1087" spans="1:16" ht="14.25" customHeight="1">
      <c r="A1087">
        <v>3047</v>
      </c>
      <c r="B1087">
        <f>IF(表1[[#This Row],[不调整offset]]="x",IFERROR(VLOOKUP(表1[[#This Row],[8:image]],常量!J:N,4,FALSE),0),0)</f>
        <v>9.25</v>
      </c>
      <c r="C1087">
        <f>IF(表1[[#This Row],[不调整offset]]="x",IFERROR(VLOOKUP(表1[[#This Row],[8:image]],常量!J:N,5,FALSE),0),0)</f>
        <v>3.25</v>
      </c>
      <c r="E1087" t="s">
        <v>2587</v>
      </c>
      <c r="F1087">
        <v>6</v>
      </c>
      <c r="G1087" s="1" t="s">
        <v>974</v>
      </c>
      <c r="H1087" s="17" t="s">
        <v>3737</v>
      </c>
      <c r="I1087" s="19"/>
      <c r="J1087" t="str">
        <f>IF(LEN(VLOOKUP(表1[[#This Row],[id]],数据引用!A:C,3,FALSE))&gt;0,VLOOKUP(表1[[#This Row],[id]],数据引用!A:C,3,FALSE),"")</f>
        <v>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087" t="s">
        <v>2586</v>
      </c>
      <c r="P1087" s="5"/>
    </row>
    <row r="1088" spans="1:16" ht="14.25" customHeight="1">
      <c r="A1088">
        <v>3048</v>
      </c>
      <c r="B1088">
        <f>IF(表1[[#This Row],[不调整offset]]="x",IFERROR(VLOOKUP(表1[[#This Row],[8:image]],常量!J:N,4,FALSE),0),0)</f>
        <v>0</v>
      </c>
      <c r="C1088">
        <f>IF(表1[[#This Row],[不调整offset]]="x",IFERROR(VLOOKUP(表1[[#This Row],[8:image]],常量!J:N,5,FALSE),0),0)</f>
        <v>0</v>
      </c>
      <c r="E1088" t="s">
        <v>2587</v>
      </c>
      <c r="F1088">
        <v>6</v>
      </c>
      <c r="G1088" s="13" t="s">
        <v>975</v>
      </c>
      <c r="H1088" s="16" t="s">
        <v>3738</v>
      </c>
      <c r="I1088" s="19"/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2586</v>
      </c>
      <c r="P1088" s="5"/>
    </row>
    <row r="1089" spans="1:16" ht="14.25" customHeight="1">
      <c r="A1089">
        <v>3049</v>
      </c>
      <c r="B1089">
        <f>IF(表1[[#This Row],[不调整offset]]="x",IFERROR(VLOOKUP(表1[[#This Row],[8:image]],常量!J:N,4,FALSE),0),0)</f>
        <v>15.25</v>
      </c>
      <c r="C1089">
        <f>IF(表1[[#This Row],[不调整offset]]="x",IFERROR(VLOOKUP(表1[[#This Row],[8:image]],常量!J:N,5,FALSE),0),0)</f>
        <v>3.25</v>
      </c>
      <c r="E1089" t="s">
        <v>2587</v>
      </c>
      <c r="F1089">
        <v>6</v>
      </c>
      <c r="G1089" s="12" t="s">
        <v>974</v>
      </c>
      <c r="H1089" s="17" t="s">
        <v>3739</v>
      </c>
      <c r="I1089" s="19"/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2586</v>
      </c>
      <c r="P1089" s="5"/>
    </row>
    <row r="1090" spans="1:16" ht="14.25" customHeight="1">
      <c r="A1090">
        <v>3050</v>
      </c>
      <c r="B1090">
        <f>IF(表1[[#This Row],[不调整offset]]="x",IFERROR(VLOOKUP(表1[[#This Row],[8:image]],常量!J:N,4,FALSE),0),0)</f>
        <v>9.25</v>
      </c>
      <c r="C1090">
        <f>IF(表1[[#This Row],[不调整offset]]="x",IFERROR(VLOOKUP(表1[[#This Row],[8:image]],常量!J:N,5,FALSE),0),0)</f>
        <v>3.25</v>
      </c>
      <c r="E1090" t="s">
        <v>2587</v>
      </c>
      <c r="F1090">
        <v>6</v>
      </c>
      <c r="G1090" s="1" t="s">
        <v>976</v>
      </c>
      <c r="H1090" s="17" t="s">
        <v>3740</v>
      </c>
      <c r="I1090" s="19"/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2586</v>
      </c>
      <c r="P1090" s="5"/>
    </row>
    <row r="1091" spans="1:16" ht="14.25" customHeight="1">
      <c r="A1091">
        <v>3051</v>
      </c>
      <c r="B1091">
        <f>IF(表1[[#This Row],[不调整offset]]="x",IFERROR(VLOOKUP(表1[[#This Row],[8:image]],常量!J:N,4,FALSE),0),0)</f>
        <v>9.25</v>
      </c>
      <c r="C1091">
        <f>IF(表1[[#This Row],[不调整offset]]="x",IFERROR(VLOOKUP(表1[[#This Row],[8:image]],常量!J:N,5,FALSE),0),0)</f>
        <v>3.25</v>
      </c>
      <c r="E1091" t="s">
        <v>2587</v>
      </c>
      <c r="F1091">
        <v>6</v>
      </c>
      <c r="G1091" s="1" t="s">
        <v>977</v>
      </c>
      <c r="H1091" s="17" t="s">
        <v>3741</v>
      </c>
      <c r="I1091" s="19"/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2586</v>
      </c>
      <c r="P1091" s="5"/>
    </row>
    <row r="1092" spans="1:16" ht="14.25" customHeight="1">
      <c r="A1092">
        <v>3052</v>
      </c>
      <c r="B1092">
        <f>IF(表1[[#This Row],[不调整offset]]="x",IFERROR(VLOOKUP(表1[[#This Row],[8:image]],常量!J:N,4,FALSE),0),0)</f>
        <v>9.25</v>
      </c>
      <c r="C1092">
        <f>IF(表1[[#This Row],[不调整offset]]="x",IFERROR(VLOOKUP(表1[[#This Row],[8:image]],常量!J:N,5,FALSE),0),0)</f>
        <v>3.25</v>
      </c>
      <c r="E1092" t="s">
        <v>2587</v>
      </c>
      <c r="F1092">
        <v>6</v>
      </c>
      <c r="G1092" s="1" t="s">
        <v>978</v>
      </c>
      <c r="H1092" s="17" t="s">
        <v>3742</v>
      </c>
      <c r="I1092" s="19"/>
      <c r="J1092" t="str">
        <f>IF(LEN(VLOOKUP(表1[[#This Row],[id]],数据引用!A:C,3,FALSE))&gt;0,VLOOKUP(表1[[#This Row],[id]],数据引用!A:C,3,FALSE),"")</f>
        <v>推推怪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2" t="s">
        <v>2586</v>
      </c>
      <c r="P1092" s="5"/>
    </row>
    <row r="1093" spans="1:16" ht="14.25" customHeight="1">
      <c r="A1093">
        <v>3053</v>
      </c>
      <c r="B1093">
        <f>IF(表1[[#This Row],[不调整offset]]="x",IFERROR(VLOOKUP(表1[[#This Row],[8:image]],常量!J:N,4,FALSE),0),0)</f>
        <v>0</v>
      </c>
      <c r="C1093">
        <f>IF(表1[[#This Row],[不调整offset]]="x",IFERROR(VLOOKUP(表1[[#This Row],[8:image]],常量!J:N,5,FALSE),0),0)</f>
        <v>0</v>
      </c>
      <c r="E1093" t="s">
        <v>2587</v>
      </c>
      <c r="F1093">
        <v>6</v>
      </c>
      <c r="G1093" s="13" t="s">
        <v>975</v>
      </c>
      <c r="H1093" s="16" t="s">
        <v>3743</v>
      </c>
      <c r="I1093" s="19"/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2586</v>
      </c>
      <c r="P1093" s="5"/>
    </row>
    <row r="1094" spans="1:16" ht="14.25" customHeight="1">
      <c r="A1094">
        <v>3054</v>
      </c>
      <c r="B1094">
        <f>IF(表1[[#This Row],[不调整offset]]="x",IFERROR(VLOOKUP(表1[[#This Row],[8:image]],常量!J:N,4,FALSE),0),0)</f>
        <v>9.25</v>
      </c>
      <c r="C1094">
        <f>IF(表1[[#This Row],[不调整offset]]="x",IFERROR(VLOOKUP(表1[[#This Row],[8:image]],常量!J:N,5,FALSE),0),0)</f>
        <v>3.25</v>
      </c>
      <c r="E1094" t="s">
        <v>2587</v>
      </c>
      <c r="F1094">
        <v>6</v>
      </c>
      <c r="G1094" s="12" t="s">
        <v>978</v>
      </c>
      <c r="H1094" s="17" t="s">
        <v>3744</v>
      </c>
      <c r="I1094" s="19"/>
      <c r="J1094" t="str">
        <f>IF(LEN(VLOOKUP(表1[[#This Row],[id]],数据引用!A:C,3,FALSE))&gt;0,VLOOKUP(表1[[#This Row],[id]],数据引用!A:C,3,FALSE),"")</f>
        <v>推推怪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4" t="s">
        <v>2586</v>
      </c>
      <c r="P1094" s="5"/>
    </row>
    <row r="1095" spans="1:16" ht="14.25" customHeight="1">
      <c r="A1095">
        <v>3055</v>
      </c>
      <c r="B1095">
        <f>IF(表1[[#This Row],[不调整offset]]="x",IFERROR(VLOOKUP(表1[[#This Row],[8:image]],常量!J:N,4,FALSE),0),0)</f>
        <v>9.25</v>
      </c>
      <c r="C1095">
        <f>IF(表1[[#This Row],[不调整offset]]="x",IFERROR(VLOOKUP(表1[[#This Row],[8:image]],常量!J:N,5,FALSE),0),0)</f>
        <v>3.25</v>
      </c>
      <c r="E1095" t="s">
        <v>2587</v>
      </c>
      <c r="F1095">
        <v>6</v>
      </c>
      <c r="G1095" s="1" t="s">
        <v>979</v>
      </c>
      <c r="H1095" s="17" t="s">
        <v>3745</v>
      </c>
      <c r="I1095" s="19"/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2586</v>
      </c>
      <c r="P1095" s="5"/>
    </row>
    <row r="1096" spans="1:16" ht="14.25" customHeight="1">
      <c r="A1096">
        <v>3056</v>
      </c>
      <c r="B1096">
        <f>IF(表1[[#This Row],[不调整offset]]="x",IFERROR(VLOOKUP(表1[[#This Row],[8:image]],常量!J:N,4,FALSE),0),0)</f>
        <v>12.25</v>
      </c>
      <c r="C1096">
        <f>IF(表1[[#This Row],[不调整offset]]="x",IFERROR(VLOOKUP(表1[[#This Row],[8:image]],常量!J:N,5,FALSE),0),0)</f>
        <v>3.25</v>
      </c>
      <c r="E1096" t="s">
        <v>2587</v>
      </c>
      <c r="F1096">
        <v>6</v>
      </c>
      <c r="G1096" s="1" t="s">
        <v>980</v>
      </c>
      <c r="H1096" s="17" t="s">
        <v>3746</v>
      </c>
      <c r="I1096" s="19"/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2586</v>
      </c>
      <c r="P1096" s="5"/>
    </row>
    <row r="1097" spans="1:16" ht="14.25" customHeight="1">
      <c r="A1097">
        <v>3057</v>
      </c>
      <c r="B1097">
        <f>IF(表1[[#This Row],[不调整offset]]="x",IFERROR(VLOOKUP(表1[[#This Row],[8:image]],常量!J:N,4,FALSE),0),0)</f>
        <v>6.25</v>
      </c>
      <c r="C1097">
        <f>IF(表1[[#This Row],[不调整offset]]="x",IFERROR(VLOOKUP(表1[[#This Row],[8:image]],常量!J:N,5,FALSE),0),0)</f>
        <v>3.25</v>
      </c>
      <c r="E1097" t="s">
        <v>2587</v>
      </c>
      <c r="F1097">
        <v>6</v>
      </c>
      <c r="G1097" s="1" t="s">
        <v>981</v>
      </c>
      <c r="H1097" s="17" t="s">
        <v>3747</v>
      </c>
      <c r="I1097" s="19"/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2586</v>
      </c>
      <c r="P1097" s="5"/>
    </row>
    <row r="1098" spans="1:16" ht="14.25" customHeight="1">
      <c r="A1098">
        <v>3058</v>
      </c>
      <c r="B1098">
        <f>IF(表1[[#This Row],[不调整offset]]="x",IFERROR(VLOOKUP(表1[[#This Row],[8:image]],常量!J:N,4,FALSE),0),0)</f>
        <v>9.25</v>
      </c>
      <c r="C1098">
        <f>IF(表1[[#This Row],[不调整offset]]="x",IFERROR(VLOOKUP(表1[[#This Row],[8:image]],常量!J:N,5,FALSE),0),0)</f>
        <v>3.25</v>
      </c>
      <c r="E1098" t="s">
        <v>2587</v>
      </c>
      <c r="F1098">
        <v>6</v>
      </c>
      <c r="G1098" s="1" t="s">
        <v>982</v>
      </c>
      <c r="H1098" s="17" t="s">
        <v>3748</v>
      </c>
      <c r="I1098" s="19"/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2586</v>
      </c>
      <c r="P1098" s="5"/>
    </row>
    <row r="1099" spans="1:16" ht="14.25" customHeight="1">
      <c r="A1099">
        <v>3059</v>
      </c>
      <c r="B1099">
        <f>IF(表1[[#This Row],[不调整offset]]="x",IFERROR(VLOOKUP(表1[[#This Row],[8:image]],常量!J:N,4,FALSE),0),0)</f>
        <v>6.25</v>
      </c>
      <c r="C1099">
        <f>IF(表1[[#This Row],[不调整offset]]="x",IFERROR(VLOOKUP(表1[[#This Row],[8:image]],常量!J:N,5,FALSE),0),0)</f>
        <v>3.25</v>
      </c>
      <c r="E1099" t="s">
        <v>2587</v>
      </c>
      <c r="F1099">
        <v>6</v>
      </c>
      <c r="G1099" s="1" t="s">
        <v>983</v>
      </c>
      <c r="H1099" s="17" t="s">
        <v>3749</v>
      </c>
      <c r="I1099" s="19"/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2586</v>
      </c>
      <c r="P1099" s="5"/>
    </row>
    <row r="1100" spans="1:16" ht="14.25" customHeight="1">
      <c r="A1100">
        <v>3060</v>
      </c>
      <c r="B1100">
        <f>IF(表1[[#This Row],[不调整offset]]="x",IFERROR(VLOOKUP(表1[[#This Row],[8:image]],常量!J:N,4,FALSE),0),0)</f>
        <v>0</v>
      </c>
      <c r="C1100">
        <f>IF(表1[[#This Row],[不调整offset]]="x",IFERROR(VLOOKUP(表1[[#This Row],[8:image]],常量!J:N,5,FALSE),0),0)</f>
        <v>0</v>
      </c>
      <c r="E1100" t="s">
        <v>2587</v>
      </c>
      <c r="F1100">
        <v>6</v>
      </c>
      <c r="G1100" s="13" t="s">
        <v>957</v>
      </c>
      <c r="H1100" s="16" t="s">
        <v>3750</v>
      </c>
      <c r="I1100" s="19"/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2586</v>
      </c>
      <c r="P1100" s="5"/>
    </row>
    <row r="1101" spans="1:16" ht="14.25" customHeight="1">
      <c r="A1101">
        <v>3061</v>
      </c>
      <c r="B1101">
        <f>IF(表1[[#This Row],[不调整offset]]="x",IFERROR(VLOOKUP(表1[[#This Row],[8:image]],常量!J:N,4,FALSE),0),0)</f>
        <v>12.25</v>
      </c>
      <c r="C1101">
        <f>IF(表1[[#This Row],[不调整offset]]="x",IFERROR(VLOOKUP(表1[[#This Row],[8:image]],常量!J:N,5,FALSE),0),0)</f>
        <v>3.25</v>
      </c>
      <c r="E1101" t="s">
        <v>2587</v>
      </c>
      <c r="F1101">
        <v>6</v>
      </c>
      <c r="G1101" s="12" t="s">
        <v>983</v>
      </c>
      <c r="H1101" s="17" t="s">
        <v>3751</v>
      </c>
      <c r="I1101" s="19"/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2586</v>
      </c>
      <c r="P1101" s="5"/>
    </row>
    <row r="1102" spans="1:16" ht="14.25" customHeight="1">
      <c r="A1102">
        <v>3062</v>
      </c>
      <c r="B1102">
        <f>IF(表1[[#This Row],[不调整offset]]="x",IFERROR(VLOOKUP(表1[[#This Row],[8:image]],常量!J:N,4,FALSE),0),0)</f>
        <v>0</v>
      </c>
      <c r="C1102">
        <f>IF(表1[[#This Row],[不调整offset]]="x",IFERROR(VLOOKUP(表1[[#This Row],[8:image]],常量!J:N,5,FALSE),0),0)</f>
        <v>0</v>
      </c>
      <c r="E1102" t="s">
        <v>2587</v>
      </c>
      <c r="F1102">
        <v>6</v>
      </c>
      <c r="G1102" s="13" t="s">
        <v>958</v>
      </c>
      <c r="H1102" s="16" t="s">
        <v>3752</v>
      </c>
      <c r="I1102" s="19"/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2586</v>
      </c>
      <c r="P1102" s="5"/>
    </row>
    <row r="1103" spans="1:16" ht="14.25" customHeight="1">
      <c r="A1103">
        <v>3063</v>
      </c>
      <c r="B1103">
        <f>IF(表1[[#This Row],[不调整offset]]="x",IFERROR(VLOOKUP(表1[[#This Row],[8:image]],常量!J:N,4,FALSE),0),0)</f>
        <v>12.25</v>
      </c>
      <c r="C1103">
        <f>IF(表1[[#This Row],[不调整offset]]="x",IFERROR(VLOOKUP(表1[[#This Row],[8:image]],常量!J:N,5,FALSE),0),0)</f>
        <v>3.25</v>
      </c>
      <c r="E1103" t="s">
        <v>2587</v>
      </c>
      <c r="F1103">
        <v>6</v>
      </c>
      <c r="G1103" s="12" t="s">
        <v>983</v>
      </c>
      <c r="H1103" s="17" t="s">
        <v>3753</v>
      </c>
      <c r="I1103" s="19"/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2586</v>
      </c>
      <c r="P1103" s="5"/>
    </row>
    <row r="1104" spans="1:16" ht="14.25" customHeight="1">
      <c r="A1104">
        <v>3064</v>
      </c>
      <c r="B1104">
        <f>IF(表1[[#This Row],[不调整offset]]="x",IFERROR(VLOOKUP(表1[[#This Row],[8:image]],常量!J:N,4,FALSE),0),0)</f>
        <v>6.25</v>
      </c>
      <c r="C1104">
        <f>IF(表1[[#This Row],[不调整offset]]="x",IFERROR(VLOOKUP(表1[[#This Row],[8:image]],常量!J:N,5,FALSE),0),0)</f>
        <v>3.25</v>
      </c>
      <c r="E1104" t="s">
        <v>2587</v>
      </c>
      <c r="F1104">
        <v>6</v>
      </c>
      <c r="G1104" s="1" t="s">
        <v>984</v>
      </c>
      <c r="H1104" s="17" t="s">
        <v>3754</v>
      </c>
      <c r="I1104" s="19"/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2586</v>
      </c>
      <c r="P1104" s="5"/>
    </row>
    <row r="1105" spans="1:16" ht="14.25" customHeight="1">
      <c r="A1105">
        <v>3065</v>
      </c>
      <c r="B1105">
        <f>IF(表1[[#This Row],[不调整offset]]="x",IFERROR(VLOOKUP(表1[[#This Row],[8:image]],常量!J:N,4,FALSE),0),0)</f>
        <v>9.25</v>
      </c>
      <c r="C1105">
        <f>IF(表1[[#This Row],[不调整offset]]="x",IFERROR(VLOOKUP(表1[[#This Row],[8:image]],常量!J:N,5,FALSE),0),0)</f>
        <v>3.25</v>
      </c>
      <c r="E1105" t="s">
        <v>2587</v>
      </c>
      <c r="F1105">
        <v>6</v>
      </c>
      <c r="G1105" s="1" t="s">
        <v>985</v>
      </c>
      <c r="H1105" s="17" t="s">
        <v>3755</v>
      </c>
      <c r="I1105" s="19"/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2586</v>
      </c>
      <c r="P1105" s="5"/>
    </row>
    <row r="1106" spans="1:16" ht="14.25" customHeight="1">
      <c r="A1106">
        <v>3066</v>
      </c>
      <c r="B1106">
        <f>IF(表1[[#This Row],[不调整offset]]="x",IFERROR(VLOOKUP(表1[[#This Row],[8:image]],常量!J:N,4,FALSE),0),0)</f>
        <v>9.25</v>
      </c>
      <c r="C1106">
        <f>IF(表1[[#This Row],[不调整offset]]="x",IFERROR(VLOOKUP(表1[[#This Row],[8:image]],常量!J:N,5,FALSE),0),0)</f>
        <v>3.25</v>
      </c>
      <c r="E1106" t="s">
        <v>2587</v>
      </c>
      <c r="F1106">
        <v>6</v>
      </c>
      <c r="G1106" s="1" t="s">
        <v>986</v>
      </c>
      <c r="H1106" s="17" t="s">
        <v>3756</v>
      </c>
      <c r="I1106" s="19"/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2586</v>
      </c>
      <c r="P1106" s="5"/>
    </row>
    <row r="1107" spans="1:16" ht="14.25" customHeight="1">
      <c r="A1107">
        <v>3067</v>
      </c>
      <c r="B1107">
        <f>IF(表1[[#This Row],[不调整offset]]="x",IFERROR(VLOOKUP(表1[[#This Row],[8:image]],常量!J:N,4,FALSE),0),0)</f>
        <v>0</v>
      </c>
      <c r="C1107">
        <f>IF(表1[[#This Row],[不调整offset]]="x",IFERROR(VLOOKUP(表1[[#This Row],[8:image]],常量!J:N,5,FALSE),0),0)</f>
        <v>0</v>
      </c>
      <c r="E1107" t="s">
        <v>2587</v>
      </c>
      <c r="F1107">
        <v>6</v>
      </c>
      <c r="G1107" s="13" t="s">
        <v>987</v>
      </c>
      <c r="H1107" s="16" t="s">
        <v>3757</v>
      </c>
      <c r="I1107" s="19"/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2586</v>
      </c>
      <c r="P1107" s="5"/>
    </row>
    <row r="1108" spans="1:16" ht="14.25" customHeight="1">
      <c r="A1108">
        <v>3068</v>
      </c>
      <c r="B1108">
        <f>IF(表1[[#This Row],[不调整offset]]="x",IFERROR(VLOOKUP(表1[[#This Row],[8:image]],常量!J:N,4,FALSE),0),0)</f>
        <v>12.25</v>
      </c>
      <c r="C1108">
        <f>IF(表1[[#This Row],[不调整offset]]="x",IFERROR(VLOOKUP(表1[[#This Row],[8:image]],常量!J:N,5,FALSE),0),0)</f>
        <v>3.25</v>
      </c>
      <c r="E1108" t="s">
        <v>2587</v>
      </c>
      <c r="F1108">
        <v>6</v>
      </c>
      <c r="G1108" s="12" t="s">
        <v>947</v>
      </c>
      <c r="H1108" s="17" t="s">
        <v>3758</v>
      </c>
      <c r="I1108" s="19"/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2586</v>
      </c>
      <c r="P1108" s="5"/>
    </row>
    <row r="1109" spans="1:16" ht="14.25" customHeight="1">
      <c r="A1109">
        <v>3069</v>
      </c>
      <c r="B1109">
        <f>IF(表1[[#This Row],[不调整offset]]="x",IFERROR(VLOOKUP(表1[[#This Row],[8:image]],常量!J:N,4,FALSE),0),0)</f>
        <v>0</v>
      </c>
      <c r="C1109">
        <f>IF(表1[[#This Row],[不调整offset]]="x",IFERROR(VLOOKUP(表1[[#This Row],[8:image]],常量!J:N,5,FALSE),0),0)</f>
        <v>0</v>
      </c>
      <c r="E1109" t="s">
        <v>2587</v>
      </c>
      <c r="F1109">
        <v>6</v>
      </c>
      <c r="G1109" s="13" t="s">
        <v>988</v>
      </c>
      <c r="H1109" s="16" t="s">
        <v>3759</v>
      </c>
      <c r="I1109" s="19"/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2586</v>
      </c>
      <c r="P1109" s="5"/>
    </row>
    <row r="1110" spans="1:16" ht="14.25" customHeight="1">
      <c r="A1110">
        <v>3070</v>
      </c>
      <c r="B1110">
        <f>IF(表1[[#This Row],[不调整offset]]="x",IFERROR(VLOOKUP(表1[[#This Row],[8:image]],常量!J:N,4,FALSE),0),0)</f>
        <v>12.25</v>
      </c>
      <c r="C1110">
        <f>IF(表1[[#This Row],[不调整offset]]="x",IFERROR(VLOOKUP(表1[[#This Row],[8:image]],常量!J:N,5,FALSE),0),0)</f>
        <v>3.25</v>
      </c>
      <c r="E1110" t="s">
        <v>2587</v>
      </c>
      <c r="F1110">
        <v>6</v>
      </c>
      <c r="G1110" s="12" t="s">
        <v>947</v>
      </c>
      <c r="H1110" s="17" t="s">
        <v>3760</v>
      </c>
      <c r="I1110" s="19"/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2586</v>
      </c>
      <c r="P1110" s="5"/>
    </row>
    <row r="1111" spans="1:16" ht="14.25" customHeight="1">
      <c r="A1111">
        <v>3071</v>
      </c>
      <c r="B1111">
        <f>IF(表1[[#This Row],[不调整offset]]="x",IFERROR(VLOOKUP(表1[[#This Row],[8:image]],常量!J:N,4,FALSE),0),0)</f>
        <v>6.25</v>
      </c>
      <c r="C1111">
        <f>IF(表1[[#This Row],[不调整offset]]="x",IFERROR(VLOOKUP(表1[[#This Row],[8:image]],常量!J:N,5,FALSE),0),0)</f>
        <v>3.25</v>
      </c>
      <c r="E1111" t="s">
        <v>2587</v>
      </c>
      <c r="F1111">
        <v>6</v>
      </c>
      <c r="G1111" s="1" t="s">
        <v>989</v>
      </c>
      <c r="H1111" s="17" t="s">
        <v>3761</v>
      </c>
      <c r="I1111" s="19"/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2586</v>
      </c>
      <c r="P1111" s="5"/>
    </row>
    <row r="1112" spans="1:16" ht="14.25" customHeight="1">
      <c r="A1112">
        <v>3072</v>
      </c>
      <c r="B1112">
        <f>IF(表1[[#This Row],[不调整offset]]="x",IFERROR(VLOOKUP(表1[[#This Row],[8:image]],常量!J:N,4,FALSE),0),0)</f>
        <v>12.25</v>
      </c>
      <c r="C1112">
        <f>IF(表1[[#This Row],[不调整offset]]="x",IFERROR(VLOOKUP(表1[[#This Row],[8:image]],常量!J:N,5,FALSE),0),0)</f>
        <v>3.25</v>
      </c>
      <c r="E1112" t="s">
        <v>2587</v>
      </c>
      <c r="F1112">
        <v>6</v>
      </c>
      <c r="G1112" s="1" t="s">
        <v>990</v>
      </c>
      <c r="H1112" s="17" t="s">
        <v>3762</v>
      </c>
      <c r="I1112" s="19"/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2586</v>
      </c>
      <c r="P1112" s="5"/>
    </row>
    <row r="1113" spans="1:16" ht="14.25" customHeight="1">
      <c r="A1113">
        <v>3073</v>
      </c>
      <c r="B1113">
        <f>IF(表1[[#This Row],[不调整offset]]="x",IFERROR(VLOOKUP(表1[[#This Row],[8:image]],常量!J:N,4,FALSE),0),0)</f>
        <v>0</v>
      </c>
      <c r="C1113">
        <f>IF(表1[[#This Row],[不调整offset]]="x",IFERROR(VLOOKUP(表1[[#This Row],[8:image]],常量!J:N,5,FALSE),0),0)</f>
        <v>0</v>
      </c>
      <c r="E1113" t="s">
        <v>2587</v>
      </c>
      <c r="F1113">
        <v>6</v>
      </c>
      <c r="G1113" s="13" t="s">
        <v>991</v>
      </c>
      <c r="H1113" s="16" t="s">
        <v>3763</v>
      </c>
      <c r="I1113" s="19"/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2586</v>
      </c>
      <c r="P1113" s="5"/>
    </row>
    <row r="1114" spans="1:16" ht="14.25" customHeight="1">
      <c r="A1114">
        <v>3074</v>
      </c>
      <c r="B1114">
        <f>IF(表1[[#This Row],[不调整offset]]="x",IFERROR(VLOOKUP(表1[[#This Row],[8:image]],常量!J:N,4,FALSE),0),0)</f>
        <v>12.25</v>
      </c>
      <c r="C1114">
        <f>IF(表1[[#This Row],[不调整offset]]="x",IFERROR(VLOOKUP(表1[[#This Row],[8:image]],常量!J:N,5,FALSE),0),0)</f>
        <v>3.25</v>
      </c>
      <c r="E1114" t="s">
        <v>2587</v>
      </c>
      <c r="F1114">
        <v>6</v>
      </c>
      <c r="G1114" s="12" t="s">
        <v>992</v>
      </c>
      <c r="H1114" s="17" t="s">
        <v>3764</v>
      </c>
      <c r="I1114" s="19"/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2586</v>
      </c>
      <c r="P1114" s="5"/>
    </row>
    <row r="1115" spans="1:16" ht="14.25" customHeight="1">
      <c r="A1115">
        <v>3075</v>
      </c>
      <c r="B1115">
        <f>IF(表1[[#This Row],[不调整offset]]="x",IFERROR(VLOOKUP(表1[[#This Row],[8:image]],常量!J:N,4,FALSE),0),0)</f>
        <v>12.25</v>
      </c>
      <c r="C1115">
        <f>IF(表1[[#This Row],[不调整offset]]="x",IFERROR(VLOOKUP(表1[[#This Row],[8:image]],常量!J:N,5,FALSE),0),0)</f>
        <v>3.25</v>
      </c>
      <c r="E1115" t="s">
        <v>2587</v>
      </c>
      <c r="F1115">
        <v>6</v>
      </c>
      <c r="G1115" s="1" t="s">
        <v>992</v>
      </c>
      <c r="H1115" s="17" t="s">
        <v>3765</v>
      </c>
      <c r="I1115" s="19"/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2586</v>
      </c>
      <c r="P1115" s="5"/>
    </row>
    <row r="1116" spans="1:16" ht="14.25" customHeight="1">
      <c r="A1116">
        <v>3076</v>
      </c>
      <c r="B1116">
        <f>IF(表1[[#This Row],[不调整offset]]="x",IFERROR(VLOOKUP(表1[[#This Row],[8:image]],常量!J:N,4,FALSE),0),0)</f>
        <v>12.25</v>
      </c>
      <c r="C1116">
        <f>IF(表1[[#This Row],[不调整offset]]="x",IFERROR(VLOOKUP(表1[[#This Row],[8:image]],常量!J:N,5,FALSE),0),0)</f>
        <v>3.25</v>
      </c>
      <c r="E1116" t="s">
        <v>2587</v>
      </c>
      <c r="F1116">
        <v>6</v>
      </c>
      <c r="G1116" s="1" t="s">
        <v>993</v>
      </c>
      <c r="H1116" s="17" t="s">
        <v>3766</v>
      </c>
      <c r="I1116" s="19"/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2586</v>
      </c>
      <c r="P1116" s="5"/>
    </row>
    <row r="1117" spans="1:16" ht="14.25" customHeight="1">
      <c r="A1117">
        <v>3077</v>
      </c>
      <c r="B1117">
        <f>IF(表1[[#This Row],[不调整offset]]="x",IFERROR(VLOOKUP(表1[[#This Row],[8:image]],常量!J:N,4,FALSE),0),0)</f>
        <v>9.25</v>
      </c>
      <c r="C1117">
        <f>IF(表1[[#This Row],[不调整offset]]="x",IFERROR(VLOOKUP(表1[[#This Row],[8:image]],常量!J:N,5,FALSE),0),0)</f>
        <v>3.25</v>
      </c>
      <c r="E1117" t="s">
        <v>2587</v>
      </c>
      <c r="F1117">
        <v>6</v>
      </c>
      <c r="G1117" s="1" t="s">
        <v>974</v>
      </c>
      <c r="H1117" s="17" t="s">
        <v>3767</v>
      </c>
      <c r="I1117" s="19"/>
      <c r="J1117" t="str">
        <f>IF(LEN(VLOOKUP(表1[[#This Row],[id]],数据引用!A:C,3,FALSE))&gt;0,VLOOKUP(表1[[#This Row],[id]],数据引用!A:C,3,FALSE),"")</f>
        <v>哥布林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117" t="s">
        <v>2586</v>
      </c>
      <c r="P1117" s="5"/>
    </row>
    <row r="1118" spans="1:16" ht="14.25" customHeight="1">
      <c r="A1118">
        <v>3078</v>
      </c>
      <c r="B1118">
        <f>IF(表1[[#This Row],[不调整offset]]="x",IFERROR(VLOOKUP(表1[[#This Row],[8:image]],常量!J:N,4,FALSE),0),0)</f>
        <v>9.25</v>
      </c>
      <c r="C1118">
        <f>IF(表1[[#This Row],[不调整offset]]="x",IFERROR(VLOOKUP(表1[[#This Row],[8:image]],常量!J:N,5,FALSE),0),0)</f>
        <v>3.25</v>
      </c>
      <c r="E1118" t="s">
        <v>2587</v>
      </c>
      <c r="F1118">
        <v>6</v>
      </c>
      <c r="G1118" s="1" t="s">
        <v>994</v>
      </c>
      <c r="H1118" s="17" t="s">
        <v>3768</v>
      </c>
      <c r="I1118" s="19"/>
      <c r="J1118" t="str">
        <f>IF(LEN(VLOOKUP(表1[[#This Row],[id]],数据引用!A:C,3,FALSE))&gt;0,VLOOKUP(表1[[#This Row],[id]],数据引用!A:C,3,FALSE),"")</f>
        <v>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O1118" t="s">
        <v>2586</v>
      </c>
      <c r="P1118" s="5"/>
    </row>
    <row r="1119" spans="1:16" ht="14.25" customHeight="1">
      <c r="A1119">
        <v>3079</v>
      </c>
      <c r="B1119">
        <f>IF(表1[[#This Row],[不调整offset]]="x",IFERROR(VLOOKUP(表1[[#This Row],[8:image]],常量!J:N,4,FALSE),0),0)</f>
        <v>6.25</v>
      </c>
      <c r="C1119">
        <f>IF(表1[[#This Row],[不调整offset]]="x",IFERROR(VLOOKUP(表1[[#This Row],[8:image]],常量!J:N,5,FALSE),0),0)</f>
        <v>3.25</v>
      </c>
      <c r="E1119" t="s">
        <v>2587</v>
      </c>
      <c r="F1119">
        <v>6</v>
      </c>
      <c r="G1119" s="1" t="s">
        <v>995</v>
      </c>
      <c r="H1119" s="17" t="s">
        <v>3769</v>
      </c>
      <c r="I1119" s="19"/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2586</v>
      </c>
      <c r="P1119" s="5"/>
    </row>
    <row r="1120" spans="1:16" ht="14.25" customHeight="1">
      <c r="A1120">
        <v>3080</v>
      </c>
      <c r="B1120">
        <f>IF(表1[[#This Row],[不调整offset]]="x",IFERROR(VLOOKUP(表1[[#This Row],[8:image]],常量!J:N,4,FALSE),0),0)</f>
        <v>0</v>
      </c>
      <c r="C1120">
        <f>IF(表1[[#This Row],[不调整offset]]="x",IFERROR(VLOOKUP(表1[[#This Row],[8:image]],常量!J:N,5,FALSE),0),0)</f>
        <v>0</v>
      </c>
      <c r="E1120" t="s">
        <v>2587</v>
      </c>
      <c r="F1120">
        <v>6</v>
      </c>
      <c r="G1120" s="13" t="s">
        <v>974</v>
      </c>
      <c r="H1120" s="16" t="s">
        <v>3770</v>
      </c>
      <c r="I1120" s="19"/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2586</v>
      </c>
      <c r="P1120" s="5"/>
    </row>
    <row r="1121" spans="1:16" ht="14.25" customHeight="1">
      <c r="A1121">
        <v>3081</v>
      </c>
      <c r="B1121">
        <f>IF(表1[[#This Row],[不调整offset]]="x",IFERROR(VLOOKUP(表1[[#This Row],[8:image]],常量!J:N,4,FALSE),0),0)</f>
        <v>15.25</v>
      </c>
      <c r="C1121">
        <f>IF(表1[[#This Row],[不调整offset]]="x",IFERROR(VLOOKUP(表1[[#This Row],[8:image]],常量!J:N,5,FALSE),0),0)</f>
        <v>3.25</v>
      </c>
      <c r="E1121" t="s">
        <v>2587</v>
      </c>
      <c r="F1121">
        <v>6</v>
      </c>
      <c r="G1121" s="12" t="s">
        <v>996</v>
      </c>
      <c r="H1121" s="17" t="s">
        <v>3771</v>
      </c>
      <c r="I1121" s="19"/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2586</v>
      </c>
      <c r="P1121" s="5"/>
    </row>
    <row r="1122" spans="1:16" ht="14.25" customHeight="1">
      <c r="A1122">
        <v>3082</v>
      </c>
      <c r="B1122">
        <f>IF(表1[[#This Row],[不调整offset]]="x",IFERROR(VLOOKUP(表1[[#This Row],[8:image]],常量!J:N,4,FALSE),0),0)</f>
        <v>12.25</v>
      </c>
      <c r="C1122">
        <f>IF(表1[[#This Row],[不调整offset]]="x",IFERROR(VLOOKUP(表1[[#This Row],[8:image]],常量!J:N,5,FALSE),0),0)</f>
        <v>3.25</v>
      </c>
      <c r="E1122" t="s">
        <v>2587</v>
      </c>
      <c r="F1122">
        <v>6</v>
      </c>
      <c r="G1122" s="1" t="s">
        <v>997</v>
      </c>
      <c r="H1122" s="17" t="s">
        <v>3772</v>
      </c>
      <c r="I1122" s="19"/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2586</v>
      </c>
      <c r="P1122" s="5"/>
    </row>
    <row r="1123" spans="1:16" ht="14.25" customHeight="1">
      <c r="A1123">
        <v>3083</v>
      </c>
      <c r="B1123">
        <f>IF(表1[[#This Row],[不调整offset]]="x",IFERROR(VLOOKUP(表1[[#This Row],[8:image]],常量!J:N,4,FALSE),0),0)</f>
        <v>12.25</v>
      </c>
      <c r="C1123">
        <f>IF(表1[[#This Row],[不调整offset]]="x",IFERROR(VLOOKUP(表1[[#This Row],[8:image]],常量!J:N,5,FALSE),0),0)</f>
        <v>3.25</v>
      </c>
      <c r="E1123" t="s">
        <v>2587</v>
      </c>
      <c r="F1123">
        <v>6</v>
      </c>
      <c r="G1123" s="1" t="s">
        <v>998</v>
      </c>
      <c r="H1123" s="17" t="s">
        <v>3773</v>
      </c>
      <c r="I1123" s="19"/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2586</v>
      </c>
      <c r="P1123" s="5"/>
    </row>
    <row r="1124" spans="1:16" ht="14.25" customHeight="1">
      <c r="A1124">
        <v>3084</v>
      </c>
      <c r="B1124">
        <f>IF(表1[[#This Row],[不调整offset]]="x",IFERROR(VLOOKUP(表1[[#This Row],[8:image]],常量!J:N,4,FALSE),0),0)</f>
        <v>0</v>
      </c>
      <c r="C1124">
        <f>IF(表1[[#This Row],[不调整offset]]="x",IFERROR(VLOOKUP(表1[[#This Row],[8:image]],常量!J:N,5,FALSE),0),0)</f>
        <v>0</v>
      </c>
      <c r="E1124" t="s">
        <v>2587</v>
      </c>
      <c r="F1124">
        <v>6</v>
      </c>
      <c r="G1124" s="13" t="s">
        <v>999</v>
      </c>
      <c r="H1124" s="16" t="s">
        <v>3774</v>
      </c>
      <c r="I1124" s="19"/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2586</v>
      </c>
      <c r="P1124" s="5"/>
    </row>
    <row r="1125" spans="1:16" ht="14.25" customHeight="1">
      <c r="A1125">
        <v>3085</v>
      </c>
      <c r="B1125">
        <f>IF(表1[[#This Row],[不调整offset]]="x",IFERROR(VLOOKUP(表1[[#This Row],[8:image]],常量!J:N,4,FALSE),0),0)</f>
        <v>12.25</v>
      </c>
      <c r="C1125">
        <f>IF(表1[[#This Row],[不调整offset]]="x",IFERROR(VLOOKUP(表1[[#This Row],[8:image]],常量!J:N,5,FALSE),0),0)</f>
        <v>3.25</v>
      </c>
      <c r="E1125" t="s">
        <v>2587</v>
      </c>
      <c r="F1125">
        <v>6</v>
      </c>
      <c r="G1125" s="12" t="s">
        <v>963</v>
      </c>
      <c r="H1125" s="17" t="s">
        <v>3775</v>
      </c>
      <c r="I1125" s="19"/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2586</v>
      </c>
      <c r="P1125" s="5"/>
    </row>
    <row r="1126" spans="1:16" ht="14.25" customHeight="1">
      <c r="A1126">
        <v>3086</v>
      </c>
      <c r="B1126">
        <f>IF(表1[[#This Row],[不调整offset]]="x",IFERROR(VLOOKUP(表1[[#This Row],[8:image]],常量!J:N,4,FALSE),0),0)</f>
        <v>6.25</v>
      </c>
      <c r="C1126">
        <f>IF(表1[[#This Row],[不调整offset]]="x",IFERROR(VLOOKUP(表1[[#This Row],[8:image]],常量!J:N,5,FALSE),0),0)</f>
        <v>3.25</v>
      </c>
      <c r="E1126" t="s">
        <v>2587</v>
      </c>
      <c r="F1126">
        <v>6</v>
      </c>
      <c r="G1126" s="1" t="s">
        <v>1000</v>
      </c>
      <c r="H1126" s="17" t="s">
        <v>3776</v>
      </c>
      <c r="I1126" s="19"/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2586</v>
      </c>
      <c r="P1126" s="5"/>
    </row>
    <row r="1127" spans="1:16" ht="14.25" customHeight="1">
      <c r="A1127">
        <v>3087</v>
      </c>
      <c r="B1127">
        <f>IF(表1[[#This Row],[不调整offset]]="x",IFERROR(VLOOKUP(表1[[#This Row],[8:image]],常量!J:N,4,FALSE),0),0)</f>
        <v>9.25</v>
      </c>
      <c r="C1127">
        <f>IF(表1[[#This Row],[不调整offset]]="x",IFERROR(VLOOKUP(表1[[#This Row],[8:image]],常量!J:N,5,FALSE),0),0)</f>
        <v>3.25</v>
      </c>
      <c r="E1127" t="s">
        <v>2587</v>
      </c>
      <c r="F1127">
        <v>6</v>
      </c>
      <c r="G1127" s="1" t="s">
        <v>1001</v>
      </c>
      <c r="H1127" s="17" t="s">
        <v>3777</v>
      </c>
      <c r="I1127" s="19"/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2586</v>
      </c>
      <c r="P1127" s="5"/>
    </row>
    <row r="1128" spans="1:16" ht="14.25" customHeight="1">
      <c r="A1128">
        <v>3088</v>
      </c>
      <c r="B1128">
        <f>IF(表1[[#This Row],[不调整offset]]="x",IFERROR(VLOOKUP(表1[[#This Row],[8:image]],常量!J:N,4,FALSE),0),0)</f>
        <v>12.25</v>
      </c>
      <c r="C1128">
        <f>IF(表1[[#This Row],[不调整offset]]="x",IFERROR(VLOOKUP(表1[[#This Row],[8:image]],常量!J:N,5,FALSE),0),0)</f>
        <v>3.25</v>
      </c>
      <c r="E1128" t="s">
        <v>2587</v>
      </c>
      <c r="F1128">
        <v>6</v>
      </c>
      <c r="G1128" s="1" t="s">
        <v>1002</v>
      </c>
      <c r="H1128" s="17" t="s">
        <v>3778</v>
      </c>
      <c r="I1128" s="19"/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2586</v>
      </c>
      <c r="P1128" s="5"/>
    </row>
    <row r="1129" spans="1:16" ht="14.25" customHeight="1">
      <c r="A1129">
        <v>3089</v>
      </c>
      <c r="B1129">
        <f>IF(表1[[#This Row],[不调整offset]]="x",IFERROR(VLOOKUP(表1[[#This Row],[8:image]],常量!J:N,4,FALSE),0),0)</f>
        <v>18.25</v>
      </c>
      <c r="C1129">
        <f>IF(表1[[#This Row],[不调整offset]]="x",IFERROR(VLOOKUP(表1[[#This Row],[8:image]],常量!J:N,5,FALSE),0),0)</f>
        <v>3.25</v>
      </c>
      <c r="E1129" t="s">
        <v>2587</v>
      </c>
      <c r="F1129">
        <v>6</v>
      </c>
      <c r="G1129" s="1" t="s">
        <v>1003</v>
      </c>
      <c r="H1129" s="17" t="s">
        <v>3779</v>
      </c>
      <c r="I1129" s="19"/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2586</v>
      </c>
      <c r="P1129" s="5"/>
    </row>
    <row r="1130" spans="1:16" ht="14.25" customHeight="1">
      <c r="A1130">
        <v>3090</v>
      </c>
      <c r="B1130">
        <f>IF(表1[[#This Row],[不调整offset]]="x",IFERROR(VLOOKUP(表1[[#This Row],[8:image]],常量!J:N,4,FALSE),0),0)</f>
        <v>6.25</v>
      </c>
      <c r="C1130">
        <f>IF(表1[[#This Row],[不调整offset]]="x",IFERROR(VLOOKUP(表1[[#This Row],[8:image]],常量!J:N,5,FALSE),0),0)</f>
        <v>3.25</v>
      </c>
      <c r="E1130" t="s">
        <v>2587</v>
      </c>
      <c r="F1130">
        <v>6</v>
      </c>
      <c r="G1130" s="1" t="s">
        <v>1004</v>
      </c>
      <c r="H1130" s="17" t="s">
        <v>3780</v>
      </c>
      <c r="I1130" s="19"/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2586</v>
      </c>
      <c r="P1130" s="5"/>
    </row>
    <row r="1131" spans="1:16" ht="14.25" customHeight="1">
      <c r="A1131">
        <v>3091</v>
      </c>
      <c r="B1131">
        <f>IF(表1[[#This Row],[不调整offset]]="x",IFERROR(VLOOKUP(表1[[#This Row],[8:image]],常量!J:N,4,FALSE),0),0)</f>
        <v>6.25</v>
      </c>
      <c r="C1131">
        <f>IF(表1[[#This Row],[不调整offset]]="x",IFERROR(VLOOKUP(表1[[#This Row],[8:image]],常量!J:N,5,FALSE),0),0)</f>
        <v>3.25</v>
      </c>
      <c r="E1131" t="s">
        <v>2587</v>
      </c>
      <c r="F1131">
        <v>6</v>
      </c>
      <c r="G1131" s="1" t="s">
        <v>1005</v>
      </c>
      <c r="H1131" s="17" t="s">
        <v>3781</v>
      </c>
      <c r="I1131" s="19"/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2586</v>
      </c>
      <c r="P1131" s="5"/>
    </row>
    <row r="1132" spans="1:16" ht="14.25" customHeight="1">
      <c r="A1132">
        <v>3092</v>
      </c>
      <c r="B1132">
        <f>IF(表1[[#This Row],[不调整offset]]="x",IFERROR(VLOOKUP(表1[[#This Row],[8:image]],常量!J:N,4,FALSE),0),0)</f>
        <v>6.25</v>
      </c>
      <c r="C1132">
        <f>IF(表1[[#This Row],[不调整offset]]="x",IFERROR(VLOOKUP(表1[[#This Row],[8:image]],常量!J:N,5,FALSE),0),0)</f>
        <v>3.25</v>
      </c>
      <c r="E1132" t="s">
        <v>2587</v>
      </c>
      <c r="F1132">
        <v>6</v>
      </c>
      <c r="G1132" s="1" t="s">
        <v>1006</v>
      </c>
      <c r="H1132" s="17" t="s">
        <v>3782</v>
      </c>
      <c r="I1132" s="19"/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2586</v>
      </c>
      <c r="P1132" s="5"/>
    </row>
    <row r="1133" spans="1:16" ht="14.25" customHeight="1">
      <c r="A1133">
        <v>3093</v>
      </c>
      <c r="B1133">
        <f>IF(表1[[#This Row],[不调整offset]]="x",IFERROR(VLOOKUP(表1[[#This Row],[8:image]],常量!J:N,4,FALSE),0),0)</f>
        <v>6.25</v>
      </c>
      <c r="C1133">
        <f>IF(表1[[#This Row],[不调整offset]]="x",IFERROR(VLOOKUP(表1[[#This Row],[8:image]],常量!J:N,5,FALSE),0),0)</f>
        <v>3.25</v>
      </c>
      <c r="E1133" t="s">
        <v>2587</v>
      </c>
      <c r="F1133">
        <v>6</v>
      </c>
      <c r="G1133" s="1" t="s">
        <v>1007</v>
      </c>
      <c r="H1133" s="17" t="s">
        <v>3783</v>
      </c>
      <c r="I1133" s="19"/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2586</v>
      </c>
      <c r="P1133" s="5"/>
    </row>
    <row r="1134" spans="1:16" ht="14.25" customHeight="1">
      <c r="A1134">
        <v>3094</v>
      </c>
      <c r="B1134">
        <f>IF(表1[[#This Row],[不调整offset]]="x",IFERROR(VLOOKUP(表1[[#This Row],[8:image]],常量!J:N,4,FALSE),0),0)</f>
        <v>0</v>
      </c>
      <c r="C1134">
        <f>IF(表1[[#This Row],[不调整offset]]="x",IFERROR(VLOOKUP(表1[[#This Row],[8:image]],常量!J:N,5,FALSE),0),0)</f>
        <v>0</v>
      </c>
      <c r="E1134" t="s">
        <v>2587</v>
      </c>
      <c r="F1134">
        <v>6</v>
      </c>
      <c r="G1134" s="13" t="s">
        <v>987</v>
      </c>
      <c r="H1134" s="16" t="s">
        <v>3784</v>
      </c>
      <c r="I1134" s="19"/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2586</v>
      </c>
      <c r="P1134" s="5"/>
    </row>
    <row r="1135" spans="1:16" ht="14.25" customHeight="1">
      <c r="A1135">
        <v>3095</v>
      </c>
      <c r="B1135">
        <f>IF(表1[[#This Row],[不调整offset]]="x",IFERROR(VLOOKUP(表1[[#This Row],[8:image]],常量!J:N,4,FALSE),0),0)</f>
        <v>12.25</v>
      </c>
      <c r="C1135">
        <f>IF(表1[[#This Row],[不调整offset]]="x",IFERROR(VLOOKUP(表1[[#This Row],[8:image]],常量!J:N,5,FALSE),0),0)</f>
        <v>3.25</v>
      </c>
      <c r="E1135" t="s">
        <v>2587</v>
      </c>
      <c r="F1135">
        <v>6</v>
      </c>
      <c r="G1135" s="12" t="s">
        <v>1007</v>
      </c>
      <c r="H1135" s="17" t="s">
        <v>3785</v>
      </c>
      <c r="I1135" s="19"/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2586</v>
      </c>
      <c r="P1135" s="5"/>
    </row>
    <row r="1136" spans="1:16" ht="14.25" customHeight="1">
      <c r="A1136">
        <v>3096</v>
      </c>
      <c r="B1136">
        <f>IF(表1[[#This Row],[不调整offset]]="x",IFERROR(VLOOKUP(表1[[#This Row],[8:image]],常量!J:N,4,FALSE),0),0)</f>
        <v>15.25</v>
      </c>
      <c r="C1136">
        <f>IF(表1[[#This Row],[不调整offset]]="x",IFERROR(VLOOKUP(表1[[#This Row],[8:image]],常量!J:N,5,FALSE),0),0)</f>
        <v>3.25</v>
      </c>
      <c r="E1136" t="s">
        <v>2587</v>
      </c>
      <c r="F1136">
        <v>6</v>
      </c>
      <c r="G1136" s="1" t="s">
        <v>1008</v>
      </c>
      <c r="H1136" s="17" t="s">
        <v>3786</v>
      </c>
      <c r="I1136" s="19"/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2586</v>
      </c>
      <c r="P1136" s="5"/>
    </row>
    <row r="1137" spans="1:16" ht="14.25" customHeight="1">
      <c r="A1137">
        <v>3097</v>
      </c>
      <c r="B1137">
        <f>IF(表1[[#This Row],[不调整offset]]="x",IFERROR(VLOOKUP(表1[[#This Row],[8:image]],常量!J:N,4,FALSE),0),0)</f>
        <v>21.25</v>
      </c>
      <c r="C1137">
        <f>IF(表1[[#This Row],[不调整offset]]="x",IFERROR(VLOOKUP(表1[[#This Row],[8:image]],常量!J:N,5,FALSE),0),0)</f>
        <v>3.25</v>
      </c>
      <c r="E1137" t="s">
        <v>2587</v>
      </c>
      <c r="F1137">
        <v>6</v>
      </c>
      <c r="G1137" s="1" t="s">
        <v>1009</v>
      </c>
      <c r="H1137" s="17" t="s">
        <v>3787</v>
      </c>
      <c r="I1137" s="19"/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2586</v>
      </c>
      <c r="P1137" s="5"/>
    </row>
    <row r="1138" spans="1:16" ht="14.25" customHeight="1">
      <c r="A1138">
        <v>3098</v>
      </c>
      <c r="B1138">
        <f>IF(表1[[#This Row],[不调整offset]]="x",IFERROR(VLOOKUP(表1[[#This Row],[8:image]],常量!J:N,4,FALSE),0),0)</f>
        <v>6.25</v>
      </c>
      <c r="C1138">
        <f>IF(表1[[#This Row],[不调整offset]]="x",IFERROR(VLOOKUP(表1[[#This Row],[8:image]],常量!J:N,5,FALSE),0),0)</f>
        <v>3.25</v>
      </c>
      <c r="E1138" t="s">
        <v>2587</v>
      </c>
      <c r="F1138">
        <v>6</v>
      </c>
      <c r="G1138" s="1" t="s">
        <v>1010</v>
      </c>
      <c r="H1138" s="17" t="s">
        <v>3788</v>
      </c>
      <c r="I1138" s="19"/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2586</v>
      </c>
      <c r="P1138" s="5"/>
    </row>
    <row r="1139" spans="1:16" ht="14.25" customHeight="1">
      <c r="A1139">
        <v>3099</v>
      </c>
      <c r="B1139">
        <f>IF(表1[[#This Row],[不调整offset]]="x",IFERROR(VLOOKUP(表1[[#This Row],[8:image]],常量!J:N,4,FALSE),0),0)</f>
        <v>12.25</v>
      </c>
      <c r="C1139">
        <f>IF(表1[[#This Row],[不调整offset]]="x",IFERROR(VLOOKUP(表1[[#This Row],[8:image]],常量!J:N,5,FALSE),0),0)</f>
        <v>3.25</v>
      </c>
      <c r="E1139" t="s">
        <v>2587</v>
      </c>
      <c r="F1139">
        <v>6</v>
      </c>
      <c r="G1139" s="1" t="s">
        <v>1011</v>
      </c>
      <c r="H1139" s="17" t="s">
        <v>3789</v>
      </c>
      <c r="I1139" s="19"/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2586</v>
      </c>
      <c r="P1139" s="5"/>
    </row>
    <row r="1140" spans="1:16" ht="14.25" customHeight="1">
      <c r="A1140">
        <v>3100</v>
      </c>
      <c r="B1140">
        <f>IF(表1[[#This Row],[不调整offset]]="x",IFERROR(VLOOKUP(表1[[#This Row],[8:image]],常量!J:N,4,FALSE),0),0)</f>
        <v>15.25</v>
      </c>
      <c r="C1140">
        <f>IF(表1[[#This Row],[不调整offset]]="x",IFERROR(VLOOKUP(表1[[#This Row],[8:image]],常量!J:N,5,FALSE),0),0)</f>
        <v>3.25</v>
      </c>
      <c r="E1140" t="s">
        <v>2587</v>
      </c>
      <c r="F1140">
        <v>6</v>
      </c>
      <c r="G1140" s="1" t="s">
        <v>1012</v>
      </c>
      <c r="H1140" s="17" t="s">
        <v>3790</v>
      </c>
      <c r="I1140" s="19"/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2586</v>
      </c>
      <c r="P1140" s="5"/>
    </row>
    <row r="1141" spans="1:16" ht="14.25" customHeight="1">
      <c r="A1141">
        <v>3101</v>
      </c>
      <c r="B1141">
        <f>IF(表1[[#This Row],[不调整offset]]="x",IFERROR(VLOOKUP(表1[[#This Row],[8:image]],常量!J:N,4,FALSE),0),0)</f>
        <v>9.25</v>
      </c>
      <c r="C1141">
        <f>IF(表1[[#This Row],[不调整offset]]="x",IFERROR(VLOOKUP(表1[[#This Row],[8:image]],常量!J:N,5,FALSE),0),0)</f>
        <v>3.25</v>
      </c>
      <c r="E1141" t="s">
        <v>2587</v>
      </c>
      <c r="F1141">
        <v>6</v>
      </c>
      <c r="G1141" s="1" t="s">
        <v>1013</v>
      </c>
      <c r="H1141" s="17" t="s">
        <v>3791</v>
      </c>
      <c r="I1141" s="19"/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2586</v>
      </c>
      <c r="P1141" s="5"/>
    </row>
    <row r="1142" spans="1:16" ht="14.25" customHeight="1">
      <c r="A1142">
        <v>3102</v>
      </c>
      <c r="B1142">
        <f>IF(表1[[#This Row],[不调整offset]]="x",IFERROR(VLOOKUP(表1[[#This Row],[8:image]],常量!J:N,4,FALSE),0),0)</f>
        <v>15.25</v>
      </c>
      <c r="C1142">
        <f>IF(表1[[#This Row],[不调整offset]]="x",IFERROR(VLOOKUP(表1[[#This Row],[8:image]],常量!J:N,5,FALSE),0),0)</f>
        <v>3.25</v>
      </c>
      <c r="E1142" t="s">
        <v>2587</v>
      </c>
      <c r="F1142">
        <v>6</v>
      </c>
      <c r="G1142" s="1" t="s">
        <v>1014</v>
      </c>
      <c r="H1142" s="17" t="s">
        <v>3792</v>
      </c>
      <c r="I1142" s="19"/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2586</v>
      </c>
      <c r="P1142" s="5"/>
    </row>
    <row r="1143" spans="1:16" ht="14.25" customHeight="1">
      <c r="A1143">
        <v>3103</v>
      </c>
      <c r="B1143">
        <f>IF(表1[[#This Row],[不调整offset]]="x",IFERROR(VLOOKUP(表1[[#This Row],[8:image]],常量!J:N,4,FALSE),0),0)</f>
        <v>15.25</v>
      </c>
      <c r="C1143">
        <f>IF(表1[[#This Row],[不调整offset]]="x",IFERROR(VLOOKUP(表1[[#This Row],[8:image]],常量!J:N,5,FALSE),0),0)</f>
        <v>3.25</v>
      </c>
      <c r="E1143" t="s">
        <v>2587</v>
      </c>
      <c r="F1143">
        <v>6</v>
      </c>
      <c r="G1143" s="1" t="s">
        <v>1015</v>
      </c>
      <c r="H1143" s="17" t="s">
        <v>3793</v>
      </c>
      <c r="I1143" s="19"/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2586</v>
      </c>
      <c r="P1143" s="5"/>
    </row>
    <row r="1144" spans="1:16" ht="14.25" customHeight="1">
      <c r="A1144">
        <v>3104</v>
      </c>
      <c r="B1144">
        <f>IF(表1[[#This Row],[不调整offset]]="x",IFERROR(VLOOKUP(表1[[#This Row],[8:image]],常量!J:N,4,FALSE),0),0)</f>
        <v>15.25</v>
      </c>
      <c r="C1144">
        <f>IF(表1[[#This Row],[不调整offset]]="x",IFERROR(VLOOKUP(表1[[#This Row],[8:image]],常量!J:N,5,FALSE),0),0)</f>
        <v>3.25</v>
      </c>
      <c r="E1144" t="s">
        <v>2587</v>
      </c>
      <c r="F1144">
        <v>6</v>
      </c>
      <c r="G1144" s="1" t="s">
        <v>1016</v>
      </c>
      <c r="H1144" s="17" t="s">
        <v>3794</v>
      </c>
      <c r="I1144" s="19"/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2586</v>
      </c>
      <c r="P1144" s="5"/>
    </row>
    <row r="1145" spans="1:16" ht="14.25" customHeight="1">
      <c r="A1145">
        <v>3105</v>
      </c>
      <c r="B1145">
        <f>IF(表1[[#This Row],[不调整offset]]="x",IFERROR(VLOOKUP(表1[[#This Row],[8:image]],常量!J:N,4,FALSE),0),0)</f>
        <v>15.25</v>
      </c>
      <c r="C1145">
        <f>IF(表1[[#This Row],[不调整offset]]="x",IFERROR(VLOOKUP(表1[[#This Row],[8:image]],常量!J:N,5,FALSE),0),0)</f>
        <v>3.25</v>
      </c>
      <c r="E1145" t="s">
        <v>2587</v>
      </c>
      <c r="F1145">
        <v>6</v>
      </c>
      <c r="G1145" s="1" t="s">
        <v>1017</v>
      </c>
      <c r="H1145" s="17" t="s">
        <v>3795</v>
      </c>
      <c r="I1145" s="19"/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2586</v>
      </c>
      <c r="P1145" s="5"/>
    </row>
    <row r="1146" spans="1:16" ht="14.25" customHeight="1">
      <c r="A1146">
        <v>3106</v>
      </c>
      <c r="B1146">
        <f>IF(表1[[#This Row],[不调整offset]]="x",IFERROR(VLOOKUP(表1[[#This Row],[8:image]],常量!J:N,4,FALSE),0),0)</f>
        <v>15.25</v>
      </c>
      <c r="C1146">
        <f>IF(表1[[#This Row],[不调整offset]]="x",IFERROR(VLOOKUP(表1[[#This Row],[8:image]],常量!J:N,5,FALSE),0),0)</f>
        <v>3.25</v>
      </c>
      <c r="E1146" t="s">
        <v>2587</v>
      </c>
      <c r="F1146">
        <v>6</v>
      </c>
      <c r="G1146" s="1" t="s">
        <v>1018</v>
      </c>
      <c r="H1146" s="17" t="s">
        <v>3796</v>
      </c>
      <c r="I1146" s="19"/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2586</v>
      </c>
      <c r="P1146" s="5"/>
    </row>
    <row r="1147" spans="1:16" ht="14.25" customHeight="1">
      <c r="A1147">
        <v>3107</v>
      </c>
      <c r="B1147">
        <f>IF(表1[[#This Row],[不调整offset]]="x",IFERROR(VLOOKUP(表1[[#This Row],[8:image]],常量!J:N,4,FALSE),0),0)</f>
        <v>15.25</v>
      </c>
      <c r="C1147">
        <f>IF(表1[[#This Row],[不调整offset]]="x",IFERROR(VLOOKUP(表1[[#This Row],[8:image]],常量!J:N,5,FALSE),0),0)</f>
        <v>3.25</v>
      </c>
      <c r="E1147" t="s">
        <v>2587</v>
      </c>
      <c r="F1147">
        <v>6</v>
      </c>
      <c r="G1147" s="1" t="s">
        <v>1019</v>
      </c>
      <c r="H1147" s="17" t="s">
        <v>3797</v>
      </c>
      <c r="I1147" s="19"/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2586</v>
      </c>
      <c r="P1147" s="5"/>
    </row>
    <row r="1148" spans="1:16" ht="14.25" customHeight="1">
      <c r="A1148">
        <v>3108</v>
      </c>
      <c r="B1148">
        <f>IF(表1[[#This Row],[不调整offset]]="x",IFERROR(VLOOKUP(表1[[#This Row],[8:image]],常量!J:N,4,FALSE),0),0)</f>
        <v>15.25</v>
      </c>
      <c r="C1148">
        <f>IF(表1[[#This Row],[不调整offset]]="x",IFERROR(VLOOKUP(表1[[#This Row],[8:image]],常量!J:N,5,FALSE),0),0)</f>
        <v>3.25</v>
      </c>
      <c r="E1148" t="s">
        <v>2587</v>
      </c>
      <c r="F1148">
        <v>6</v>
      </c>
      <c r="G1148" s="1" t="s">
        <v>1020</v>
      </c>
      <c r="H1148" s="17" t="s">
        <v>3798</v>
      </c>
      <c r="I1148" s="19"/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2586</v>
      </c>
      <c r="P1148" s="5"/>
    </row>
    <row r="1149" spans="1:16" ht="14.25" customHeight="1">
      <c r="A1149">
        <v>3109</v>
      </c>
      <c r="B1149">
        <f>IF(表1[[#This Row],[不调整offset]]="x",IFERROR(VLOOKUP(表1[[#This Row],[8:image]],常量!J:N,4,FALSE),0),0)</f>
        <v>15.25</v>
      </c>
      <c r="C1149">
        <f>IF(表1[[#This Row],[不调整offset]]="x",IFERROR(VLOOKUP(表1[[#This Row],[8:image]],常量!J:N,5,FALSE),0),0)</f>
        <v>3.25</v>
      </c>
      <c r="E1149" t="s">
        <v>2587</v>
      </c>
      <c r="F1149">
        <v>6</v>
      </c>
      <c r="G1149" s="1" t="s">
        <v>1021</v>
      </c>
      <c r="H1149" s="17" t="s">
        <v>3799</v>
      </c>
      <c r="I1149" s="19"/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2586</v>
      </c>
      <c r="P1149" s="5"/>
    </row>
    <row r="1150" spans="1:16" ht="14.25" customHeight="1">
      <c r="A1150">
        <v>3110</v>
      </c>
      <c r="B1150">
        <f>IF(表1[[#This Row],[不调整offset]]="x",IFERROR(VLOOKUP(表1[[#This Row],[8:image]],常量!J:N,4,FALSE),0),0)</f>
        <v>15.25</v>
      </c>
      <c r="C1150">
        <f>IF(表1[[#This Row],[不调整offset]]="x",IFERROR(VLOOKUP(表1[[#This Row],[8:image]],常量!J:N,5,FALSE),0),0)</f>
        <v>3.25</v>
      </c>
      <c r="E1150" t="s">
        <v>2587</v>
      </c>
      <c r="F1150">
        <v>6</v>
      </c>
      <c r="G1150" s="1" t="s">
        <v>1022</v>
      </c>
      <c r="H1150" s="17" t="s">
        <v>3800</v>
      </c>
      <c r="I1150" s="19"/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2586</v>
      </c>
      <c r="P1150" s="5"/>
    </row>
    <row r="1151" spans="1:16" ht="14.25" customHeight="1">
      <c r="A1151">
        <v>3111</v>
      </c>
      <c r="B1151">
        <f>IF(表1[[#This Row],[不调整offset]]="x",IFERROR(VLOOKUP(表1[[#This Row],[8:image]],常量!J:N,4,FALSE),0),0)</f>
        <v>15.25</v>
      </c>
      <c r="C1151">
        <f>IF(表1[[#This Row],[不调整offset]]="x",IFERROR(VLOOKUP(表1[[#This Row],[8:image]],常量!J:N,5,FALSE),0),0)</f>
        <v>3.25</v>
      </c>
      <c r="E1151" t="s">
        <v>2587</v>
      </c>
      <c r="F1151">
        <v>6</v>
      </c>
      <c r="G1151" s="1" t="s">
        <v>1023</v>
      </c>
      <c r="H1151" s="17" t="s">
        <v>3801</v>
      </c>
      <c r="I1151" s="19"/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2586</v>
      </c>
      <c r="P1151" s="5"/>
    </row>
    <row r="1152" spans="1:16" ht="14.25" customHeight="1">
      <c r="A1152">
        <v>3112</v>
      </c>
      <c r="B1152">
        <f>IF(表1[[#This Row],[不调整offset]]="x",IFERROR(VLOOKUP(表1[[#This Row],[8:image]],常量!J:N,4,FALSE),0),0)</f>
        <v>15.25</v>
      </c>
      <c r="C1152">
        <f>IF(表1[[#This Row],[不调整offset]]="x",IFERROR(VLOOKUP(表1[[#This Row],[8:image]],常量!J:N,5,FALSE),0),0)</f>
        <v>3.25</v>
      </c>
      <c r="E1152" t="s">
        <v>2587</v>
      </c>
      <c r="F1152">
        <v>6</v>
      </c>
      <c r="G1152" s="1" t="s">
        <v>1024</v>
      </c>
      <c r="H1152" s="17" t="s">
        <v>3802</v>
      </c>
      <c r="I1152" s="19"/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2586</v>
      </c>
      <c r="P1152" s="5"/>
    </row>
    <row r="1153" spans="1:16" ht="14.25" customHeight="1">
      <c r="A1153">
        <v>3113</v>
      </c>
      <c r="B1153">
        <f>IF(表1[[#This Row],[不调整offset]]="x",IFERROR(VLOOKUP(表1[[#This Row],[8:image]],常量!J:N,4,FALSE),0),0)</f>
        <v>15.25</v>
      </c>
      <c r="C1153">
        <f>IF(表1[[#This Row],[不调整offset]]="x",IFERROR(VLOOKUP(表1[[#This Row],[8:image]],常量!J:N,5,FALSE),0),0)</f>
        <v>3.25</v>
      </c>
      <c r="E1153" t="s">
        <v>2587</v>
      </c>
      <c r="F1153">
        <v>6</v>
      </c>
      <c r="G1153" s="1" t="s">
        <v>1025</v>
      </c>
      <c r="H1153" s="17" t="s">
        <v>3803</v>
      </c>
      <c r="I1153" s="19"/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2586</v>
      </c>
      <c r="P1153" s="5"/>
    </row>
    <row r="1154" spans="1:16" ht="14.25" customHeight="1">
      <c r="A1154">
        <v>3114</v>
      </c>
      <c r="B1154">
        <f>IF(表1[[#This Row],[不调整offset]]="x",IFERROR(VLOOKUP(表1[[#This Row],[8:image]],常量!J:N,4,FALSE),0),0)</f>
        <v>15.25</v>
      </c>
      <c r="C1154">
        <f>IF(表1[[#This Row],[不调整offset]]="x",IFERROR(VLOOKUP(表1[[#This Row],[8:image]],常量!J:N,5,FALSE),0),0)</f>
        <v>3.25</v>
      </c>
      <c r="E1154" t="s">
        <v>2587</v>
      </c>
      <c r="F1154">
        <v>6</v>
      </c>
      <c r="G1154" s="1" t="s">
        <v>1026</v>
      </c>
      <c r="H1154" s="17" t="s">
        <v>3804</v>
      </c>
      <c r="I1154" s="19"/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2586</v>
      </c>
      <c r="P1154" s="5"/>
    </row>
    <row r="1155" spans="1:16" ht="14.25" customHeight="1">
      <c r="A1155">
        <v>3115</v>
      </c>
      <c r="B1155">
        <f>IF(表1[[#This Row],[不调整offset]]="x",IFERROR(VLOOKUP(表1[[#This Row],[8:image]],常量!J:N,4,FALSE),0),0)</f>
        <v>15.25</v>
      </c>
      <c r="C1155">
        <f>IF(表1[[#This Row],[不调整offset]]="x",IFERROR(VLOOKUP(表1[[#This Row],[8:image]],常量!J:N,5,FALSE),0),0)</f>
        <v>3.25</v>
      </c>
      <c r="E1155" t="s">
        <v>2587</v>
      </c>
      <c r="F1155">
        <v>6</v>
      </c>
      <c r="G1155" s="1" t="s">
        <v>1027</v>
      </c>
      <c r="H1155" s="17" t="s">
        <v>3805</v>
      </c>
      <c r="I1155" s="19"/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2586</v>
      </c>
      <c r="P1155" s="5"/>
    </row>
    <row r="1156" spans="1:16" ht="14.25" customHeight="1">
      <c r="A1156">
        <v>3116</v>
      </c>
      <c r="B1156">
        <f>IF(表1[[#This Row],[不调整offset]]="x",IFERROR(VLOOKUP(表1[[#This Row],[8:image]],常量!J:N,4,FALSE),0),0)</f>
        <v>15.25</v>
      </c>
      <c r="C1156">
        <f>IF(表1[[#This Row],[不调整offset]]="x",IFERROR(VLOOKUP(表1[[#This Row],[8:image]],常量!J:N,5,FALSE),0),0)</f>
        <v>3.25</v>
      </c>
      <c r="E1156" t="s">
        <v>2587</v>
      </c>
      <c r="F1156">
        <v>6</v>
      </c>
      <c r="G1156" s="1" t="s">
        <v>1028</v>
      </c>
      <c r="H1156" s="17" t="s">
        <v>3806</v>
      </c>
      <c r="I1156" s="19"/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2586</v>
      </c>
      <c r="P1156" s="5"/>
    </row>
    <row r="1157" spans="1:16" ht="14.25" customHeight="1">
      <c r="A1157">
        <v>3117</v>
      </c>
      <c r="B1157">
        <f>IF(表1[[#This Row],[不调整offset]]="x",IFERROR(VLOOKUP(表1[[#This Row],[8:image]],常量!J:N,4,FALSE),0),0)</f>
        <v>15.25</v>
      </c>
      <c r="C1157">
        <f>IF(表1[[#This Row],[不调整offset]]="x",IFERROR(VLOOKUP(表1[[#This Row],[8:image]],常量!J:N,5,FALSE),0),0)</f>
        <v>3.25</v>
      </c>
      <c r="E1157" t="s">
        <v>2587</v>
      </c>
      <c r="F1157">
        <v>6</v>
      </c>
      <c r="G1157" s="1" t="s">
        <v>1029</v>
      </c>
      <c r="H1157" s="17" t="s">
        <v>3807</v>
      </c>
      <c r="I1157" s="19"/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2586</v>
      </c>
      <c r="P1157" s="5"/>
    </row>
    <row r="1158" spans="1:16" ht="14.25" customHeight="1">
      <c r="A1158">
        <v>3118</v>
      </c>
      <c r="B1158">
        <f>IF(表1[[#This Row],[不调整offset]]="x",IFERROR(VLOOKUP(表1[[#This Row],[8:image]],常量!J:N,4,FALSE),0),0)</f>
        <v>12.25</v>
      </c>
      <c r="C1158">
        <f>IF(表1[[#This Row],[不调整offset]]="x",IFERROR(VLOOKUP(表1[[#This Row],[8:image]],常量!J:N,5,FALSE),0),0)</f>
        <v>3.25</v>
      </c>
      <c r="E1158" t="s">
        <v>2587</v>
      </c>
      <c r="F1158">
        <v>6</v>
      </c>
      <c r="G1158" s="1" t="s">
        <v>693</v>
      </c>
      <c r="H1158" s="17" t="s">
        <v>3808</v>
      </c>
      <c r="I1158" s="19"/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2586</v>
      </c>
      <c r="P1158" s="5"/>
    </row>
    <row r="1159" spans="1:16" ht="14.25" customHeight="1">
      <c r="A1159">
        <v>3119</v>
      </c>
      <c r="B1159">
        <f>IF(表1[[#This Row],[不调整offset]]="x",IFERROR(VLOOKUP(表1[[#This Row],[8:image]],常量!J:N,4,FALSE),0),0)</f>
        <v>0</v>
      </c>
      <c r="C1159">
        <f>IF(表1[[#This Row],[不调整offset]]="x",IFERROR(VLOOKUP(表1[[#This Row],[8:image]],常量!J:N,5,FALSE),0),0)</f>
        <v>0</v>
      </c>
      <c r="E1159" t="s">
        <v>2587</v>
      </c>
      <c r="F1159">
        <v>6</v>
      </c>
      <c r="G1159" s="13" t="s">
        <v>1030</v>
      </c>
      <c r="H1159" s="16" t="s">
        <v>3809</v>
      </c>
      <c r="I1159" s="19"/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2586</v>
      </c>
      <c r="P1159" s="5"/>
    </row>
    <row r="1160" spans="1:16" ht="14.25" customHeight="1">
      <c r="A1160">
        <v>3120</v>
      </c>
      <c r="B1160">
        <f>IF(表1[[#This Row],[不调整offset]]="x",IFERROR(VLOOKUP(表1[[#This Row],[8:image]],常量!J:N,4,FALSE),0),0)</f>
        <v>12.25</v>
      </c>
      <c r="C1160">
        <f>IF(表1[[#This Row],[不调整offset]]="x",IFERROR(VLOOKUP(表1[[#This Row],[8:image]],常量!J:N,5,FALSE),0),0)</f>
        <v>3.25</v>
      </c>
      <c r="E1160" t="s">
        <v>2587</v>
      </c>
      <c r="F1160">
        <v>6</v>
      </c>
      <c r="G1160" s="12" t="s">
        <v>1031</v>
      </c>
      <c r="H1160" s="17" t="s">
        <v>3810</v>
      </c>
      <c r="I1160" s="19"/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2586</v>
      </c>
      <c r="P1160" s="5"/>
    </row>
    <row r="1161" spans="1:16" ht="14.25" customHeight="1">
      <c r="A1161">
        <v>3121</v>
      </c>
      <c r="B1161">
        <f>IF(表1[[#This Row],[不调整offset]]="x",IFERROR(VLOOKUP(表1[[#This Row],[8:image]],常量!J:N,4,FALSE),0),0)</f>
        <v>0</v>
      </c>
      <c r="C1161">
        <f>IF(表1[[#This Row],[不调整offset]]="x",IFERROR(VLOOKUP(表1[[#This Row],[8:image]],常量!J:N,5,FALSE),0),0)</f>
        <v>0</v>
      </c>
      <c r="E1161" t="s">
        <v>2587</v>
      </c>
      <c r="F1161">
        <v>6</v>
      </c>
      <c r="G1161" s="13" t="s">
        <v>1030</v>
      </c>
      <c r="H1161" s="16" t="s">
        <v>3811</v>
      </c>
      <c r="I1161" s="19"/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2586</v>
      </c>
      <c r="P1161" s="5"/>
    </row>
    <row r="1162" spans="1:16" ht="14.25" customHeight="1">
      <c r="A1162">
        <v>3122</v>
      </c>
      <c r="B1162">
        <f>IF(表1[[#This Row],[不调整offset]]="x",IFERROR(VLOOKUP(表1[[#This Row],[8:image]],常量!J:N,4,FALSE),0),0)</f>
        <v>15.25</v>
      </c>
      <c r="C1162">
        <f>IF(表1[[#This Row],[不调整offset]]="x",IFERROR(VLOOKUP(表1[[#This Row],[8:image]],常量!J:N,5,FALSE),0),0)</f>
        <v>3.25</v>
      </c>
      <c r="E1162" t="s">
        <v>2587</v>
      </c>
      <c r="F1162">
        <v>6</v>
      </c>
      <c r="G1162" s="12" t="s">
        <v>1032</v>
      </c>
      <c r="H1162" s="17" t="s">
        <v>3812</v>
      </c>
      <c r="I1162" s="19"/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2586</v>
      </c>
      <c r="P1162" s="5"/>
    </row>
    <row r="1163" spans="1:16" ht="14.25" customHeight="1">
      <c r="A1163">
        <v>3123</v>
      </c>
      <c r="B1163">
        <f>IF(表1[[#This Row],[不调整offset]]="x",IFERROR(VLOOKUP(表1[[#This Row],[8:image]],常量!J:N,4,FALSE),0),0)</f>
        <v>15.25</v>
      </c>
      <c r="C1163">
        <f>IF(表1[[#This Row],[不调整offset]]="x",IFERROR(VLOOKUP(表1[[#This Row],[8:image]],常量!J:N,5,FALSE),0),0)</f>
        <v>3.25</v>
      </c>
      <c r="E1163" t="s">
        <v>2587</v>
      </c>
      <c r="F1163">
        <v>6</v>
      </c>
      <c r="G1163" s="1" t="s">
        <v>406</v>
      </c>
      <c r="H1163" s="17" t="s">
        <v>3813</v>
      </c>
      <c r="I1163" s="19"/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1163" t="s">
        <v>2586</v>
      </c>
      <c r="P1163" s="5"/>
    </row>
    <row r="1164" spans="1:16" ht="14.25" customHeight="1">
      <c r="A1164">
        <v>4000</v>
      </c>
      <c r="B1164">
        <f>IF(表1[[#This Row],[不调整offset]]="x",IFERROR(VLOOKUP(表1[[#This Row],[8:image]],常量!J:N,4,FALSE),0),0)</f>
        <v>0</v>
      </c>
      <c r="C1164">
        <f>IF(表1[[#This Row],[不调整offset]]="x",IFERROR(VLOOKUP(表1[[#This Row],[8:image]],常量!J:N,5,FALSE),0),0)</f>
        <v>0</v>
      </c>
      <c r="E1164" t="s">
        <v>2587</v>
      </c>
      <c r="F1164">
        <v>6</v>
      </c>
      <c r="G1164" s="1" t="s">
        <v>1033</v>
      </c>
      <c r="H1164" s="17" t="s">
        <v>3814</v>
      </c>
      <c r="I1164" s="19"/>
      <c r="J1164" t="str">
        <f>IF(LEN(VLOOKUP(表1[[#This Row],[id]],数据引用!A:C,3,FALSE))&gt;0,VLOOKUP(表1[[#This Row],[id]],数据引用!A:C,3,FALSE),"")</f>
        <v>白色犰狳</v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164" s="5"/>
    </row>
    <row r="1165" spans="1:16" ht="14.25" customHeight="1">
      <c r="A1165">
        <v>4001</v>
      </c>
      <c r="B1165">
        <f>IF(表1[[#This Row],[不调整offset]]="x",IFERROR(VLOOKUP(表1[[#This Row],[8:image]],常量!J:N,4,FALSE),0),0)</f>
        <v>0</v>
      </c>
      <c r="C1165">
        <f>IF(表1[[#This Row],[不调整offset]]="x",IFERROR(VLOOKUP(表1[[#This Row],[8:image]],常量!J:N,5,FALSE),0),0)</f>
        <v>0</v>
      </c>
      <c r="E1165" t="s">
        <v>2587</v>
      </c>
      <c r="F1165">
        <v>6</v>
      </c>
      <c r="G1165" s="1" t="s">
        <v>964</v>
      </c>
      <c r="H1165" s="17" t="s">
        <v>3815</v>
      </c>
      <c r="I1165" s="19"/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customHeight="1">
      <c r="A1166">
        <v>4002</v>
      </c>
      <c r="B1166">
        <f>IF(表1[[#This Row],[不调整offset]]="x",IFERROR(VLOOKUP(表1[[#This Row],[8:image]],常量!J:N,4,FALSE),0),0)</f>
        <v>0</v>
      </c>
      <c r="C1166">
        <f>IF(表1[[#This Row],[不调整offset]]="x",IFERROR(VLOOKUP(表1[[#This Row],[8:image]],常量!J:N,5,FALSE),0),0)</f>
        <v>0</v>
      </c>
      <c r="E1166" t="s">
        <v>2587</v>
      </c>
      <c r="F1166">
        <v>6</v>
      </c>
      <c r="G1166" s="1" t="s">
        <v>1034</v>
      </c>
      <c r="H1166" s="17" t="s">
        <v>3816</v>
      </c>
      <c r="I1166" s="19"/>
      <c r="J1166" t="str">
        <f>IF(LEN(VLOOKUP(表1[[#This Row],[id]],数据引用!A:C,3,FALSE))&gt;0,VLOOKUP(表1[[#This Row],[id]],数据引用!A:C,3,FALSE),"")</f>
        <v>橙色犰狳</v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66" s="5"/>
    </row>
    <row r="1167" spans="1:16" ht="14.25" customHeight="1">
      <c r="A1167">
        <v>4003</v>
      </c>
      <c r="B1167">
        <f>IF(表1[[#This Row],[不调整offset]]="x",IFERROR(VLOOKUP(表1[[#This Row],[8:image]],常量!J:N,4,FALSE),0),0)</f>
        <v>0</v>
      </c>
      <c r="C1167">
        <f>IF(表1[[#This Row],[不调整offset]]="x",IFERROR(VLOOKUP(表1[[#This Row],[8:image]],常量!J:N,5,FALSE),0),0)</f>
        <v>0</v>
      </c>
      <c r="E1167" t="s">
        <v>2587</v>
      </c>
      <c r="F1167">
        <v>6</v>
      </c>
      <c r="G1167" s="1" t="s">
        <v>1035</v>
      </c>
      <c r="H1167" s="17" t="s">
        <v>3817</v>
      </c>
      <c r="I1167" s="19"/>
      <c r="J1167" t="str">
        <f>IF(LEN(VLOOKUP(表1[[#This Row],[id]],数据引用!A:C,3,FALSE))&gt;0,VLOOKUP(表1[[#This Row],[id]],数据引用!A:C,3,FALSE),"")</f>
        <v>白色持盾骷髅</v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167" s="5"/>
    </row>
    <row r="1168" spans="1:16" ht="14.25" customHeight="1">
      <c r="A1168">
        <v>4004</v>
      </c>
      <c r="B1168">
        <f>IF(表1[[#This Row],[不调整offset]]="x",IFERROR(VLOOKUP(表1[[#This Row],[8:image]],常量!J:N,4,FALSE),0),0)</f>
        <v>0</v>
      </c>
      <c r="C1168">
        <f>IF(表1[[#This Row],[不调整offset]]="x",IFERROR(VLOOKUP(表1[[#This Row],[8:image]],常量!J:N,5,FALSE),0),0)</f>
        <v>0</v>
      </c>
      <c r="E1168" t="s">
        <v>2587</v>
      </c>
      <c r="F1168">
        <v>6</v>
      </c>
      <c r="G1168" s="1" t="s">
        <v>1036</v>
      </c>
      <c r="H1168" s="17" t="s">
        <v>3818</v>
      </c>
      <c r="I1168" s="19"/>
      <c r="J1168" t="str">
        <f>IF(LEN(VLOOKUP(表1[[#This Row],[id]],数据引用!A:C,3,FALSE))&gt;0,VLOOKUP(表1[[#This Row],[id]],数据引用!A:C,3,FALSE),"")</f>
        <v>黄色持盾骷髅</v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168" s="5"/>
    </row>
    <row r="1169" spans="1:16" ht="14.25" customHeight="1">
      <c r="A1169">
        <v>4005</v>
      </c>
      <c r="B1169">
        <f>IF(表1[[#This Row],[不调整offset]]="x",IFERROR(VLOOKUP(表1[[#This Row],[8:image]],常量!J:N,4,FALSE),0),0)</f>
        <v>0</v>
      </c>
      <c r="C1169">
        <f>IF(表1[[#This Row],[不调整offset]]="x",IFERROR(VLOOKUP(表1[[#This Row],[8:image]],常量!J:N,5,FALSE),0),0)</f>
        <v>0</v>
      </c>
      <c r="E1169" t="s">
        <v>2587</v>
      </c>
      <c r="F1169">
        <v>6</v>
      </c>
      <c r="G1169" s="1" t="s">
        <v>1037</v>
      </c>
      <c r="H1169" s="17" t="s">
        <v>3819</v>
      </c>
      <c r="I1169" s="19"/>
      <c r="J1169" t="str">
        <f>IF(LEN(VLOOKUP(表1[[#This Row],[id]],数据引用!A:C,3,FALSE))&gt;0,VLOOKUP(表1[[#This Row],[id]],数据引用!A:C,3,FALSE),"")</f>
        <v>黑色持盾骷髅</v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169" s="5"/>
    </row>
    <row r="1170" spans="1:16" ht="14.25" customHeight="1">
      <c r="A1170">
        <v>4006</v>
      </c>
      <c r="B1170">
        <f>IF(表1[[#This Row],[不调整offset]]="x",IFERROR(VLOOKUP(表1[[#This Row],[8:image]],常量!J:N,4,FALSE),0),0)</f>
        <v>0</v>
      </c>
      <c r="C1170">
        <f>IF(表1[[#This Row],[不调整offset]]="x",IFERROR(VLOOKUP(表1[[#This Row],[8:image]],常量!J:N,5,FALSE),0),0)</f>
        <v>0</v>
      </c>
      <c r="E1170" t="s">
        <v>2587</v>
      </c>
      <c r="F1170">
        <v>6</v>
      </c>
      <c r="G1170" s="1" t="s">
        <v>1038</v>
      </c>
      <c r="H1170" s="17" t="s">
        <v>3820</v>
      </c>
      <c r="I1170" s="19"/>
      <c r="J1170" t="str">
        <f>IF(LEN(VLOOKUP(表1[[#This Row],[id]],数据引用!A:C,3,FALSE))&gt;0,VLOOKUP(表1[[#This Row],[id]],数据引用!A:C,3,FALSE),"")</f>
        <v>蓝色女妖</v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170" s="5"/>
    </row>
    <row r="1171" spans="1:16" ht="14.25" customHeight="1">
      <c r="A1171">
        <v>4007</v>
      </c>
      <c r="B1171">
        <f>IF(表1[[#This Row],[不调整offset]]="x",IFERROR(VLOOKUP(表1[[#This Row],[8:image]],常量!J:N,4,FALSE),0),0)</f>
        <v>0</v>
      </c>
      <c r="C1171">
        <f>IF(表1[[#This Row],[不调整offset]]="x",IFERROR(VLOOKUP(表1[[#This Row],[8:image]],常量!J:N,5,FALSE),0),0)</f>
        <v>0</v>
      </c>
      <c r="E1171" t="s">
        <v>2587</v>
      </c>
      <c r="F1171">
        <v>6</v>
      </c>
      <c r="G1171" s="1" t="s">
        <v>1039</v>
      </c>
      <c r="H1171" s="17" t="s">
        <v>3821</v>
      </c>
      <c r="I1171" s="19"/>
      <c r="J1171" t="str">
        <f>IF(LEN(VLOOKUP(表1[[#This Row],[id]],数据引用!A:C,3,FALSE))&gt;0,VLOOKUP(表1[[#This Row],[id]],数据引用!A:C,3,FALSE),"")</f>
        <v>绿色女妖</v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71" s="5"/>
    </row>
    <row r="1172" spans="1:16" ht="14.25" customHeight="1">
      <c r="A1172">
        <v>4008</v>
      </c>
      <c r="B1172">
        <f>IF(表1[[#This Row],[不调整offset]]="x",IFERROR(VLOOKUP(表1[[#This Row],[8:image]],常量!J:N,4,FALSE),0),0)</f>
        <v>0</v>
      </c>
      <c r="C1172">
        <f>IF(表1[[#This Row],[不调整offset]]="x",IFERROR(VLOOKUP(表1[[#This Row],[8:image]],常量!J:N,5,FALSE),0),0)</f>
        <v>0</v>
      </c>
      <c r="E1172" t="s">
        <v>2587</v>
      </c>
      <c r="F1172">
        <v>6</v>
      </c>
      <c r="G1172" s="1" t="s">
        <v>1040</v>
      </c>
      <c r="H1172" s="17" t="s">
        <v>3822</v>
      </c>
      <c r="I1172" s="19"/>
      <c r="J1172" t="str">
        <f>IF(LEN(VLOOKUP(表1[[#This Row],[id]],数据引用!A:C,3,FALSE))&gt;0,VLOOKUP(表1[[#This Row],[id]],数据引用!A:C,3,FALSE),"")</f>
        <v>蓝蝙蝠</v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172" s="5"/>
    </row>
    <row r="1173" spans="1:16" ht="14.25" customHeight="1">
      <c r="A1173">
        <v>4009</v>
      </c>
      <c r="B1173">
        <f>IF(表1[[#This Row],[不调整offset]]="x",IFERROR(VLOOKUP(表1[[#This Row],[8:image]],常量!J:N,4,FALSE),0),0)</f>
        <v>0</v>
      </c>
      <c r="C1173">
        <f>IF(表1[[#This Row],[不调整offset]]="x",IFERROR(VLOOKUP(表1[[#This Row],[8:image]],常量!J:N,5,FALSE),0),0)</f>
        <v>0</v>
      </c>
      <c r="E1173" t="s">
        <v>2587</v>
      </c>
      <c r="F1173">
        <v>6</v>
      </c>
      <c r="G1173" s="1" t="s">
        <v>945</v>
      </c>
      <c r="H1173" s="17" t="s">
        <v>3823</v>
      </c>
      <c r="I1173" s="19"/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customHeight="1">
      <c r="A1174">
        <v>4010</v>
      </c>
      <c r="B1174">
        <f>IF(表1[[#This Row],[不调整offset]]="x",IFERROR(VLOOKUP(表1[[#This Row],[8:image]],常量!J:N,4,FALSE),0),0)</f>
        <v>0</v>
      </c>
      <c r="C1174">
        <f>IF(表1[[#This Row],[不调整offset]]="x",IFERROR(VLOOKUP(表1[[#This Row],[8:image]],常量!J:N,5,FALSE),0),0)</f>
        <v>0</v>
      </c>
      <c r="E1174" t="s">
        <v>2587</v>
      </c>
      <c r="F1174">
        <v>6</v>
      </c>
      <c r="G1174" s="1" t="s">
        <v>946</v>
      </c>
      <c r="H1174" s="17" t="s">
        <v>3824</v>
      </c>
      <c r="I1174" s="19"/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customHeight="1">
      <c r="A1175">
        <v>4011</v>
      </c>
      <c r="B1175">
        <f>IF(表1[[#This Row],[不调整offset]]="x",IFERROR(VLOOKUP(表1[[#This Row],[8:image]],常量!J:N,4,FALSE),0),0)</f>
        <v>0</v>
      </c>
      <c r="C1175">
        <f>IF(表1[[#This Row],[不调整offset]]="x",IFERROR(VLOOKUP(表1[[#This Row],[8:image]],常量!J:N,5,FALSE),0),0)</f>
        <v>0</v>
      </c>
      <c r="E1175" t="s">
        <v>2587</v>
      </c>
      <c r="F1175">
        <v>6</v>
      </c>
      <c r="G1175" s="1" t="s">
        <v>998</v>
      </c>
      <c r="H1175" s="17" t="s">
        <v>3825</v>
      </c>
      <c r="I1175" s="19"/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customHeight="1">
      <c r="A1176">
        <v>4012</v>
      </c>
      <c r="B1176">
        <f>IF(表1[[#This Row],[不调整offset]]="x",IFERROR(VLOOKUP(表1[[#This Row],[8:image]],常量!J:N,4,FALSE),0),0)</f>
        <v>0</v>
      </c>
      <c r="C1176">
        <f>IF(表1[[#This Row],[不调整offset]]="x",IFERROR(VLOOKUP(表1[[#This Row],[8:image]],常量!J:N,5,FALSE),0),0)</f>
        <v>0</v>
      </c>
      <c r="E1176" t="s">
        <v>2587</v>
      </c>
      <c r="F1176">
        <v>6</v>
      </c>
      <c r="G1176" s="1" t="s">
        <v>1041</v>
      </c>
      <c r="H1176" s="17" t="s">
        <v>3826</v>
      </c>
      <c r="I1176" s="19"/>
      <c r="J1176" t="str">
        <f>IF(LEN(VLOOKUP(表1[[#This Row],[id]],数据引用!A:C,3,FALSE))&gt;0,VLOOKUP(表1[[#This Row],[id]],数据引用!A:C,3,FALSE),"")</f>
        <v>黄色恐怖蝙蝠</v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176" s="5"/>
    </row>
    <row r="1177" spans="1:16" ht="14.25" customHeight="1">
      <c r="A1177">
        <v>4013</v>
      </c>
      <c r="B1177">
        <f>IF(表1[[#This Row],[不调整offset]]="x",IFERROR(VLOOKUP(表1[[#This Row],[8:image]],常量!J:N,4,FALSE),0),0)</f>
        <v>0</v>
      </c>
      <c r="C1177">
        <f>IF(表1[[#This Row],[不调整offset]]="x",IFERROR(VLOOKUP(表1[[#This Row],[8:image]],常量!J:N,5,FALSE),0),0)</f>
        <v>0</v>
      </c>
      <c r="E1177" t="s">
        <v>2587</v>
      </c>
      <c r="F1177">
        <v>6</v>
      </c>
      <c r="G1177" s="1" t="s">
        <v>1042</v>
      </c>
      <c r="H1177" s="17" t="s">
        <v>3827</v>
      </c>
      <c r="I1177" s="19"/>
      <c r="J1177" t="str">
        <f>IF(LEN(VLOOKUP(表1[[#This Row],[id]],数据引用!A:C,3,FALSE))&gt;0,VLOOKUP(表1[[#This Row],[id]],数据引用!A:C,3,FALSE),"")</f>
        <v>棕色恐怖蝙蝠</v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177" s="5"/>
    </row>
    <row r="1178" spans="1:16" ht="14.25" customHeight="1">
      <c r="A1178">
        <v>4014</v>
      </c>
      <c r="B1178">
        <f>IF(表1[[#This Row],[不调整offset]]="x",IFERROR(VLOOKUP(表1[[#This Row],[8:image]],常量!J:N,4,FALSE),0),0)</f>
        <v>0</v>
      </c>
      <c r="C1178">
        <f>IF(表1[[#This Row],[不调整offset]]="x",IFERROR(VLOOKUP(表1[[#This Row],[8:image]],常量!J:N,5,FALSE),0),0)</f>
        <v>0</v>
      </c>
      <c r="E1178" t="s">
        <v>2587</v>
      </c>
      <c r="F1178">
        <v>6</v>
      </c>
      <c r="G1178" s="1" t="s">
        <v>976</v>
      </c>
      <c r="H1178" s="17" t="s">
        <v>3828</v>
      </c>
      <c r="I1178" s="19"/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customHeight="1">
      <c r="A1179">
        <v>4015</v>
      </c>
      <c r="B1179">
        <f>IF(表1[[#This Row],[不调整offset]]="x",IFERROR(VLOOKUP(表1[[#This Row],[8:image]],常量!J:N,4,FALSE),0),0)</f>
        <v>0</v>
      </c>
      <c r="C1179">
        <f>IF(表1[[#This Row],[不调整offset]]="x",IFERROR(VLOOKUP(表1[[#This Row],[8:image]],常量!J:N,5,FALSE),0),0)</f>
        <v>0</v>
      </c>
      <c r="E1179" t="s">
        <v>2587</v>
      </c>
      <c r="F1179">
        <v>6</v>
      </c>
      <c r="G1179" s="1" t="s">
        <v>977</v>
      </c>
      <c r="H1179" s="17" t="s">
        <v>3829</v>
      </c>
      <c r="I1179" s="19"/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customHeight="1">
      <c r="A1180">
        <v>4016</v>
      </c>
      <c r="B1180">
        <f>IF(表1[[#This Row],[不调整offset]]="x",IFERROR(VLOOKUP(表1[[#This Row],[8:image]],常量!J:N,4,FALSE),0),0)</f>
        <v>0</v>
      </c>
      <c r="C1180">
        <f>IF(表1[[#This Row],[不调整offset]]="x",IFERROR(VLOOKUP(表1[[#This Row],[8:image]],常量!J:N,5,FALSE),0),0)</f>
        <v>0</v>
      </c>
      <c r="E1180" t="s">
        <v>2587</v>
      </c>
      <c r="F1180">
        <v>6</v>
      </c>
      <c r="G1180" s="1" t="s">
        <v>1043</v>
      </c>
      <c r="H1180" s="17" t="s">
        <v>3830</v>
      </c>
      <c r="I1180" s="19"/>
      <c r="J1180" t="str">
        <f>IF(LEN(VLOOKUP(表1[[#This Row],[id]],数据引用!A:C,3,FALSE))&gt;0,VLOOKUP(表1[[#This Row],[id]],数据引用!A:C,3,FALSE),"")</f>
        <v>象</v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180" s="5"/>
    </row>
    <row r="1181" spans="1:16" ht="14.25" customHeight="1">
      <c r="A1181">
        <v>4017</v>
      </c>
      <c r="B1181">
        <f>IF(表1[[#This Row],[不调整offset]]="x",IFERROR(VLOOKUP(表1[[#This Row],[8:image]],常量!J:N,4,FALSE),0),0)</f>
        <v>0</v>
      </c>
      <c r="C1181">
        <f>IF(表1[[#This Row],[不调整offset]]="x",IFERROR(VLOOKUP(表1[[#This Row],[8:image]],常量!J:N,5,FALSE),0),0)</f>
        <v>0</v>
      </c>
      <c r="E1181" t="s">
        <v>2587</v>
      </c>
      <c r="F1181">
        <v>6</v>
      </c>
      <c r="G1181" s="1" t="s">
        <v>1044</v>
      </c>
      <c r="H1181" s="17" t="s">
        <v>3831</v>
      </c>
      <c r="I1181" s="19"/>
      <c r="J1181" t="str">
        <f>IF(LEN(VLOOKUP(表1[[#This Row],[id]],数据引用!A:C,3,FALSE))&gt;0,VLOOKUP(表1[[#This Row],[id]],数据引用!A:C,3,FALSE),"")</f>
        <v>象(红方)</v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181" s="5"/>
    </row>
    <row r="1182" spans="1:16" ht="14.25" customHeight="1">
      <c r="A1182">
        <v>4018</v>
      </c>
      <c r="B1182">
        <f>IF(表1[[#This Row],[不调整offset]]="x",IFERROR(VLOOKUP(表1[[#This Row],[8:image]],常量!J:N,4,FALSE),0),0)</f>
        <v>0</v>
      </c>
      <c r="C1182">
        <f>IF(表1[[#This Row],[不调整offset]]="x",IFERROR(VLOOKUP(表1[[#This Row],[8:image]],常量!J:N,5,FALSE),0),0)</f>
        <v>0</v>
      </c>
      <c r="E1182" t="s">
        <v>2587</v>
      </c>
      <c r="F1182">
        <v>6</v>
      </c>
      <c r="G1182" s="1" t="s">
        <v>1045</v>
      </c>
      <c r="H1182" s="17" t="s">
        <v>3832</v>
      </c>
      <c r="I1182" s="19"/>
      <c r="J1182" t="str">
        <f>IF(LEN(VLOOKUP(表1[[#This Row],[id]],数据引用!A:C,3,FALSE))&gt;0,VLOOKUP(表1[[#This Row],[id]],数据引用!A:C,3,FALSE),"")</f>
        <v>见习剑士</v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2" s="5"/>
    </row>
    <row r="1183" spans="1:16" ht="14.25" customHeight="1">
      <c r="A1183">
        <v>4019</v>
      </c>
      <c r="B1183">
        <f>IF(表1[[#This Row],[不调整offset]]="x",IFERROR(VLOOKUP(表1[[#This Row],[8:image]],常量!J:N,4,FALSE),0),0)</f>
        <v>0</v>
      </c>
      <c r="C1183">
        <f>IF(表1[[#This Row],[不调整offset]]="x",IFERROR(VLOOKUP(表1[[#This Row],[8:image]],常量!J:N,5,FALSE),0),0)</f>
        <v>0</v>
      </c>
      <c r="E1183" t="s">
        <v>2587</v>
      </c>
      <c r="F1183">
        <v>6</v>
      </c>
      <c r="G1183" s="1" t="s">
        <v>992</v>
      </c>
      <c r="H1183" s="17" t="s">
        <v>3833</v>
      </c>
      <c r="I1183" s="19"/>
      <c r="J1183" t="str">
        <f>IF(LEN(VLOOKUP(表1[[#This Row],[id]],数据引用!A:C,3,FALSE))&gt;0,VLOOKUP(表1[[#This Row],[id]],数据引用!A:C,3,FALSE),"")</f>
        <v>见习剑士</v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3" s="5"/>
    </row>
    <row r="1184" spans="1:16" ht="14.25" customHeight="1">
      <c r="A1184">
        <v>4020</v>
      </c>
      <c r="B1184">
        <f>IF(表1[[#This Row],[不调整offset]]="x",IFERROR(VLOOKUP(表1[[#This Row],[8:image]],常量!J:N,4,FALSE),0),0)</f>
        <v>0</v>
      </c>
      <c r="C1184">
        <f>IF(表1[[#This Row],[不调整offset]]="x",IFERROR(VLOOKUP(表1[[#This Row],[8:image]],常量!J:N,5,FALSE),0),0)</f>
        <v>0</v>
      </c>
      <c r="E1184" t="s">
        <v>2587</v>
      </c>
      <c r="F1184">
        <v>6</v>
      </c>
      <c r="G1184" s="1" t="s">
        <v>1046</v>
      </c>
      <c r="H1184" s="17" t="s">
        <v>3834</v>
      </c>
      <c r="I1184" s="19"/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customHeight="1">
      <c r="A1185">
        <v>4021</v>
      </c>
      <c r="B1185">
        <f>IF(表1[[#This Row],[不调整offset]]="x",IFERROR(VLOOKUP(表1[[#This Row],[8:image]],常量!J:N,4,FALSE),0),0)</f>
        <v>0</v>
      </c>
      <c r="C1185">
        <f>IF(表1[[#This Row],[不调整offset]]="x",IFERROR(VLOOKUP(表1[[#This Row],[8:image]],常量!J:N,5,FALSE),0),0)</f>
        <v>0</v>
      </c>
      <c r="E1185" t="s">
        <v>2587</v>
      </c>
      <c r="F1185">
        <v>6</v>
      </c>
      <c r="G1185" s="1" t="s">
        <v>692</v>
      </c>
      <c r="H1185" s="17" t="s">
        <v>3835</v>
      </c>
      <c r="I1185" s="19"/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customHeight="1">
      <c r="A1186">
        <v>4022</v>
      </c>
      <c r="B1186">
        <f>IF(表1[[#This Row],[不调整offset]]="x",IFERROR(VLOOKUP(表1[[#This Row],[8:image]],常量!J:N,4,FALSE),0),0)</f>
        <v>0</v>
      </c>
      <c r="C1186">
        <f>IF(表1[[#This Row],[不调整offset]]="x",IFERROR(VLOOKUP(表1[[#This Row],[8:image]],常量!J:N,5,FALSE),0),0)</f>
        <v>0</v>
      </c>
      <c r="E1186" t="s">
        <v>2587</v>
      </c>
      <c r="F1186">
        <v>6</v>
      </c>
      <c r="G1186" s="1" t="s">
        <v>1047</v>
      </c>
      <c r="H1186" s="17" t="s">
        <v>3836</v>
      </c>
      <c r="I1186" s="19"/>
      <c r="J1186" t="str">
        <f>IF(LEN(VLOOKUP(表1[[#This Row],[id]],数据引用!A:C,3,FALSE))&gt;0,VLOOKUP(表1[[#This Row],[id]],数据引用!A:C,3,FALSE),"")</f>
        <v>桶</v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186" s="5"/>
    </row>
    <row r="1187" spans="1:16" ht="14.25" customHeight="1">
      <c r="A1187">
        <v>4023</v>
      </c>
      <c r="B1187">
        <f>IF(表1[[#This Row],[不调整offset]]="x",IFERROR(VLOOKUP(表1[[#This Row],[8:image]],常量!J:N,4,FALSE),0),0)</f>
        <v>0</v>
      </c>
      <c r="C1187">
        <f>IF(表1[[#This Row],[不调整offset]]="x",IFERROR(VLOOKUP(表1[[#This Row],[8:image]],常量!J:N,5,FALSE),0),0)</f>
        <v>0</v>
      </c>
      <c r="E1187" t="s">
        <v>2587</v>
      </c>
      <c r="F1187">
        <v>6</v>
      </c>
      <c r="G1187" s="1" t="s">
        <v>693</v>
      </c>
      <c r="H1187" s="17" t="s">
        <v>3837</v>
      </c>
      <c r="I1187" s="19"/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customHeight="1">
      <c r="A1188">
        <v>4024</v>
      </c>
      <c r="B1188">
        <f>IF(表1[[#This Row],[不调整offset]]="x",IFERROR(VLOOKUP(表1[[#This Row],[8:image]],常量!J:N,4,FALSE),0),0)</f>
        <v>0</v>
      </c>
      <c r="C1188">
        <f>IF(表1[[#This Row],[不调整offset]]="x",IFERROR(VLOOKUP(表1[[#This Row],[8:image]],常量!J:N,5,FALSE),0),0)</f>
        <v>0</v>
      </c>
      <c r="E1188" t="s">
        <v>2587</v>
      </c>
      <c r="F1188">
        <v>6</v>
      </c>
      <c r="G1188" s="1" t="s">
        <v>690</v>
      </c>
      <c r="H1188" s="17" t="s">
        <v>3838</v>
      </c>
      <c r="I1188" s="19"/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customHeight="1">
      <c r="A1189">
        <v>4025</v>
      </c>
      <c r="B1189">
        <f>IF(表1[[#This Row],[不调整offset]]="x",IFERROR(VLOOKUP(表1[[#This Row],[8:image]],常量!J:N,4,FALSE),0),0)</f>
        <v>0</v>
      </c>
      <c r="C1189">
        <f>IF(表1[[#This Row],[不调整offset]]="x",IFERROR(VLOOKUP(表1[[#This Row],[8:image]],常量!J:N,5,FALSE),0),0)</f>
        <v>0</v>
      </c>
      <c r="E1189" t="s">
        <v>2587</v>
      </c>
      <c r="F1189">
        <v>6</v>
      </c>
      <c r="G1189" s="1" t="s">
        <v>1004</v>
      </c>
      <c r="H1189" s="17" t="s">
        <v>3839</v>
      </c>
      <c r="I1189" s="19"/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customHeight="1">
      <c r="A1190">
        <v>4026</v>
      </c>
      <c r="B1190">
        <f>IF(表1[[#This Row],[不调整offset]]="x",IFERROR(VLOOKUP(表1[[#This Row],[8:image]],常量!J:N,4,FALSE),0),0)</f>
        <v>0</v>
      </c>
      <c r="C1190">
        <f>IF(表1[[#This Row],[不调整offset]]="x",IFERROR(VLOOKUP(表1[[#This Row],[8:image]],常量!J:N,5,FALSE),0),0)</f>
        <v>0</v>
      </c>
      <c r="E1190" t="s">
        <v>2587</v>
      </c>
      <c r="F1190">
        <v>6</v>
      </c>
      <c r="G1190" s="1" t="s">
        <v>1005</v>
      </c>
      <c r="H1190" s="17" t="s">
        <v>3840</v>
      </c>
      <c r="I1190" s="19"/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customHeight="1">
      <c r="A1191">
        <v>4027</v>
      </c>
      <c r="B1191">
        <f>IF(表1[[#This Row],[不调整offset]]="x",IFERROR(VLOOKUP(表1[[#This Row],[8:image]],常量!J:N,4,FALSE),0),0)</f>
        <v>0</v>
      </c>
      <c r="C1191">
        <f>IF(表1[[#This Row],[不调整offset]]="x",IFERROR(VLOOKUP(表1[[#This Row],[8:image]],常量!J:N,5,FALSE),0),0)</f>
        <v>0</v>
      </c>
      <c r="E1191" t="s">
        <v>2587</v>
      </c>
      <c r="F1191">
        <v>6</v>
      </c>
      <c r="G1191" s="1" t="s">
        <v>1006</v>
      </c>
      <c r="H1191" s="17" t="s">
        <v>3841</v>
      </c>
      <c r="I1191" s="19"/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customHeight="1">
      <c r="A1192">
        <v>4028</v>
      </c>
      <c r="B1192">
        <f>IF(表1[[#This Row],[不调整offset]]="x",IFERROR(VLOOKUP(表1[[#This Row],[8:image]],常量!J:N,4,FALSE),0),0)</f>
        <v>0</v>
      </c>
      <c r="C1192">
        <f>IF(表1[[#This Row],[不调整offset]]="x",IFERROR(VLOOKUP(表1[[#This Row],[8:image]],常量!J:N,5,FALSE),0),0)</f>
        <v>0</v>
      </c>
      <c r="E1192" t="s">
        <v>2587</v>
      </c>
      <c r="F1192">
        <v>6</v>
      </c>
      <c r="G1192" s="1" t="s">
        <v>968</v>
      </c>
      <c r="H1192" s="17" t="s">
        <v>3842</v>
      </c>
      <c r="I1192" s="19"/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customHeight="1">
      <c r="A1193">
        <v>4029</v>
      </c>
      <c r="B1193">
        <f>IF(表1[[#This Row],[不调整offset]]="x",IFERROR(VLOOKUP(表1[[#This Row],[8:image]],常量!J:N,4,FALSE),0),0)</f>
        <v>0</v>
      </c>
      <c r="C1193">
        <f>IF(表1[[#This Row],[不调整offset]]="x",IFERROR(VLOOKUP(表1[[#This Row],[8:image]],常量!J:N,5,FALSE),0),0)</f>
        <v>0</v>
      </c>
      <c r="E1193" t="s">
        <v>2587</v>
      </c>
      <c r="F1193">
        <v>6</v>
      </c>
      <c r="G1193" s="1" t="s">
        <v>972</v>
      </c>
      <c r="H1193" s="17" t="s">
        <v>3843</v>
      </c>
      <c r="I1193" s="19"/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customHeight="1">
      <c r="A1194">
        <v>4030</v>
      </c>
      <c r="B1194">
        <f>IF(表1[[#This Row],[不调整offset]]="x",IFERROR(VLOOKUP(表1[[#This Row],[8:image]],常量!J:N,4,FALSE),0),0)</f>
        <v>0</v>
      </c>
      <c r="C1194">
        <f>IF(表1[[#This Row],[不调整offset]]="x",IFERROR(VLOOKUP(表1[[#This Row],[8:image]],常量!J:N,5,FALSE),0),0)</f>
        <v>0</v>
      </c>
      <c r="E1194" t="s">
        <v>2587</v>
      </c>
      <c r="F1194">
        <v>6</v>
      </c>
      <c r="G1194" s="1" t="s">
        <v>1048</v>
      </c>
      <c r="H1194" s="17" t="s">
        <v>3844</v>
      </c>
      <c r="I1194" s="19"/>
      <c r="J1194" t="str">
        <f>IF(LEN(VLOOKUP(表1[[#This Row],[id]],数据引用!A:C,3,FALSE))&gt;0,VLOOKUP(表1[[#This Row],[id]],数据引用!A:C,3,FALSE),"")</f>
        <v>石像鬼</v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194" s="5"/>
    </row>
    <row r="1195" spans="1:16" ht="14.25" customHeight="1">
      <c r="A1195">
        <v>4031</v>
      </c>
      <c r="B1195">
        <f>IF(表1[[#This Row],[不调整offset]]="x",IFERROR(VLOOKUP(表1[[#This Row],[8:image]],常量!J:N,4,FALSE),0),0)</f>
        <v>0</v>
      </c>
      <c r="C1195">
        <f>IF(表1[[#This Row],[不调整offset]]="x",IFERROR(VLOOKUP(表1[[#This Row],[8:image]],常量!J:N,5,FALSE),0),0)</f>
        <v>0</v>
      </c>
      <c r="E1195" t="s">
        <v>2587</v>
      </c>
      <c r="F1195">
        <v>6</v>
      </c>
      <c r="G1195" s="1" t="s">
        <v>981</v>
      </c>
      <c r="H1195" s="17" t="s">
        <v>3845</v>
      </c>
      <c r="I1195" s="19"/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customHeight="1">
      <c r="A1196">
        <v>4032</v>
      </c>
      <c r="B1196">
        <f>IF(表1[[#This Row],[不调整offset]]="x",IFERROR(VLOOKUP(表1[[#This Row],[8:image]],常量!J:N,4,FALSE),0),0)</f>
        <v>0</v>
      </c>
      <c r="C1196">
        <f>IF(表1[[#This Row],[不调整offset]]="x",IFERROR(VLOOKUP(表1[[#This Row],[8:image]],常量!J:N,5,FALSE),0),0)</f>
        <v>0</v>
      </c>
      <c r="E1196" t="s">
        <v>2587</v>
      </c>
      <c r="F1196">
        <v>6</v>
      </c>
      <c r="G1196" s="1" t="s">
        <v>949</v>
      </c>
      <c r="H1196" s="17" t="s">
        <v>3846</v>
      </c>
      <c r="I1196" s="19"/>
      <c r="J1196" t="str">
        <f>IF(LEN(VLOOKUP(表1[[#This Row],[id]],数据引用!A:C,3,FALSE))&gt;0,VLOOKUP(表1[[#This Row],[id]],数据引用!A:C,3,FALSE),"")</f>
        <v>鬼魂</v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196" s="5"/>
    </row>
    <row r="1197" spans="1:16" ht="14.25" customHeight="1">
      <c r="A1197">
        <v>4033</v>
      </c>
      <c r="B1197">
        <f>IF(表1[[#This Row],[不调整offset]]="x",IFERROR(VLOOKUP(表1[[#This Row],[8:image]],常量!J:N,4,FALSE),0),0)</f>
        <v>0</v>
      </c>
      <c r="C1197">
        <f>IF(表1[[#This Row],[不调整offset]]="x",IFERROR(VLOOKUP(表1[[#This Row],[8:image]],常量!J:N,5,FALSE),0),0)</f>
        <v>0</v>
      </c>
      <c r="E1197" t="s">
        <v>2587</v>
      </c>
      <c r="F1197">
        <v>6</v>
      </c>
      <c r="G1197" s="1" t="s">
        <v>1000</v>
      </c>
      <c r="H1197" s="17" t="s">
        <v>3847</v>
      </c>
      <c r="I1197" s="19"/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customHeight="1">
      <c r="A1198">
        <v>4034</v>
      </c>
      <c r="B1198">
        <f>IF(表1[[#This Row],[不调整offset]]="x",IFERROR(VLOOKUP(表1[[#This Row],[8:image]],常量!J:N,4,FALSE),0),0)</f>
        <v>0</v>
      </c>
      <c r="C1198">
        <f>IF(表1[[#This Row],[不调整offset]]="x",IFERROR(VLOOKUP(表1[[#This Row],[8:image]],常量!J:N,5,FALSE),0),0)</f>
        <v>0</v>
      </c>
      <c r="E1198" t="s">
        <v>2587</v>
      </c>
      <c r="F1198">
        <v>6</v>
      </c>
      <c r="G1198" s="1" t="s">
        <v>1049</v>
      </c>
      <c r="H1198" s="17" t="s">
        <v>3848</v>
      </c>
      <c r="I1198" s="19"/>
      <c r="J1198" t="str">
        <f>IF(LEN(VLOOKUP(表1[[#This Row],[id]],数据引用!A:C,3,FALSE))&gt;0,VLOOKUP(表1[[#This Row],[id]],数据引用!A:C,3,FALSE),"")</f>
        <v>紫色哥布林</v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198" s="5"/>
    </row>
    <row r="1199" spans="1:16" ht="14.25" customHeight="1">
      <c r="A1199">
        <v>4035</v>
      </c>
      <c r="B1199">
        <f>IF(表1[[#This Row],[不调整offset]]="x",IFERROR(VLOOKUP(表1[[#This Row],[8:image]],常量!J:N,4,FALSE),0),0)</f>
        <v>0</v>
      </c>
      <c r="C1199">
        <f>IF(表1[[#This Row],[不调整offset]]="x",IFERROR(VLOOKUP(表1[[#This Row],[8:image]],常量!J:N,5,FALSE),0),0)</f>
        <v>0</v>
      </c>
      <c r="E1199" t="s">
        <v>2587</v>
      </c>
      <c r="F1199">
        <v>6</v>
      </c>
      <c r="G1199" s="1" t="s">
        <v>1050</v>
      </c>
      <c r="H1199" s="17" t="s">
        <v>3849</v>
      </c>
      <c r="I1199" s="19"/>
      <c r="J1199" t="str">
        <f>IF(LEN(VLOOKUP(表1[[#This Row],[id]],数据引用!A:C,3,FALSE))&gt;0,VLOOKUP(表1[[#This Row],[id]],数据引用!A:C,3,FALSE),"")</f>
        <v>灰色哥布林</v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199" s="5"/>
    </row>
    <row r="1200" spans="1:16" ht="14.25" customHeight="1">
      <c r="A1200">
        <v>4036</v>
      </c>
      <c r="B1200">
        <f>IF(表1[[#This Row],[不调整offset]]="x",IFERROR(VLOOKUP(表1[[#This Row],[8:image]],常量!J:N,4,FALSE),0),0)</f>
        <v>0</v>
      </c>
      <c r="C1200">
        <f>IF(表1[[#This Row],[不调整offset]]="x",IFERROR(VLOOKUP(表1[[#This Row],[8:image]],常量!J:N,5,FALSE),0),0)</f>
        <v>0</v>
      </c>
      <c r="E1200" t="s">
        <v>2587</v>
      </c>
      <c r="F1200">
        <v>6</v>
      </c>
      <c r="G1200" s="1" t="s">
        <v>1051</v>
      </c>
      <c r="H1200" s="17" t="s">
        <v>3850</v>
      </c>
      <c r="I1200" s="19"/>
      <c r="J1200" t="str">
        <f>IF(LEN(VLOOKUP(表1[[#This Row],[id]],数据引用!A:C,3,FALSE))&gt;0,VLOOKUP(表1[[#This Row],[id]],数据引用!A:C,3,FALSE),"")</f>
        <v>哥布林投弹手</v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200" s="5"/>
    </row>
    <row r="1201" spans="1:16" ht="14.25" customHeight="1">
      <c r="A1201">
        <v>4037</v>
      </c>
      <c r="B1201">
        <f>IF(表1[[#This Row],[不调整offset]]="x",IFERROR(VLOOKUP(表1[[#This Row],[8:image]],常量!J:N,4,FALSE),0),0)</f>
        <v>0</v>
      </c>
      <c r="C1201">
        <f>IF(表1[[#This Row],[不调整offset]]="x",IFERROR(VLOOKUP(表1[[#This Row],[8:image]],常量!J:N,5,FALSE),0),0)</f>
        <v>0</v>
      </c>
      <c r="E1201" t="s">
        <v>2587</v>
      </c>
      <c r="F1201">
        <v>6</v>
      </c>
      <c r="G1201" s="1" t="s">
        <v>1052</v>
      </c>
      <c r="H1201" s="17" t="s">
        <v>3851</v>
      </c>
      <c r="I1201" s="19"/>
      <c r="J1201" t="str">
        <f>IF(LEN(VLOOKUP(表1[[#This Row],[id]],数据引用!A:C,3,FALSE))&gt;0,VLOOKUP(表1[[#This Row],[id]],数据引用!A:C,3,FALSE),"")</f>
        <v>浅色石巨人</v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201" s="5"/>
    </row>
    <row r="1202" spans="1:16" ht="14.25" customHeight="1">
      <c r="A1202">
        <v>4038</v>
      </c>
      <c r="B1202">
        <f>IF(表1[[#This Row],[不调整offset]]="x",IFERROR(VLOOKUP(表1[[#This Row],[8:image]],常量!J:N,4,FALSE),0),0)</f>
        <v>0</v>
      </c>
      <c r="C1202">
        <f>IF(表1[[#This Row],[不调整offset]]="x",IFERROR(VLOOKUP(表1[[#This Row],[8:image]],常量!J:N,5,FALSE),0),0)</f>
        <v>0</v>
      </c>
      <c r="E1202" t="s">
        <v>2587</v>
      </c>
      <c r="F1202">
        <v>6</v>
      </c>
      <c r="G1202" s="1" t="s">
        <v>962</v>
      </c>
      <c r="H1202" s="17" t="s">
        <v>3852</v>
      </c>
      <c r="I1202" s="19"/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customHeight="1">
      <c r="A1203">
        <v>4039</v>
      </c>
      <c r="B1203">
        <f>IF(表1[[#This Row],[不调整offset]]="x",IFERROR(VLOOKUP(表1[[#This Row],[8:image]],常量!J:N,4,FALSE),0),0)</f>
        <v>0</v>
      </c>
      <c r="C1203">
        <f>IF(表1[[#This Row],[不调整offset]]="x",IFERROR(VLOOKUP(表1[[#This Row],[8:image]],常量!J:N,5,FALSE),0),0)</f>
        <v>0</v>
      </c>
      <c r="E1203" t="s">
        <v>2587</v>
      </c>
      <c r="F1203">
        <v>6</v>
      </c>
      <c r="G1203" s="1" t="s">
        <v>997</v>
      </c>
      <c r="H1203" s="17" t="s">
        <v>3853</v>
      </c>
      <c r="I1203" s="19"/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customHeight="1">
      <c r="A1204">
        <v>4040</v>
      </c>
      <c r="B1204">
        <f>IF(表1[[#This Row],[不调整offset]]="x",IFERROR(VLOOKUP(表1[[#This Row],[8:image]],常量!J:N,4,FALSE),0),0)</f>
        <v>0</v>
      </c>
      <c r="C1204">
        <f>IF(表1[[#This Row],[不调整offset]]="x",IFERROR(VLOOKUP(表1[[#This Row],[8:image]],常量!J:N,5,FALSE),0),0)</f>
        <v>0</v>
      </c>
      <c r="E1204" t="s">
        <v>2587</v>
      </c>
      <c r="F1204">
        <v>6</v>
      </c>
      <c r="G1204" s="1" t="s">
        <v>993</v>
      </c>
      <c r="H1204" s="17" t="s">
        <v>3854</v>
      </c>
      <c r="I1204" s="19"/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customHeight="1">
      <c r="A1205">
        <v>4041</v>
      </c>
      <c r="B1205">
        <f>IF(表1[[#This Row],[不调整offset]]="x",IFERROR(VLOOKUP(表1[[#This Row],[8:image]],常量!J:N,4,FALSE),0),0)</f>
        <v>0</v>
      </c>
      <c r="C1205">
        <f>IF(表1[[#This Row],[不调整offset]]="x",IFERROR(VLOOKUP(表1[[#This Row],[8:image]],常量!J:N,5,FALSE),0),0)</f>
        <v>0</v>
      </c>
      <c r="E1205" t="s">
        <v>2587</v>
      </c>
      <c r="F1205">
        <v>6</v>
      </c>
      <c r="G1205" s="1" t="s">
        <v>979</v>
      </c>
      <c r="H1205" s="17" t="s">
        <v>3855</v>
      </c>
      <c r="I1205" s="19"/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customHeight="1">
      <c r="A1206">
        <v>4042</v>
      </c>
      <c r="B1206">
        <f>IF(表1[[#This Row],[不调整offset]]="x",IFERROR(VLOOKUP(表1[[#This Row],[8:image]],常量!J:N,4,FALSE),0),0)</f>
        <v>0</v>
      </c>
      <c r="C1206">
        <f>IF(表1[[#This Row],[不调整offset]]="x",IFERROR(VLOOKUP(表1[[#This Row],[8:image]],常量!J:N,5,FALSE),0),0)</f>
        <v>0</v>
      </c>
      <c r="E1206" t="s">
        <v>2587</v>
      </c>
      <c r="F1206">
        <v>6</v>
      </c>
      <c r="G1206" s="1" t="s">
        <v>973</v>
      </c>
      <c r="H1206" s="17" t="s">
        <v>3856</v>
      </c>
      <c r="I1206" s="19"/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customHeight="1">
      <c r="A1207">
        <v>4043</v>
      </c>
      <c r="B1207">
        <f>IF(表1[[#This Row],[不调整offset]]="x",IFERROR(VLOOKUP(表1[[#This Row],[8:image]],常量!J:N,4,FALSE),0),0)</f>
        <v>0</v>
      </c>
      <c r="C1207">
        <f>IF(表1[[#This Row],[不调整offset]]="x",IFERROR(VLOOKUP(表1[[#This Row],[8:image]],常量!J:N,5,FALSE),0),0)</f>
        <v>0</v>
      </c>
      <c r="E1207" t="s">
        <v>2587</v>
      </c>
      <c r="F1207">
        <v>6</v>
      </c>
      <c r="G1207" s="1" t="s">
        <v>1053</v>
      </c>
      <c r="H1207" s="17" t="s">
        <v>3857</v>
      </c>
      <c r="I1207" s="19"/>
      <c r="J1207" t="str">
        <f>IF(LEN(VLOOKUP(表1[[#This Row],[id]],数据引用!A:C,3,FALSE))&gt;0,VLOOKUP(表1[[#This Row],[id]],数据引用!A:C,3,FALSE),"")</f>
        <v>国王</v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207" s="5"/>
    </row>
    <row r="1208" spans="1:16" ht="14.25" customHeight="1">
      <c r="A1208">
        <v>4044</v>
      </c>
      <c r="B1208">
        <f>IF(表1[[#This Row],[不调整offset]]="x",IFERROR(VLOOKUP(表1[[#This Row],[8:image]],常量!J:N,4,FALSE),0),0)</f>
        <v>0</v>
      </c>
      <c r="C1208">
        <f>IF(表1[[#This Row],[不调整offset]]="x",IFERROR(VLOOKUP(表1[[#This Row],[8:image]],常量!J:N,5,FALSE),0),0)</f>
        <v>0</v>
      </c>
      <c r="E1208" t="s">
        <v>2587</v>
      </c>
      <c r="F1208">
        <v>6</v>
      </c>
      <c r="G1208" s="1" t="s">
        <v>1054</v>
      </c>
      <c r="H1208" s="17" t="s">
        <v>3858</v>
      </c>
      <c r="I1208" s="19"/>
      <c r="J1208" t="str">
        <f>IF(LEN(VLOOKUP(表1[[#This Row],[id]],数据引用!A:C,3,FALSE))&gt;0,VLOOKUP(表1[[#This Row],[id]],数据引用!A:C,3,FALSE),"")</f>
        <v>国王(红方)</v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208" s="5"/>
    </row>
    <row r="1209" spans="1:16" ht="14.25" customHeight="1">
      <c r="A1209">
        <v>4045</v>
      </c>
      <c r="B1209">
        <f>IF(表1[[#This Row],[不调整offset]]="x",IFERROR(VLOOKUP(表1[[#This Row],[8:image]],常量!J:N,4,FALSE),0),0)</f>
        <v>0</v>
      </c>
      <c r="C1209">
        <f>IF(表1[[#This Row],[不调整offset]]="x",IFERROR(VLOOKUP(表1[[#This Row],[8:image]],常量!J:N,5,FALSE),0),0)</f>
        <v>0</v>
      </c>
      <c r="E1209" t="s">
        <v>2587</v>
      </c>
      <c r="F1209">
        <v>6</v>
      </c>
      <c r="G1209" s="1" t="s">
        <v>689</v>
      </c>
      <c r="H1209" s="17" t="s">
        <v>3859</v>
      </c>
      <c r="I1209" s="19"/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customHeight="1">
      <c r="A1210">
        <v>4046</v>
      </c>
      <c r="B1210">
        <f>IF(表1[[#This Row],[不调整offset]]="x",IFERROR(VLOOKUP(表1[[#This Row],[8:image]],常量!J:N,4,FALSE),0),0)</f>
        <v>0</v>
      </c>
      <c r="C1210">
        <f>IF(表1[[#This Row],[不调整offset]]="x",IFERROR(VLOOKUP(表1[[#This Row],[8:image]],常量!J:N,5,FALSE),0),0)</f>
        <v>0</v>
      </c>
      <c r="E1210" t="s">
        <v>2587</v>
      </c>
      <c r="F1210">
        <v>6</v>
      </c>
      <c r="G1210" s="1" t="s">
        <v>1055</v>
      </c>
      <c r="H1210" s="17" t="s">
        <v>3860</v>
      </c>
      <c r="I1210" s="19"/>
      <c r="J1210" t="str">
        <f>IF(LEN(VLOOKUP(表1[[#This Row],[id]],数据引用!A:C,3,FALSE))&gt;0,VLOOKUP(表1[[#This Row],[id]],数据引用!A:C,3,FALSE),"")</f>
        <v>马</v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210" s="5"/>
    </row>
    <row r="1211" spans="1:16" ht="14.25" customHeight="1">
      <c r="A1211">
        <v>4047</v>
      </c>
      <c r="B1211">
        <f>IF(表1[[#This Row],[不调整offset]]="x",IFERROR(VLOOKUP(表1[[#This Row],[8:image]],常量!J:N,4,FALSE),0),0)</f>
        <v>0</v>
      </c>
      <c r="C1211">
        <f>IF(表1[[#This Row],[不调整offset]]="x",IFERROR(VLOOKUP(表1[[#This Row],[8:image]],常量!J:N,5,FALSE),0),0)</f>
        <v>0</v>
      </c>
      <c r="E1211" t="s">
        <v>2587</v>
      </c>
      <c r="F1211">
        <v>6</v>
      </c>
      <c r="G1211" s="1" t="s">
        <v>1056</v>
      </c>
      <c r="H1211" s="17" t="s">
        <v>3861</v>
      </c>
      <c r="I1211" s="19"/>
      <c r="J1211" t="str">
        <f>IF(LEN(VLOOKUP(表1[[#This Row],[id]],数据引用!A:C,3,FALSE))&gt;0,VLOOKUP(表1[[#This Row],[id]],数据引用!A:C,3,FALSE),"")</f>
        <v>马(红方)</v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211" s="5"/>
    </row>
    <row r="1212" spans="1:16" ht="14.25" customHeight="1">
      <c r="A1212">
        <v>4048</v>
      </c>
      <c r="B1212">
        <f>IF(表1[[#This Row],[不调整offset]]="x",IFERROR(VLOOKUP(表1[[#This Row],[8:image]],常量!J:N,4,FALSE),0),0)</f>
        <v>0</v>
      </c>
      <c r="C1212">
        <f>IF(表1[[#This Row],[不调整offset]]="x",IFERROR(VLOOKUP(表1[[#This Row],[8:image]],常量!J:N,5,FALSE),0),0)</f>
        <v>0</v>
      </c>
      <c r="E1212" t="s">
        <v>2587</v>
      </c>
      <c r="F1212">
        <v>6</v>
      </c>
      <c r="G1212" s="1" t="s">
        <v>1057</v>
      </c>
      <c r="H1212" s="17" t="s">
        <v>3862</v>
      </c>
      <c r="I1212" s="19"/>
      <c r="J1212" t="str">
        <f>IF(LEN(VLOOKUP(表1[[#This Row],[id]],数据引用!A:C,3,FALSE))&gt;0,VLOOKUP(表1[[#This Row],[id]],数据引用!A:C,3,FALSE),"")</f>
        <v>妖精</v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212" s="5"/>
    </row>
    <row r="1213" spans="1:16" ht="14.25" customHeight="1">
      <c r="A1213">
        <v>4049</v>
      </c>
      <c r="B1213">
        <f>IF(表1[[#This Row],[不调整offset]]="x",IFERROR(VLOOKUP(表1[[#This Row],[8:image]],常量!J:N,4,FALSE),0),0)</f>
        <v>0</v>
      </c>
      <c r="C1213">
        <f>IF(表1[[#This Row],[不调整offset]]="x",IFERROR(VLOOKUP(表1[[#This Row],[8:image]],常量!J:N,5,FALSE),0),0)</f>
        <v>0</v>
      </c>
      <c r="E1213" t="s">
        <v>2587</v>
      </c>
      <c r="F1213">
        <v>6</v>
      </c>
      <c r="G1213" s="1" t="s">
        <v>984</v>
      </c>
      <c r="H1213" s="17" t="s">
        <v>3863</v>
      </c>
      <c r="I1213" s="19"/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customHeight="1">
      <c r="A1214">
        <v>4050</v>
      </c>
      <c r="B1214">
        <f>IF(表1[[#This Row],[不调整offset]]="x",IFERROR(VLOOKUP(表1[[#This Row],[8:image]],常量!J:N,4,FALSE),0),0)</f>
        <v>0</v>
      </c>
      <c r="C1214">
        <f>IF(表1[[#This Row],[不调整offset]]="x",IFERROR(VLOOKUP(表1[[#This Row],[8:image]],常量!J:N,5,FALSE),0),0)</f>
        <v>0</v>
      </c>
      <c r="E1214" t="s">
        <v>2587</v>
      </c>
      <c r="F1214">
        <v>6</v>
      </c>
      <c r="G1214" s="1" t="s">
        <v>985</v>
      </c>
      <c r="H1214" s="17" t="s">
        <v>3864</v>
      </c>
      <c r="I1214" s="19"/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customHeight="1">
      <c r="A1215">
        <v>4051</v>
      </c>
      <c r="B1215">
        <f>IF(表1[[#This Row],[不调整offset]]="x",IFERROR(VLOOKUP(表1[[#This Row],[8:image]],常量!J:N,4,FALSE),0),0)</f>
        <v>0</v>
      </c>
      <c r="C1215">
        <f>IF(表1[[#This Row],[不调整offset]]="x",IFERROR(VLOOKUP(表1[[#This Row],[8:image]],常量!J:N,5,FALSE),0),0)</f>
        <v>0</v>
      </c>
      <c r="E1215" t="s">
        <v>2587</v>
      </c>
      <c r="F1215">
        <v>6</v>
      </c>
      <c r="G1215" s="1" t="s">
        <v>986</v>
      </c>
      <c r="H1215" s="17" t="s">
        <v>3865</v>
      </c>
      <c r="I1215" s="19"/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customHeight="1">
      <c r="A1216">
        <v>4052</v>
      </c>
      <c r="B1216">
        <f>IF(表1[[#This Row],[不调整offset]]="x",IFERROR(VLOOKUP(表1[[#This Row],[8:image]],常量!J:N,4,FALSE),0),0)</f>
        <v>0</v>
      </c>
      <c r="C1216">
        <f>IF(表1[[#This Row],[不调整offset]]="x",IFERROR(VLOOKUP(表1[[#This Row],[8:image]],常量!J:N,5,FALSE),0),0)</f>
        <v>0</v>
      </c>
      <c r="E1216" t="s">
        <v>2587</v>
      </c>
      <c r="F1216">
        <v>6</v>
      </c>
      <c r="G1216" s="1" t="s">
        <v>694</v>
      </c>
      <c r="H1216" s="17" t="s">
        <v>3866</v>
      </c>
      <c r="I1216" s="19"/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customHeight="1">
      <c r="A1217">
        <v>4053</v>
      </c>
      <c r="B1217">
        <f>IF(表1[[#This Row],[不调整offset]]="x",IFERROR(VLOOKUP(表1[[#This Row],[8:image]],常量!J:N,4,FALSE),0),0)</f>
        <v>0</v>
      </c>
      <c r="C1217">
        <f>IF(表1[[#This Row],[不调整offset]]="x",IFERROR(VLOOKUP(表1[[#This Row],[8:image]],常量!J:N,5,FALSE),0),0)</f>
        <v>0</v>
      </c>
      <c r="E1217" t="s">
        <v>2587</v>
      </c>
      <c r="F1217">
        <v>6</v>
      </c>
      <c r="G1217" s="1" t="s">
        <v>1058</v>
      </c>
      <c r="H1217" s="17" t="s">
        <v>3867</v>
      </c>
      <c r="I1217" s="19"/>
      <c r="J1217" t="str">
        <f>IF(LEN(VLOOKUP(表1[[#This Row],[id]],数据引用!A:C,3,FALSE))&gt;0,VLOOKUP(表1[[#This Row],[id]],数据引用!A:C,3,FALSE),"")</f>
        <v>浅色牛头怪</v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217" s="5"/>
    </row>
    <row r="1218" spans="1:16" ht="14.25" customHeight="1">
      <c r="A1218">
        <v>4054</v>
      </c>
      <c r="B1218">
        <f>IF(表1[[#This Row],[不调整offset]]="x",IFERROR(VLOOKUP(表1[[#This Row],[8:image]],常量!J:N,4,FALSE),0),0)</f>
        <v>0</v>
      </c>
      <c r="C1218">
        <f>IF(表1[[#This Row],[不调整offset]]="x",IFERROR(VLOOKUP(表1[[#This Row],[8:image]],常量!J:N,5,FALSE),0),0)</f>
        <v>0</v>
      </c>
      <c r="E1218" t="s">
        <v>2587</v>
      </c>
      <c r="F1218">
        <v>6</v>
      </c>
      <c r="G1218" s="1" t="s">
        <v>1059</v>
      </c>
      <c r="H1218" s="17" t="s">
        <v>3868</v>
      </c>
      <c r="I1218" s="19"/>
      <c r="J1218" t="str">
        <f>IF(LEN(VLOOKUP(表1[[#This Row],[id]],数据引用!A:C,3,FALSE))&gt;0,VLOOKUP(表1[[#This Row],[id]],数据引用!A:C,3,FALSE),"")</f>
        <v>深色牛头怪</v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218" s="5"/>
    </row>
    <row r="1219" spans="1:16" ht="14.25" customHeight="1">
      <c r="A1219">
        <v>4055</v>
      </c>
      <c r="B1219">
        <f>IF(表1[[#This Row],[不调整offset]]="x",IFERROR(VLOOKUP(表1[[#This Row],[8:image]],常量!J:N,4,FALSE),0),0)</f>
        <v>0</v>
      </c>
      <c r="C1219">
        <f>IF(表1[[#This Row],[不调整offset]]="x",IFERROR(VLOOKUP(表1[[#This Row],[8:image]],常量!J:N,5,FALSE),0),0)</f>
        <v>0</v>
      </c>
      <c r="E1219" t="s">
        <v>2587</v>
      </c>
      <c r="F1219">
        <v>6</v>
      </c>
      <c r="G1219" s="1" t="s">
        <v>966</v>
      </c>
      <c r="H1219" s="17" t="s">
        <v>3869</v>
      </c>
      <c r="I1219" s="19"/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customHeight="1">
      <c r="A1220">
        <v>4056</v>
      </c>
      <c r="B1220">
        <f>IF(表1[[#This Row],[不调整offset]]="x",IFERROR(VLOOKUP(表1[[#This Row],[8:image]],常量!J:N,4,FALSE),0),0)</f>
        <v>0</v>
      </c>
      <c r="C1220">
        <f>IF(表1[[#This Row],[不调整offset]]="x",IFERROR(VLOOKUP(表1[[#This Row],[8:image]],常量!J:N,5,FALSE),0),0)</f>
        <v>0</v>
      </c>
      <c r="E1220" t="s">
        <v>2587</v>
      </c>
      <c r="F1220">
        <v>6</v>
      </c>
      <c r="G1220" s="1" t="s">
        <v>1060</v>
      </c>
      <c r="H1220" s="17" t="s">
        <v>3870</v>
      </c>
      <c r="I1220" s="19"/>
      <c r="J1220" t="str">
        <f>IF(LEN(VLOOKUP(表1[[#This Row],[id]],数据引用!A:C,3,FALSE))&gt;0,VLOOKUP(表1[[#This Row],[id]],数据引用!A:C,3,FALSE),"")</f>
        <v>紫色猴子</v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220" s="5"/>
    </row>
    <row r="1221" spans="1:16" ht="14.25" customHeight="1">
      <c r="A1221">
        <v>4057</v>
      </c>
      <c r="B1221">
        <f>IF(表1[[#This Row],[不调整offset]]="x",IFERROR(VLOOKUP(表1[[#This Row],[8:image]],常量!J:N,4,FALSE),0),0)</f>
        <v>0</v>
      </c>
      <c r="C1221">
        <f>IF(表1[[#This Row],[不调整offset]]="x",IFERROR(VLOOKUP(表1[[#This Row],[8:image]],常量!J:N,5,FALSE),0),0)</f>
        <v>0</v>
      </c>
      <c r="E1221" t="s">
        <v>2587</v>
      </c>
      <c r="F1221">
        <v>6</v>
      </c>
      <c r="G1221" s="1" t="s">
        <v>948</v>
      </c>
      <c r="H1221" s="17" t="s">
        <v>3871</v>
      </c>
      <c r="I1221" s="19"/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customHeight="1">
      <c r="A1222">
        <v>4058</v>
      </c>
      <c r="B1222">
        <f>IF(表1[[#This Row],[不调整offset]]="x",IFERROR(VLOOKUP(表1[[#This Row],[8:image]],常量!J:N,4,FALSE),0),0)</f>
        <v>0</v>
      </c>
      <c r="C1222">
        <f>IF(表1[[#This Row],[不调整offset]]="x",IFERROR(VLOOKUP(表1[[#This Row],[8:image]],常量!J:N,5,FALSE),0),0)</f>
        <v>0</v>
      </c>
      <c r="E1222" t="s">
        <v>2587</v>
      </c>
      <c r="F1222">
        <v>6</v>
      </c>
      <c r="G1222" s="1" t="s">
        <v>1061</v>
      </c>
      <c r="H1222" s="17" t="s">
        <v>3872</v>
      </c>
      <c r="I1222" s="19"/>
      <c r="J1222" t="str">
        <f>IF(LEN(VLOOKUP(表1[[#This Row],[id]],数据引用!A:C,3,FALSE))&gt;0,VLOOKUP(表1[[#This Row],[id]],数据引用!A:C,3,FALSE),"")</f>
        <v>绿色猴子</v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222" s="5"/>
    </row>
    <row r="1223" spans="1:16" ht="14.25" customHeight="1">
      <c r="A1223">
        <v>4059</v>
      </c>
      <c r="B1223">
        <f>IF(表1[[#This Row],[不调整offset]]="x",IFERROR(VLOOKUP(表1[[#This Row],[8:image]],常量!J:N,4,FALSE),0),0)</f>
        <v>0</v>
      </c>
      <c r="C1223">
        <f>IF(表1[[#This Row],[不调整offset]]="x",IFERROR(VLOOKUP(表1[[#This Row],[8:image]],常量!J:N,5,FALSE),0),0)</f>
        <v>0</v>
      </c>
      <c r="E1223" t="s">
        <v>2587</v>
      </c>
      <c r="F1223">
        <v>6</v>
      </c>
      <c r="G1223" s="1" t="s">
        <v>1062</v>
      </c>
      <c r="H1223" s="17" t="s">
        <v>3873</v>
      </c>
      <c r="I1223" s="19"/>
      <c r="J1223" t="str">
        <f>IF(LEN(VLOOKUP(表1[[#This Row],[id]],数据引用!A:C,3,FALSE))&gt;0,VLOOKUP(表1[[#This Row],[id]],数据引用!A:C,3,FALSE),"")</f>
        <v>魔法猴子</v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223" s="5"/>
    </row>
    <row r="1224" spans="1:16" ht="14.25" customHeight="1">
      <c r="A1224">
        <v>4060</v>
      </c>
      <c r="B1224">
        <f>IF(表1[[#This Row],[不调整offset]]="x",IFERROR(VLOOKUP(表1[[#This Row],[8:image]],常量!J:N,4,FALSE),0),0)</f>
        <v>0</v>
      </c>
      <c r="C1224">
        <f>IF(表1[[#This Row],[不调整offset]]="x",IFERROR(VLOOKUP(表1[[#This Row],[8:image]],常量!J:N,5,FALSE),0),0)</f>
        <v>0</v>
      </c>
      <c r="E1224" t="s">
        <v>2587</v>
      </c>
      <c r="F1224">
        <v>6</v>
      </c>
      <c r="G1224" s="1" t="s">
        <v>1012</v>
      </c>
      <c r="H1224" s="17" t="s">
        <v>3874</v>
      </c>
      <c r="I1224" s="19"/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customHeight="1">
      <c r="A1225">
        <v>4061</v>
      </c>
      <c r="B1225">
        <f>IF(表1[[#This Row],[不调整offset]]="x",IFERROR(VLOOKUP(表1[[#This Row],[8:image]],常量!J:N,4,FALSE),0),0)</f>
        <v>0</v>
      </c>
      <c r="C1225">
        <f>IF(表1[[#This Row],[不调整offset]]="x",IFERROR(VLOOKUP(表1[[#This Row],[8:image]],常量!J:N,5,FALSE),0),0)</f>
        <v>0</v>
      </c>
      <c r="E1225" t="s">
        <v>2587</v>
      </c>
      <c r="F1225">
        <v>6</v>
      </c>
      <c r="G1225" s="1" t="s">
        <v>1063</v>
      </c>
      <c r="H1225" s="17" t="s">
        <v>3875</v>
      </c>
      <c r="I1225" s="19"/>
      <c r="J1225" t="str">
        <f>IF(LEN(VLOOKUP(表1[[#This Row],[id]],数据引用!A:C,3,FALSE))&gt;0,VLOOKUP(表1[[#This Row],[id]],数据引用!A:C,3,FALSE),"")</f>
        <v>木乃伊</v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225" s="5"/>
    </row>
    <row r="1226" spans="1:16" ht="14.25" customHeight="1">
      <c r="A1226">
        <v>4062</v>
      </c>
      <c r="B1226">
        <f>IF(表1[[#This Row],[不调整offset]]="x",IFERROR(VLOOKUP(表1[[#This Row],[8:image]],常量!J:N,4,FALSE),0),0)</f>
        <v>0</v>
      </c>
      <c r="C1226">
        <f>IF(表1[[#This Row],[不调整offset]]="x",IFERROR(VLOOKUP(表1[[#This Row],[8:image]],常量!J:N,5,FALSE),0),0)</f>
        <v>0</v>
      </c>
      <c r="E1226" t="s">
        <v>2587</v>
      </c>
      <c r="F1226">
        <v>6</v>
      </c>
      <c r="G1226" s="1" t="s">
        <v>1064</v>
      </c>
      <c r="H1226" s="17" t="s">
        <v>3876</v>
      </c>
      <c r="I1226" s="19"/>
      <c r="J1226" t="str">
        <f>IF(LEN(VLOOKUP(表1[[#This Row],[id]],数据引用!A:C,3,FALSE))&gt;0,VLOOKUP(表1[[#This Row],[id]],数据引用!A:C,3,FALSE),"")</f>
        <v>蓝色蘑菇怪</v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226" s="5"/>
    </row>
    <row r="1227" spans="1:16" ht="14.25" customHeight="1">
      <c r="A1227">
        <v>4063</v>
      </c>
      <c r="B1227">
        <f>IF(表1[[#This Row],[不调整offset]]="x",IFERROR(VLOOKUP(表1[[#This Row],[8:image]],常量!J:N,4,FALSE),0),0)</f>
        <v>0</v>
      </c>
      <c r="C1227">
        <f>IF(表1[[#This Row],[不调整offset]]="x",IFERROR(VLOOKUP(表1[[#This Row],[8:image]],常量!J:N,5,FALSE),0),0)</f>
        <v>0</v>
      </c>
      <c r="E1227" t="s">
        <v>2587</v>
      </c>
      <c r="F1227">
        <v>6</v>
      </c>
      <c r="G1227" s="1" t="s">
        <v>1065</v>
      </c>
      <c r="H1227" s="17" t="s">
        <v>3877</v>
      </c>
      <c r="I1227" s="19"/>
      <c r="J1227" t="str">
        <f>IF(LEN(VLOOKUP(表1[[#This Row],[id]],数据引用!A:C,3,FALSE))&gt;0,VLOOKUP(表1[[#This Row],[id]],数据引用!A:C,3,FALSE),"")</f>
        <v>紫色蘑菇怪</v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227" s="5"/>
    </row>
    <row r="1228" spans="1:16" ht="14.25" customHeight="1">
      <c r="A1228">
        <v>4064</v>
      </c>
      <c r="B1228">
        <f>IF(表1[[#This Row],[不调整offset]]="x",IFERROR(VLOOKUP(表1[[#This Row],[8:image]],常量!J:N,4,FALSE),0),0)</f>
        <v>0</v>
      </c>
      <c r="C1228">
        <f>IF(表1[[#This Row],[不调整offset]]="x",IFERROR(VLOOKUP(表1[[#This Row],[8:image]],常量!J:N,5,FALSE),0),0)</f>
        <v>0</v>
      </c>
      <c r="E1228" t="s">
        <v>2587</v>
      </c>
      <c r="F1228">
        <v>6</v>
      </c>
      <c r="G1228" s="1" t="s">
        <v>1066</v>
      </c>
      <c r="H1228" s="17" t="s">
        <v>3878</v>
      </c>
      <c r="I1228" s="19"/>
      <c r="J1228" t="str">
        <f>IF(LEN(VLOOKUP(表1[[#This Row],[id]],数据引用!A:C,3,FALSE))&gt;0,VLOOKUP(表1[[#This Row],[id]],数据引用!A:C,3,FALSE),"")</f>
        <v>爆炸蘑菇怪</v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228" s="5"/>
    </row>
    <row r="1229" spans="1:16" ht="14.25" customHeight="1">
      <c r="A1229">
        <v>4065</v>
      </c>
      <c r="B1229">
        <f>IF(表1[[#This Row],[不调整offset]]="x",IFERROR(VLOOKUP(表1[[#This Row],[8:image]],常量!J:N,4,FALSE),0),0)</f>
        <v>0</v>
      </c>
      <c r="C1229">
        <f>IF(表1[[#This Row],[不调整offset]]="x",IFERROR(VLOOKUP(表1[[#This Row],[8:image]],常量!J:N,5,FALSE),0),0)</f>
        <v>0</v>
      </c>
      <c r="E1229" t="s">
        <v>2587</v>
      </c>
      <c r="F1229">
        <v>6</v>
      </c>
      <c r="G1229" s="1" t="s">
        <v>688</v>
      </c>
      <c r="H1229" s="17" t="s">
        <v>3879</v>
      </c>
      <c r="I1229" s="19"/>
      <c r="J1229" t="str">
        <f>IF(LEN(VLOOKUP(表1[[#This Row],[id]],数据引用!A:C,3,FALSE))&gt;0,VLOOKUP(表1[[#This Row],[id]],数据引用!A:C,3,FALSE),"")</f>
        <v>亡灵舞者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229" s="5"/>
    </row>
    <row r="1230" spans="1:16" ht="14.25" customHeight="1">
      <c r="A1230">
        <v>4066</v>
      </c>
      <c r="B1230">
        <f>IF(表1[[#This Row],[不调整offset]]="x",IFERROR(VLOOKUP(表1[[#This Row],[8:image]],常量!J:N,4,FALSE),0),0)</f>
        <v>0</v>
      </c>
      <c r="C1230">
        <f>IF(表1[[#This Row],[不调整offset]]="x",IFERROR(VLOOKUP(表1[[#This Row],[8:image]],常量!J:N,5,FALSE),0),0)</f>
        <v>0</v>
      </c>
      <c r="E1230" t="s">
        <v>2587</v>
      </c>
      <c r="F1230">
        <v>6</v>
      </c>
      <c r="G1230" s="1" t="s">
        <v>1067</v>
      </c>
      <c r="H1230" s="17" t="s">
        <v>3880</v>
      </c>
      <c r="I1230" s="19"/>
      <c r="J1230" t="str">
        <f>IF(LEN(VLOOKUP(表1[[#This Row],[id]],数据引用!A:C,3,FALSE))&gt;0,VLOOKUP(表1[[#This Row],[id]],数据引用!A:C,3,FALSE),"")</f>
        <v>黑暗梦魇</v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230" s="5"/>
    </row>
    <row r="1231" spans="1:16" ht="14.25" customHeight="1">
      <c r="A1231">
        <v>4067</v>
      </c>
      <c r="B1231">
        <f>IF(表1[[#This Row],[不调整offset]]="x",IFERROR(VLOOKUP(表1[[#This Row],[8:image]],常量!J:N,4,FALSE),0),0)</f>
        <v>0</v>
      </c>
      <c r="C1231">
        <f>IF(表1[[#This Row],[不调整offset]]="x",IFERROR(VLOOKUP(表1[[#This Row],[8:image]],常量!J:N,5,FALSE),0),0)</f>
        <v>0</v>
      </c>
      <c r="E1231" t="s">
        <v>2587</v>
      </c>
      <c r="F1231">
        <v>6</v>
      </c>
      <c r="G1231" s="1" t="s">
        <v>1011</v>
      </c>
      <c r="H1231" s="17" t="s">
        <v>3881</v>
      </c>
      <c r="I1231" s="19"/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customHeight="1">
      <c r="A1232">
        <v>4068</v>
      </c>
      <c r="B1232">
        <f>IF(表1[[#This Row],[不调整offset]]="x",IFERROR(VLOOKUP(表1[[#This Row],[8:image]],常量!J:N,4,FALSE),0),0)</f>
        <v>0</v>
      </c>
      <c r="C1232">
        <f>IF(表1[[#This Row],[不调整offset]]="x",IFERROR(VLOOKUP(表1[[#This Row],[8:image]],常量!J:N,5,FALSE),0),0)</f>
        <v>0</v>
      </c>
      <c r="E1232" t="s">
        <v>2587</v>
      </c>
      <c r="F1232">
        <v>6</v>
      </c>
      <c r="G1232" s="1" t="s">
        <v>1013</v>
      </c>
      <c r="H1232" s="17" t="s">
        <v>3882</v>
      </c>
      <c r="I1232" s="19"/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customHeight="1">
      <c r="A1233">
        <v>4069</v>
      </c>
      <c r="B1233">
        <f>IF(表1[[#This Row],[不调整offset]]="x",IFERROR(VLOOKUP(表1[[#This Row],[8:image]],常量!J:N,4,FALSE),0),0)</f>
        <v>0</v>
      </c>
      <c r="C1233">
        <f>IF(表1[[#This Row],[不调整offset]]="x",IFERROR(VLOOKUP(表1[[#This Row],[8:image]],常量!J:N,5,FALSE),0),0)</f>
        <v>0</v>
      </c>
      <c r="E1233" t="s">
        <v>2587</v>
      </c>
      <c r="F1233">
        <v>6</v>
      </c>
      <c r="G1233" s="1" t="s">
        <v>1068</v>
      </c>
      <c r="H1233" s="17" t="s">
        <v>3883</v>
      </c>
      <c r="I1233" s="19"/>
      <c r="J1233" t="str">
        <f>IF(LEN(VLOOKUP(表1[[#This Row],[id]],数据引用!A:C,3,FALSE))&gt;0,VLOOKUP(表1[[#This Row],[id]],数据引用!A:C,3,FALSE),"")</f>
        <v>卒</v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233" s="5"/>
    </row>
    <row r="1234" spans="1:16" ht="14.25" customHeight="1">
      <c r="A1234">
        <v>4070</v>
      </c>
      <c r="B1234">
        <f>IF(表1[[#This Row],[不调整offset]]="x",IFERROR(VLOOKUP(表1[[#This Row],[8:image]],常量!J:N,4,FALSE),0),0)</f>
        <v>0</v>
      </c>
      <c r="C1234">
        <f>IF(表1[[#This Row],[不调整offset]]="x",IFERROR(VLOOKUP(表1[[#This Row],[8:image]],常量!J:N,5,FALSE),0),0)</f>
        <v>0</v>
      </c>
      <c r="E1234" t="s">
        <v>2587</v>
      </c>
      <c r="F1234">
        <v>6</v>
      </c>
      <c r="G1234" s="1" t="s">
        <v>1069</v>
      </c>
      <c r="H1234" s="17" t="s">
        <v>3884</v>
      </c>
      <c r="I1234" s="19"/>
      <c r="J1234" t="str">
        <f>IF(LEN(VLOOKUP(表1[[#This Row],[id]],数据引用!A:C,3,FALSE))&gt;0,VLOOKUP(表1[[#This Row],[id]],数据引用!A:C,3,FALSE),"")</f>
        <v>卒(红方)</v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234" s="5"/>
    </row>
    <row r="1235" spans="1:16" ht="14.25" customHeight="1">
      <c r="A1235">
        <v>4071</v>
      </c>
      <c r="B1235">
        <f>IF(表1[[#This Row],[不调整offset]]="x",IFERROR(VLOOKUP(表1[[#This Row],[8:image]],常量!J:N,4,FALSE),0),0)</f>
        <v>0</v>
      </c>
      <c r="C1235">
        <f>IF(表1[[#This Row],[不调整offset]]="x",IFERROR(VLOOKUP(表1[[#This Row],[8:image]],常量!J:N,5,FALSE),0),0)</f>
        <v>0</v>
      </c>
      <c r="E1235" t="s">
        <v>2587</v>
      </c>
      <c r="F1235">
        <v>6</v>
      </c>
      <c r="G1235" s="1" t="s">
        <v>1001</v>
      </c>
      <c r="H1235" s="17" t="s">
        <v>3885</v>
      </c>
      <c r="I1235" s="19"/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customHeight="1">
      <c r="A1236">
        <v>4072</v>
      </c>
      <c r="B1236">
        <f>IF(表1[[#This Row],[不调整offset]]="x",IFERROR(VLOOKUP(表1[[#This Row],[8:image]],常量!J:N,4,FALSE),0),0)</f>
        <v>0</v>
      </c>
      <c r="C1236">
        <f>IF(表1[[#This Row],[不调整offset]]="x",IFERROR(VLOOKUP(表1[[#This Row],[8:image]],常量!J:N,5,FALSE),0),0)</f>
        <v>0</v>
      </c>
      <c r="E1236" t="s">
        <v>2587</v>
      </c>
      <c r="F1236">
        <v>6</v>
      </c>
      <c r="G1236" s="1" t="s">
        <v>1070</v>
      </c>
      <c r="H1236" s="17" t="s">
        <v>3886</v>
      </c>
      <c r="I1236" s="19"/>
      <c r="J1236" t="str">
        <f>IF(LEN(VLOOKUP(表1[[#This Row],[id]],数据引用!A:C,3,FALSE))&gt;0,VLOOKUP(表1[[#This Row],[id]],数据引用!A:C,3,FALSE),"")</f>
        <v>王后</v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236" s="5"/>
    </row>
    <row r="1237" spans="1:16" ht="14.25" customHeight="1">
      <c r="A1237">
        <v>4073</v>
      </c>
      <c r="B1237">
        <f>IF(表1[[#This Row],[不调整offset]]="x",IFERROR(VLOOKUP(表1[[#This Row],[8:image]],常量!J:N,4,FALSE),0),0)</f>
        <v>0</v>
      </c>
      <c r="C1237">
        <f>IF(表1[[#This Row],[不调整offset]]="x",IFERROR(VLOOKUP(表1[[#This Row],[8:image]],常量!J:N,5,FALSE),0),0)</f>
        <v>0</v>
      </c>
      <c r="E1237" t="s">
        <v>2587</v>
      </c>
      <c r="F1237">
        <v>6</v>
      </c>
      <c r="G1237" s="1" t="s">
        <v>1071</v>
      </c>
      <c r="H1237" s="17" t="s">
        <v>3887</v>
      </c>
      <c r="I1237" s="19"/>
      <c r="J1237" t="str">
        <f>IF(LEN(VLOOKUP(表1[[#This Row],[id]],数据引用!A:C,3,FALSE))&gt;0,VLOOKUP(表1[[#This Row],[id]],数据引用!A:C,3,FALSE),"")</f>
        <v>王后(红方)</v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237" s="5"/>
    </row>
    <row r="1238" spans="1:16" ht="14.25" customHeight="1">
      <c r="A1238">
        <v>4074</v>
      </c>
      <c r="B1238">
        <f>IF(表1[[#This Row],[不调整offset]]="x",IFERROR(VLOOKUP(表1[[#This Row],[8:image]],常量!J:N,4,FALSE),0),0)</f>
        <v>0</v>
      </c>
      <c r="C1238">
        <f>IF(表1[[#This Row],[不调整offset]]="x",IFERROR(VLOOKUP(表1[[#This Row],[8:image]],常量!J:N,5,FALSE),0),0)</f>
        <v>0</v>
      </c>
      <c r="E1238" t="s">
        <v>2587</v>
      </c>
      <c r="F1238">
        <v>6</v>
      </c>
      <c r="G1238" s="1" t="s">
        <v>1072</v>
      </c>
      <c r="H1238" s="17" t="s">
        <v>3888</v>
      </c>
      <c r="I1238" s="19"/>
      <c r="J1238" t="str">
        <f>IF(LEN(VLOOKUP(表1[[#This Row],[id]],数据引用!A:C,3,FALSE))&gt;0,VLOOKUP(表1[[#This Row],[id]],数据引用!A:C,3,FALSE),"")</f>
        <v>车</v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238" s="5"/>
    </row>
    <row r="1239" spans="1:16" ht="14.25" customHeight="1">
      <c r="A1239">
        <v>4075</v>
      </c>
      <c r="B1239">
        <f>IF(表1[[#This Row],[不调整offset]]="x",IFERROR(VLOOKUP(表1[[#This Row],[8:image]],常量!J:N,4,FALSE),0),0)</f>
        <v>0</v>
      </c>
      <c r="C1239">
        <f>IF(表1[[#This Row],[不调整offset]]="x",IFERROR(VLOOKUP(表1[[#This Row],[8:image]],常量!J:N,5,FALSE),0),0)</f>
        <v>0</v>
      </c>
      <c r="E1239" t="s">
        <v>2587</v>
      </c>
      <c r="F1239">
        <v>6</v>
      </c>
      <c r="G1239" s="1" t="s">
        <v>1073</v>
      </c>
      <c r="H1239" s="17" t="s">
        <v>3889</v>
      </c>
      <c r="I1239" s="19"/>
      <c r="J1239" t="str">
        <f>IF(LEN(VLOOKUP(表1[[#This Row],[id]],数据引用!A:C,3,FALSE))&gt;0,VLOOKUP(表1[[#This Row],[id]],数据引用!A:C,3,FALSE),"")</f>
        <v>车(红方)</v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239" s="5"/>
    </row>
    <row r="1240" spans="1:16" ht="14.25" customHeight="1">
      <c r="A1240">
        <v>4076</v>
      </c>
      <c r="B1240">
        <f>IF(表1[[#This Row],[不调整offset]]="x",IFERROR(VLOOKUP(表1[[#This Row],[8:image]],常量!J:N,4,FALSE),0),0)</f>
        <v>0</v>
      </c>
      <c r="C1240">
        <f>IF(表1[[#This Row],[不调整offset]]="x",IFERROR(VLOOKUP(表1[[#This Row],[8:image]],常量!J:N,5,FALSE),0),0)</f>
        <v>0</v>
      </c>
      <c r="E1240" t="s">
        <v>2587</v>
      </c>
      <c r="F1240">
        <v>6</v>
      </c>
      <c r="G1240" s="1" t="s">
        <v>983</v>
      </c>
      <c r="H1240" s="17" t="s">
        <v>3890</v>
      </c>
      <c r="I1240" s="19"/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customHeight="1">
      <c r="A1241">
        <v>4077</v>
      </c>
      <c r="B1241">
        <f>IF(表1[[#This Row],[不调整offset]]="x",IFERROR(VLOOKUP(表1[[#This Row],[8:image]],常量!J:N,4,FALSE),0),0)</f>
        <v>0</v>
      </c>
      <c r="C1241">
        <f>IF(表1[[#This Row],[不调整offset]]="x",IFERROR(VLOOKUP(表1[[#This Row],[8:image]],常量!J:N,5,FALSE),0),0)</f>
        <v>0</v>
      </c>
      <c r="E1241" t="s">
        <v>2587</v>
      </c>
      <c r="F1241">
        <v>6</v>
      </c>
      <c r="G1241" s="1" t="s">
        <v>1074</v>
      </c>
      <c r="H1241" s="17" t="s">
        <v>3891</v>
      </c>
      <c r="I1241" s="19"/>
      <c r="J1241" t="str">
        <f>IF(LEN(VLOOKUP(表1[[#This Row],[id]],数据引用!A:C,3,FALSE))&gt;0,VLOOKUP(表1[[#This Row],[id]],数据引用!A:C,3,FALSE),"")</f>
        <v>黄色石棺</v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241" s="5"/>
    </row>
    <row r="1242" spans="1:16" ht="14.25" customHeight="1">
      <c r="A1242">
        <v>4078</v>
      </c>
      <c r="B1242">
        <f>IF(表1[[#This Row],[不调整offset]]="x",IFERROR(VLOOKUP(表1[[#This Row],[8:image]],常量!J:N,4,FALSE),0),0)</f>
        <v>0</v>
      </c>
      <c r="C1242">
        <f>IF(表1[[#This Row],[不调整offset]]="x",IFERROR(VLOOKUP(表1[[#This Row],[8:image]],常量!J:N,5,FALSE),0),0)</f>
        <v>0</v>
      </c>
      <c r="E1242" t="s">
        <v>2587</v>
      </c>
      <c r="F1242">
        <v>6</v>
      </c>
      <c r="G1242" s="1" t="s">
        <v>1075</v>
      </c>
      <c r="H1242" s="17" t="s">
        <v>3892</v>
      </c>
      <c r="I1242" s="19"/>
      <c r="J1242" t="str">
        <f>IF(LEN(VLOOKUP(表1[[#This Row],[id]],数据引用!A:C,3,FALSE))&gt;0,VLOOKUP(表1[[#This Row],[id]],数据引用!A:C,3,FALSE),"")</f>
        <v>黑色石棺</v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242" s="5"/>
    </row>
    <row r="1243" spans="1:16" ht="14.25" customHeight="1">
      <c r="A1243">
        <v>4079</v>
      </c>
      <c r="B1243">
        <f>IF(表1[[#This Row],[不调整offset]]="x",IFERROR(VLOOKUP(表1[[#This Row],[8:image]],常量!J:N,4,FALSE),0),0)</f>
        <v>0</v>
      </c>
      <c r="C1243">
        <f>IF(表1[[#This Row],[不调整offset]]="x",IFERROR(VLOOKUP(表1[[#This Row],[8:image]],常量!J:N,5,FALSE),0),0)</f>
        <v>0</v>
      </c>
      <c r="E1243" t="s">
        <v>2587</v>
      </c>
      <c r="F1243">
        <v>6</v>
      </c>
      <c r="G1243" s="1" t="s">
        <v>1076</v>
      </c>
      <c r="H1243" s="17" t="s">
        <v>3893</v>
      </c>
      <c r="I1243" s="19"/>
      <c r="J1243" t="str">
        <f>IF(LEN(VLOOKUP(表1[[#This Row],[id]],数据引用!A:C,3,FALSE))&gt;0,VLOOKUP(表1[[#This Row],[id]],数据引用!A:C,3,FALSE),"")</f>
        <v>商店老板</v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243" s="5"/>
    </row>
    <row r="1244" spans="1:16" ht="14.25" customHeight="1">
      <c r="A1244">
        <v>4080</v>
      </c>
      <c r="B1244">
        <f>IF(表1[[#This Row],[不调整offset]]="x",IFERROR(VLOOKUP(表1[[#This Row],[8:image]],常量!J:N,4,FALSE),0),0)</f>
        <v>0</v>
      </c>
      <c r="C1244">
        <f>IF(表1[[#This Row],[不调整offset]]="x",IFERROR(VLOOKUP(表1[[#This Row],[8:image]],常量!J:N,5,FALSE),0),0)</f>
        <v>0</v>
      </c>
      <c r="E1244" t="s">
        <v>2587</v>
      </c>
      <c r="F1244">
        <v>6</v>
      </c>
      <c r="G1244" s="1" t="s">
        <v>1077</v>
      </c>
      <c r="H1244" s="17" t="s">
        <v>3894</v>
      </c>
      <c r="I1244" s="19"/>
      <c r="J1244" t="str">
        <f>IF(LEN(VLOOKUP(表1[[#This Row],[id]],数据引用!A:C,3,FALSE))&gt;0,VLOOKUP(表1[[#This Row],[id]],数据引用!A:C,3,FALSE),"")</f>
        <v>畸形商店老板</v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244" s="5"/>
    </row>
    <row r="1245" spans="1:16" ht="14.25" customHeight="1">
      <c r="A1245">
        <v>4081</v>
      </c>
      <c r="B1245">
        <f>IF(表1[[#This Row],[不调整offset]]="x",IFERROR(VLOOKUP(表1[[#This Row],[8:image]],常量!J:N,4,FALSE),0),0)</f>
        <v>0</v>
      </c>
      <c r="C1245">
        <f>IF(表1[[#This Row],[不调整offset]]="x",IFERROR(VLOOKUP(表1[[#This Row],[8:image]],常量!J:N,5,FALSE),0),0)</f>
        <v>0</v>
      </c>
      <c r="E1245" t="s">
        <v>2587</v>
      </c>
      <c r="F1245">
        <v>6</v>
      </c>
      <c r="G1245" s="1" t="s">
        <v>1078</v>
      </c>
      <c r="H1245" s="17" t="s">
        <v>3895</v>
      </c>
      <c r="I1245" s="19"/>
      <c r="J1245" t="str">
        <f>IF(LEN(VLOOKUP(表1[[#This Row],[id]],数据引用!A:C,3,FALSE))&gt;0,VLOOKUP(表1[[#This Row],[id]],数据引用!A:C,3,FALSE),"")</f>
        <v>商店老板幽灵</v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245" s="5"/>
    </row>
    <row r="1246" spans="1:16" ht="14.25" customHeight="1">
      <c r="A1246">
        <v>4082</v>
      </c>
      <c r="B1246">
        <f>IF(表1[[#This Row],[不调整offset]]="x",IFERROR(VLOOKUP(表1[[#This Row],[8:image]],常量!J:N,4,FALSE),0),0)</f>
        <v>0</v>
      </c>
      <c r="C1246">
        <f>IF(表1[[#This Row],[不调整offset]]="x",IFERROR(VLOOKUP(表1[[#This Row],[8:image]],常量!J:N,5,FALSE),0),0)</f>
        <v>0</v>
      </c>
      <c r="E1246" t="s">
        <v>2587</v>
      </c>
      <c r="F1246">
        <v>6</v>
      </c>
      <c r="G1246" s="1" t="s">
        <v>1079</v>
      </c>
      <c r="H1246" s="17" t="s">
        <v>3896</v>
      </c>
      <c r="I1246" s="19"/>
      <c r="J1246" t="str">
        <f>IF(LEN(VLOOKUP(表1[[#This Row],[id]],数据引用!A:C,3,FALSE))&gt;0,VLOOKUP(表1[[#This Row],[id]],数据引用!A:C,3,FALSE),"")</f>
        <v>推推怪</v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46" s="5"/>
    </row>
    <row r="1247" spans="1:16" ht="14.25" customHeight="1">
      <c r="A1247">
        <v>4083</v>
      </c>
      <c r="B1247">
        <f>IF(表1[[#This Row],[不调整offset]]="x",IFERROR(VLOOKUP(表1[[#This Row],[8:image]],常量!J:N,4,FALSE),0),0)</f>
        <v>0</v>
      </c>
      <c r="C1247">
        <f>IF(表1[[#This Row],[不调整offset]]="x",IFERROR(VLOOKUP(表1[[#This Row],[8:image]],常量!J:N,5,FALSE),0),0)</f>
        <v>0</v>
      </c>
      <c r="E1247" t="s">
        <v>2587</v>
      </c>
      <c r="F1247">
        <v>6</v>
      </c>
      <c r="G1247" s="1" t="s">
        <v>1080</v>
      </c>
      <c r="H1247" s="17" t="s">
        <v>3897</v>
      </c>
      <c r="I1247" s="19"/>
      <c r="J1247" t="str">
        <f>IF(LEN(VLOOKUP(表1[[#This Row],[id]],数据引用!A:C,3,FALSE))&gt;0,VLOOKUP(表1[[#This Row],[id]],数据引用!A:C,3,FALSE),"")</f>
        <v>白骷髅</v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247" s="5"/>
    </row>
    <row r="1248" spans="1:16" ht="14.25" customHeight="1">
      <c r="A1248">
        <v>4084</v>
      </c>
      <c r="B1248">
        <f>IF(表1[[#This Row],[不调整offset]]="x",IFERROR(VLOOKUP(表1[[#This Row],[8:image]],常量!J:N,4,FALSE),0),0)</f>
        <v>0</v>
      </c>
      <c r="C1248">
        <f>IF(表1[[#This Row],[不调整offset]]="x",IFERROR(VLOOKUP(表1[[#This Row],[8:image]],常量!J:N,5,FALSE),0),0)</f>
        <v>0</v>
      </c>
      <c r="E1248" t="s">
        <v>2587</v>
      </c>
      <c r="F1248">
        <v>6</v>
      </c>
      <c r="G1248" s="1" t="s">
        <v>942</v>
      </c>
      <c r="H1248" s="17" t="s">
        <v>3898</v>
      </c>
      <c r="I1248" s="19"/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customHeight="1">
      <c r="A1249">
        <v>4085</v>
      </c>
      <c r="B1249">
        <f>IF(表1[[#This Row],[不调整offset]]="x",IFERROR(VLOOKUP(表1[[#This Row],[8:image]],常量!J:N,4,FALSE),0),0)</f>
        <v>0</v>
      </c>
      <c r="C1249">
        <f>IF(表1[[#This Row],[不调整offset]]="x",IFERROR(VLOOKUP(表1[[#This Row],[8:image]],常量!J:N,5,FALSE),0),0)</f>
        <v>0</v>
      </c>
      <c r="E1249" t="s">
        <v>2587</v>
      </c>
      <c r="F1249">
        <v>6</v>
      </c>
      <c r="G1249" s="1" t="s">
        <v>943</v>
      </c>
      <c r="H1249" s="17" t="s">
        <v>3899</v>
      </c>
      <c r="I1249" s="19"/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customHeight="1">
      <c r="A1250">
        <v>4086</v>
      </c>
      <c r="B1250">
        <f>IF(表1[[#This Row],[不调整offset]]="x",IFERROR(VLOOKUP(表1[[#This Row],[8:image]],常量!J:N,4,FALSE),0),0)</f>
        <v>0</v>
      </c>
      <c r="C1250">
        <f>IF(表1[[#This Row],[不调整offset]]="x",IFERROR(VLOOKUP(表1[[#This Row],[8:image]],常量!J:N,5,FALSE),0),0)</f>
        <v>0</v>
      </c>
      <c r="E1250" t="s">
        <v>2587</v>
      </c>
      <c r="F1250">
        <v>6</v>
      </c>
      <c r="G1250" s="1" t="s">
        <v>1081</v>
      </c>
      <c r="H1250" s="17" t="s">
        <v>3900</v>
      </c>
      <c r="I1250" s="19"/>
      <c r="J1250" t="str">
        <f>IF(LEN(VLOOKUP(表1[[#This Row],[id]],数据引用!A:C,3,FALSE))&gt;0,VLOOKUP(表1[[#This Row],[id]],数据引用!A:C,3,FALSE),"")</f>
        <v>白色骷髅骑士</v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250" s="5"/>
    </row>
    <row r="1251" spans="1:16" ht="14.25" customHeight="1">
      <c r="A1251">
        <v>4087</v>
      </c>
      <c r="B1251">
        <f>IF(表1[[#This Row],[不调整offset]]="x",IFERROR(VLOOKUP(表1[[#This Row],[8:image]],常量!J:N,4,FALSE),0),0)</f>
        <v>0</v>
      </c>
      <c r="C1251">
        <f>IF(表1[[#This Row],[不调整offset]]="x",IFERROR(VLOOKUP(表1[[#This Row],[8:image]],常量!J:N,5,FALSE),0),0)</f>
        <v>0</v>
      </c>
      <c r="E1251" t="s">
        <v>2587</v>
      </c>
      <c r="F1251">
        <v>6</v>
      </c>
      <c r="G1251" s="1" t="s">
        <v>1082</v>
      </c>
      <c r="H1251" s="17" t="s">
        <v>3901</v>
      </c>
      <c r="I1251" s="19"/>
      <c r="J1251" t="str">
        <f>IF(LEN(VLOOKUP(表1[[#This Row],[id]],数据引用!A:C,3,FALSE))&gt;0,VLOOKUP(表1[[#This Row],[id]],数据引用!A:C,3,FALSE),"")</f>
        <v>黄色骷髅骑士</v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251" s="5"/>
    </row>
    <row r="1252" spans="1:16" ht="14.25" customHeight="1">
      <c r="A1252">
        <v>4088</v>
      </c>
      <c r="B1252">
        <f>IF(表1[[#This Row],[不调整offset]]="x",IFERROR(VLOOKUP(表1[[#This Row],[8:image]],常量!J:N,4,FALSE),0),0)</f>
        <v>0</v>
      </c>
      <c r="C1252">
        <f>IF(表1[[#This Row],[不调整offset]]="x",IFERROR(VLOOKUP(表1[[#This Row],[8:image]],常量!J:N,5,FALSE),0),0)</f>
        <v>0</v>
      </c>
      <c r="E1252" t="s">
        <v>2587</v>
      </c>
      <c r="F1252">
        <v>6</v>
      </c>
      <c r="G1252" s="1" t="s">
        <v>1083</v>
      </c>
      <c r="H1252" s="17" t="s">
        <v>3902</v>
      </c>
      <c r="I1252" s="19"/>
      <c r="J1252" t="str">
        <f>IF(LEN(VLOOKUP(表1[[#This Row],[id]],数据引用!A:C,3,FALSE))&gt;0,VLOOKUP(表1[[#This Row],[id]],数据引用!A:C,3,FALSE),"")</f>
        <v>黑色骷髅骑士</v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252" s="5"/>
    </row>
    <row r="1253" spans="1:16" ht="14.25" customHeight="1">
      <c r="A1253">
        <v>4089</v>
      </c>
      <c r="B1253">
        <f>IF(表1[[#This Row],[不调整offset]]="x",IFERROR(VLOOKUP(表1[[#This Row],[8:image]],常量!J:N,4,FALSE),0),0)</f>
        <v>0</v>
      </c>
      <c r="C1253">
        <f>IF(表1[[#This Row],[不调整offset]]="x",IFERROR(VLOOKUP(表1[[#This Row],[8:image]],常量!J:N,5,FALSE),0),0)</f>
        <v>0</v>
      </c>
      <c r="E1253" t="s">
        <v>2587</v>
      </c>
      <c r="F1253">
        <v>6</v>
      </c>
      <c r="G1253" s="1" t="s">
        <v>1084</v>
      </c>
      <c r="H1253" s="17" t="s">
        <v>3903</v>
      </c>
      <c r="I1253" s="19"/>
      <c r="J1253" t="str">
        <f>IF(LEN(VLOOKUP(表1[[#This Row],[id]],数据引用!A:C,3,FALSE))&gt;0,VLOOKUP(表1[[#This Row],[id]],数据引用!A:C,3,FALSE),"")</f>
        <v>白色骷髅法师</v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253" s="5"/>
    </row>
    <row r="1254" spans="1:16" ht="14.25" customHeight="1">
      <c r="A1254">
        <v>4090</v>
      </c>
      <c r="B1254">
        <f>IF(表1[[#This Row],[不调整offset]]="x",IFERROR(VLOOKUP(表1[[#This Row],[8:image]],常量!J:N,4,FALSE),0),0)</f>
        <v>0</v>
      </c>
      <c r="C1254">
        <f>IF(表1[[#This Row],[不调整offset]]="x",IFERROR(VLOOKUP(表1[[#This Row],[8:image]],常量!J:N,5,FALSE),0),0)</f>
        <v>0</v>
      </c>
      <c r="E1254" t="s">
        <v>2587</v>
      </c>
      <c r="F1254">
        <v>6</v>
      </c>
      <c r="G1254" s="1" t="s">
        <v>1085</v>
      </c>
      <c r="H1254" s="17" t="s">
        <v>3904</v>
      </c>
      <c r="I1254" s="19"/>
      <c r="J1254" t="str">
        <f>IF(LEN(VLOOKUP(表1[[#This Row],[id]],数据引用!A:C,3,FALSE))&gt;0,VLOOKUP(表1[[#This Row],[id]],数据引用!A:C,3,FALSE),"")</f>
        <v>黄色骷髅法师</v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254" s="5"/>
    </row>
    <row r="1255" spans="1:16" ht="14.25" customHeight="1">
      <c r="A1255">
        <v>4091</v>
      </c>
      <c r="B1255">
        <f>IF(表1[[#This Row],[不调整offset]]="x",IFERROR(VLOOKUP(表1[[#This Row],[8:image]],常量!J:N,4,FALSE),0),0)</f>
        <v>0</v>
      </c>
      <c r="C1255">
        <f>IF(表1[[#This Row],[不调整offset]]="x",IFERROR(VLOOKUP(表1[[#This Row],[8:image]],常量!J:N,5,FALSE),0),0)</f>
        <v>0</v>
      </c>
      <c r="E1255" t="s">
        <v>2587</v>
      </c>
      <c r="F1255">
        <v>6</v>
      </c>
      <c r="G1255" s="1" t="s">
        <v>1086</v>
      </c>
      <c r="H1255" s="17" t="s">
        <v>3905</v>
      </c>
      <c r="I1255" s="19"/>
      <c r="J1255" t="str">
        <f>IF(LEN(VLOOKUP(表1[[#This Row],[id]],数据引用!A:C,3,FALSE))&gt;0,VLOOKUP(表1[[#This Row],[id]],数据引用!A:C,3,FALSE),"")</f>
        <v>黑色骷髅法师</v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255" s="5"/>
    </row>
    <row r="1256" spans="1:16" ht="14.25" customHeight="1">
      <c r="A1256">
        <v>4092</v>
      </c>
      <c r="B1256">
        <f>IF(表1[[#This Row],[不调整offset]]="x",IFERROR(VLOOKUP(表1[[#This Row],[8:image]],常量!J:N,4,FALSE),0),0)</f>
        <v>0</v>
      </c>
      <c r="C1256">
        <f>IF(表1[[#This Row],[不调整offset]]="x",IFERROR(VLOOKUP(表1[[#This Row],[8:image]],常量!J:N,5,FALSE),0),0)</f>
        <v>0</v>
      </c>
      <c r="E1256" t="s">
        <v>2587</v>
      </c>
      <c r="F1256">
        <v>6</v>
      </c>
      <c r="G1256" s="1" t="s">
        <v>1087</v>
      </c>
      <c r="H1256" s="17" t="s">
        <v>3906</v>
      </c>
      <c r="I1256" s="19"/>
      <c r="J1256" t="str">
        <f>IF(LEN(VLOOKUP(表1[[#This Row],[id]],数据引用!A:C,3,FALSE))&gt;0,VLOOKUP(表1[[#This Row],[id]],数据引用!A:C,3,FALSE),"")</f>
        <v>哥布林警卫</v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256" s="5"/>
    </row>
    <row r="1257" spans="1:16" ht="14.25" customHeight="1">
      <c r="A1257">
        <v>4093</v>
      </c>
      <c r="B1257">
        <f>IF(表1[[#This Row],[不调整offset]]="x",IFERROR(VLOOKUP(表1[[#This Row],[8:image]],常量!J:N,4,FALSE),0),0)</f>
        <v>0</v>
      </c>
      <c r="C1257">
        <f>IF(表1[[#This Row],[不调整offset]]="x",IFERROR(VLOOKUP(表1[[#This Row],[8:image]],常量!J:N,5,FALSE),0),0)</f>
        <v>0</v>
      </c>
      <c r="E1257" t="s">
        <v>2587</v>
      </c>
      <c r="F1257">
        <v>6</v>
      </c>
      <c r="G1257" s="1" t="s">
        <v>938</v>
      </c>
      <c r="H1257" s="17" t="s">
        <v>3907</v>
      </c>
      <c r="I1257" s="19"/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customHeight="1">
      <c r="A1258">
        <v>4094</v>
      </c>
      <c r="B1258">
        <f>IF(表1[[#This Row],[不调整offset]]="x",IFERROR(VLOOKUP(表1[[#This Row],[8:image]],常量!J:N,4,FALSE),0),0)</f>
        <v>0</v>
      </c>
      <c r="C1258">
        <f>IF(表1[[#This Row],[不调整offset]]="x",IFERROR(VLOOKUP(表1[[#This Row],[8:image]],常量!J:N,5,FALSE),0),0)</f>
        <v>0</v>
      </c>
      <c r="E1258" t="s">
        <v>2587</v>
      </c>
      <c r="F1258">
        <v>6</v>
      </c>
      <c r="G1258" s="1" t="s">
        <v>939</v>
      </c>
      <c r="H1258" s="17" t="s">
        <v>3908</v>
      </c>
      <c r="I1258" s="19"/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customHeight="1">
      <c r="A1259">
        <v>4095</v>
      </c>
      <c r="B1259">
        <f>IF(表1[[#This Row],[不调整offset]]="x",IFERROR(VLOOKUP(表1[[#This Row],[8:image]],常量!J:N,4,FALSE),0),0)</f>
        <v>0</v>
      </c>
      <c r="C1259">
        <f>IF(表1[[#This Row],[不调整offset]]="x",IFERROR(VLOOKUP(表1[[#This Row],[8:image]],常量!J:N,5,FALSE),0),0)</f>
        <v>0</v>
      </c>
      <c r="E1259" t="s">
        <v>2587</v>
      </c>
      <c r="F1259">
        <v>6</v>
      </c>
      <c r="G1259" s="1" t="s">
        <v>940</v>
      </c>
      <c r="H1259" s="17" t="s">
        <v>3909</v>
      </c>
      <c r="I1259" s="19"/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customHeight="1">
      <c r="A1260">
        <v>4096</v>
      </c>
      <c r="B1260">
        <f>IF(表1[[#This Row],[不调整offset]]="x",IFERROR(VLOOKUP(表1[[#This Row],[8:image]],常量!J:N,4,FALSE),0),0)</f>
        <v>0</v>
      </c>
      <c r="C1260">
        <f>IF(表1[[#This Row],[不调整offset]]="x",IFERROR(VLOOKUP(表1[[#This Row],[8:image]],常量!J:N,5,FALSE),0),0)</f>
        <v>0</v>
      </c>
      <c r="E1260" t="s">
        <v>2587</v>
      </c>
      <c r="F1260">
        <v>6</v>
      </c>
      <c r="G1260" s="1" t="s">
        <v>970</v>
      </c>
      <c r="H1260" s="17" t="s">
        <v>3910</v>
      </c>
      <c r="I1260" s="19"/>
      <c r="J1260" t="str">
        <f>IF(LEN(VLOOKUP(表1[[#This Row],[id]],数据引用!A:C,3,FALSE))&gt;0,VLOOKUP(表1[[#This Row],[id]],数据引用!A:C,3,FALSE),"")</f>
        <v>冰霜史莱姆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260" s="5"/>
    </row>
    <row r="1261" spans="1:16" ht="14.25" customHeight="1">
      <c r="A1261">
        <v>4097</v>
      </c>
      <c r="B1261">
        <f>IF(表1[[#This Row],[不调整offset]]="x",IFERROR(VLOOKUP(表1[[#This Row],[8:image]],常量!J:N,4,FALSE),0),0)</f>
        <v>0</v>
      </c>
      <c r="C1261">
        <f>IF(表1[[#This Row],[不调整offset]]="x",IFERROR(VLOOKUP(表1[[#This Row],[8:image]],常量!J:N,5,FALSE),0),0)</f>
        <v>0</v>
      </c>
      <c r="E1261" t="s">
        <v>2587</v>
      </c>
      <c r="F1261">
        <v>6</v>
      </c>
      <c r="G1261" s="1" t="s">
        <v>969</v>
      </c>
      <c r="H1261" s="17" t="s">
        <v>3911</v>
      </c>
      <c r="I1261" s="19"/>
      <c r="J1261" t="str">
        <f>IF(LEN(VLOOKUP(表1[[#This Row],[id]],数据引用!A:C,3,FALSE))&gt;0,VLOOKUP(表1[[#This Row],[id]],数据引用!A:C,3,FALSE),"")</f>
        <v>火焰史莱姆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261" s="5"/>
    </row>
    <row r="1262" spans="1:16" ht="14.25" customHeight="1">
      <c r="A1262">
        <v>4098</v>
      </c>
      <c r="B1262">
        <f>IF(表1[[#This Row],[不调整offset]]="x",IFERROR(VLOOKUP(表1[[#This Row],[8:image]],常量!J:N,4,FALSE),0),0)</f>
        <v>0</v>
      </c>
      <c r="C1262">
        <f>IF(表1[[#This Row],[不调整offset]]="x",IFERROR(VLOOKUP(表1[[#This Row],[8:image]],常量!J:N,5,FALSE),0),0)</f>
        <v>0</v>
      </c>
      <c r="E1262" t="s">
        <v>2587</v>
      </c>
      <c r="F1262">
        <v>6</v>
      </c>
      <c r="G1262" s="1" t="s">
        <v>995</v>
      </c>
      <c r="H1262" s="17" t="s">
        <v>3912</v>
      </c>
      <c r="I1262" s="19"/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customHeight="1">
      <c r="A1263">
        <v>4099</v>
      </c>
      <c r="B1263">
        <f>IF(表1[[#This Row],[不调整offset]]="x",IFERROR(VLOOKUP(表1[[#This Row],[8:image]],常量!J:N,4,FALSE),0),0)</f>
        <v>0</v>
      </c>
      <c r="C1263">
        <f>IF(表1[[#This Row],[不调整offset]]="x",IFERROR(VLOOKUP(表1[[#This Row],[8:image]],常量!J:N,5,FALSE),0),0)</f>
        <v>0</v>
      </c>
      <c r="E1263" t="s">
        <v>2587</v>
      </c>
      <c r="F1263">
        <v>6</v>
      </c>
      <c r="G1263" s="1" t="s">
        <v>1088</v>
      </c>
      <c r="H1263" s="17" t="s">
        <v>3913</v>
      </c>
      <c r="I1263" s="19"/>
      <c r="J1263" t="str">
        <f>IF(LEN(VLOOKUP(表1[[#This Row],[id]],数据引用!A:C,3,FALSE))&gt;0,VLOOKUP(表1[[#This Row],[id]],数据引用!A:C,3,FALSE),"")</f>
        <v>焦油怪</v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263" s="5"/>
    </row>
    <row r="1264" spans="1:16" ht="14.25" customHeight="1">
      <c r="A1264">
        <v>4100</v>
      </c>
      <c r="B1264">
        <f>IF(表1[[#This Row],[不调整offset]]="x",IFERROR(VLOOKUP(表1[[#This Row],[8:image]],常量!J:N,4,FALSE),0),0)</f>
        <v>0</v>
      </c>
      <c r="C1264">
        <f>IF(表1[[#This Row],[不调整offset]]="x",IFERROR(VLOOKUP(表1[[#This Row],[8:image]],常量!J:N,5,FALSE),0),0)</f>
        <v>0</v>
      </c>
      <c r="E1264" t="s">
        <v>2587</v>
      </c>
      <c r="F1264">
        <v>6</v>
      </c>
      <c r="G1264" s="1" t="s">
        <v>1089</v>
      </c>
      <c r="H1264" s="17" t="s">
        <v>3914</v>
      </c>
      <c r="I1264" s="19"/>
      <c r="J1264" t="str">
        <f>IF(LEN(VLOOKUP(表1[[#This Row],[id]],数据引用!A:C,3,FALSE))&gt;0,VLOOKUP(表1[[#This Row],[id]],数据引用!A:C,3,FALSE),"")</f>
        <v>触手怪</v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264" s="5"/>
    </row>
    <row r="1265" spans="1:16" ht="14.25" customHeight="1">
      <c r="A1265">
        <v>4101</v>
      </c>
      <c r="B1265">
        <f>IF(表1[[#This Row],[不调整offset]]="x",IFERROR(VLOOKUP(表1[[#This Row],[8:image]],常量!J:N,4,FALSE),0),0)</f>
        <v>0</v>
      </c>
      <c r="C1265">
        <f>IF(表1[[#This Row],[不调整offset]]="x",IFERROR(VLOOKUP(表1[[#This Row],[8:image]],常量!J:N,5,FALSE),0),0)</f>
        <v>0</v>
      </c>
      <c r="E1265" t="s">
        <v>2587</v>
      </c>
      <c r="F1265">
        <v>6</v>
      </c>
      <c r="G1265" s="1" t="s">
        <v>952</v>
      </c>
      <c r="H1265" s="17" t="s">
        <v>3915</v>
      </c>
      <c r="I1265" s="19"/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customHeight="1">
      <c r="A1266">
        <v>4102</v>
      </c>
      <c r="B1266">
        <f>IF(表1[[#This Row],[不调整offset]]="x",IFERROR(VLOOKUP(表1[[#This Row],[8:image]],常量!J:N,4,FALSE),0),0)</f>
        <v>0</v>
      </c>
      <c r="C1266">
        <f>IF(表1[[#This Row],[不调整offset]]="x",IFERROR(VLOOKUP(表1[[#This Row],[8:image]],常量!J:N,5,FALSE),0),0)</f>
        <v>0</v>
      </c>
      <c r="E1266" t="s">
        <v>2587</v>
      </c>
      <c r="F1266">
        <v>6</v>
      </c>
      <c r="G1266" s="1" t="s">
        <v>1090</v>
      </c>
      <c r="H1266" s="17" t="s">
        <v>3916</v>
      </c>
      <c r="I1266" s="19"/>
      <c r="J1266" t="str">
        <f>IF(LEN(VLOOKUP(表1[[#This Row],[id]],数据引用!A:C,3,FALSE))&gt;0,VLOOKUP(表1[[#This Row],[id]],数据引用!A:C,3,FALSE),"")</f>
        <v>锁住的宝箱怪</v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266" s="5"/>
    </row>
    <row r="1267" spans="1:16" ht="14.25" customHeight="1">
      <c r="A1267">
        <v>4103</v>
      </c>
      <c r="B1267">
        <f>IF(表1[[#This Row],[不调整offset]]="x",IFERROR(VLOOKUP(表1[[#This Row],[8:image]],常量!J:N,4,FALSE),0),0)</f>
        <v>0</v>
      </c>
      <c r="C1267">
        <f>IF(表1[[#This Row],[不调整offset]]="x",IFERROR(VLOOKUP(表1[[#This Row],[8:image]],常量!J:N,5,FALSE),0),0)</f>
        <v>0</v>
      </c>
      <c r="E1267" t="s">
        <v>2587</v>
      </c>
      <c r="F1267">
        <v>6</v>
      </c>
      <c r="G1267" s="1" t="s">
        <v>1091</v>
      </c>
      <c r="H1267" s="17" t="s">
        <v>3917</v>
      </c>
      <c r="I1267" s="19"/>
      <c r="J1267" t="str">
        <f>IF(LEN(VLOOKUP(表1[[#This Row],[id]],数据引用!A:C,3,FALSE))&gt;0,VLOOKUP(表1[[#This Row],[id]],数据引用!A:C,3,FALSE),"")</f>
        <v>白色宝箱怪</v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267" s="5"/>
    </row>
    <row r="1268" spans="1:16" ht="14.25" customHeight="1">
      <c r="A1268">
        <v>4104</v>
      </c>
      <c r="B1268">
        <f>IF(表1[[#This Row],[不调整offset]]="x",IFERROR(VLOOKUP(表1[[#This Row],[8:image]],常量!J:N,4,FALSE),0),0)</f>
        <v>0</v>
      </c>
      <c r="C1268">
        <f>IF(表1[[#This Row],[不调整offset]]="x",IFERROR(VLOOKUP(表1[[#This Row],[8:image]],常量!J:N,5,FALSE),0),0)</f>
        <v>0</v>
      </c>
      <c r="E1268" t="s">
        <v>2587</v>
      </c>
      <c r="F1268">
        <v>6</v>
      </c>
      <c r="G1268" s="1" t="s">
        <v>1092</v>
      </c>
      <c r="H1268" s="17" t="s">
        <v>3918</v>
      </c>
      <c r="I1268" s="19"/>
      <c r="J1268" t="str">
        <f>IF(LEN(VLOOKUP(表1[[#This Row],[id]],数据引用!A:C,3,FALSE))&gt;0,VLOOKUP(表1[[#This Row],[id]],数据引用!A:C,3,FALSE),"")</f>
        <v>火焰锅炉怪</v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268" s="5"/>
    </row>
    <row r="1269" spans="1:16" ht="14.25" customHeight="1">
      <c r="A1269">
        <v>4105</v>
      </c>
      <c r="B1269">
        <f>IF(表1[[#This Row],[不调整offset]]="x",IFERROR(VLOOKUP(表1[[#This Row],[8:image]],常量!J:N,4,FALSE),0),0)</f>
        <v>0</v>
      </c>
      <c r="C1269">
        <f>IF(表1[[#This Row],[不调整offset]]="x",IFERROR(VLOOKUP(表1[[#This Row],[8:image]],常量!J:N,5,FALSE),0),0)</f>
        <v>0</v>
      </c>
      <c r="E1269" t="s">
        <v>2587</v>
      </c>
      <c r="F1269">
        <v>6</v>
      </c>
      <c r="G1269" s="1" t="s">
        <v>1093</v>
      </c>
      <c r="H1269" s="17" t="s">
        <v>3919</v>
      </c>
      <c r="I1269" s="19"/>
      <c r="J1269" t="str">
        <f>IF(LEN(VLOOKUP(表1[[#This Row],[id]],数据引用!A:C,3,FALSE))&gt;0,VLOOKUP(表1[[#This Row],[id]],数据引用!A:C,3,FALSE),"")</f>
        <v>冰霜锅炉怪</v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269" s="5"/>
    </row>
    <row r="1270" spans="1:16" ht="14.25" customHeight="1">
      <c r="A1270">
        <v>4106</v>
      </c>
      <c r="B1270">
        <f>IF(表1[[#This Row],[不调整offset]]="x",IFERROR(VLOOKUP(表1[[#This Row],[8:image]],常量!J:N,4,FALSE),0),0)</f>
        <v>0</v>
      </c>
      <c r="C1270">
        <f>IF(表1[[#This Row],[不调整offset]]="x",IFERROR(VLOOKUP(表1[[#This Row],[8:image]],常量!J:N,5,FALSE),0),0)</f>
        <v>0</v>
      </c>
      <c r="E1270" t="s">
        <v>2587</v>
      </c>
      <c r="F1270">
        <v>6</v>
      </c>
      <c r="G1270" s="1" t="s">
        <v>989</v>
      </c>
      <c r="H1270" s="17" t="s">
        <v>3920</v>
      </c>
      <c r="I1270" s="19"/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customHeight="1">
      <c r="A1271">
        <v>4107</v>
      </c>
      <c r="B1271">
        <f>IF(表1[[#This Row],[不调整offset]]="x",IFERROR(VLOOKUP(表1[[#This Row],[8:image]],常量!J:N,4,FALSE),0),0)</f>
        <v>0</v>
      </c>
      <c r="C1271">
        <f>IF(表1[[#This Row],[不调整offset]]="x",IFERROR(VLOOKUP(表1[[#This Row],[8:image]],常量!J:N,5,FALSE),0),0)</f>
        <v>0</v>
      </c>
      <c r="E1271" t="s">
        <v>2587</v>
      </c>
      <c r="F1271">
        <v>6</v>
      </c>
      <c r="G1271" s="1" t="s">
        <v>990</v>
      </c>
      <c r="H1271" s="17" t="s">
        <v>3921</v>
      </c>
      <c r="I1271" s="19"/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customHeight="1">
      <c r="A1272">
        <v>4108</v>
      </c>
      <c r="B1272">
        <f>IF(表1[[#This Row],[不调整offset]]="x",IFERROR(VLOOKUP(表1[[#This Row],[8:image]],常量!J:N,4,FALSE),0),0)</f>
        <v>0</v>
      </c>
      <c r="C1272">
        <f>IF(表1[[#This Row],[不调整offset]]="x",IFERROR(VLOOKUP(表1[[#This Row],[8:image]],常量!J:N,5,FALSE),0),0)</f>
        <v>0</v>
      </c>
      <c r="E1272" t="s">
        <v>2587</v>
      </c>
      <c r="F1272">
        <v>6</v>
      </c>
      <c r="G1272" s="1" t="s">
        <v>967</v>
      </c>
      <c r="H1272" s="17" t="s">
        <v>3922</v>
      </c>
      <c r="I1272" s="19"/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customHeight="1">
      <c r="A1273">
        <v>4109</v>
      </c>
      <c r="B1273">
        <f>IF(表1[[#This Row],[不调整offset]]="x",IFERROR(VLOOKUP(表1[[#This Row],[8:image]],常量!J:N,4,FALSE),0),0)</f>
        <v>0</v>
      </c>
      <c r="C1273">
        <f>IF(表1[[#This Row],[不调整offset]]="x",IFERROR(VLOOKUP(表1[[#This Row],[8:image]],常量!J:N,5,FALSE),0),0)</f>
        <v>0</v>
      </c>
      <c r="E1273" t="s">
        <v>2587</v>
      </c>
      <c r="F1273">
        <v>6</v>
      </c>
      <c r="G1273" s="1" t="s">
        <v>951</v>
      </c>
      <c r="H1273" s="17" t="s">
        <v>3923</v>
      </c>
      <c r="I1273" s="19"/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customHeight="1">
      <c r="A1274">
        <v>4110</v>
      </c>
      <c r="B1274">
        <f>IF(表1[[#This Row],[不调整offset]]="x",IFERROR(VLOOKUP(表1[[#This Row],[8:image]],常量!J:N,4,FALSE),0),0)</f>
        <v>0</v>
      </c>
      <c r="C1274">
        <f>IF(表1[[#This Row],[不调整offset]]="x",IFERROR(VLOOKUP(表1[[#This Row],[8:image]],常量!J:N,5,FALSE),0),0)</f>
        <v>0</v>
      </c>
      <c r="E1274" t="s">
        <v>2587</v>
      </c>
      <c r="F1274">
        <v>6</v>
      </c>
      <c r="G1274" s="1" t="s">
        <v>980</v>
      </c>
      <c r="H1274" s="17" t="s">
        <v>3924</v>
      </c>
      <c r="I1274" s="19"/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customHeight="1">
      <c r="A1275">
        <v>4111</v>
      </c>
      <c r="B1275">
        <f>IF(表1[[#This Row],[不调整offset]]="x",IFERROR(VLOOKUP(表1[[#This Row],[8:image]],常量!J:N,4,FALSE),0),0)</f>
        <v>0</v>
      </c>
      <c r="C1275">
        <f>IF(表1[[#This Row],[不调整offset]]="x",IFERROR(VLOOKUP(表1[[#This Row],[8:image]],常量!J:N,5,FALSE),0),0)</f>
        <v>0</v>
      </c>
      <c r="E1275" t="s">
        <v>2587</v>
      </c>
      <c r="F1275">
        <v>6</v>
      </c>
      <c r="G1275" s="1" t="s">
        <v>950</v>
      </c>
      <c r="H1275" s="17" t="s">
        <v>3925</v>
      </c>
      <c r="I1275" s="19"/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customHeight="1">
      <c r="A1276">
        <v>4112</v>
      </c>
      <c r="B1276">
        <f>IF(表1[[#This Row],[不调整offset]]="x",IFERROR(VLOOKUP(表1[[#This Row],[8:image]],常量!J:N,4,FALSE),0),0)</f>
        <v>0</v>
      </c>
      <c r="C1276">
        <f>IF(表1[[#This Row],[不调整offset]]="x",IFERROR(VLOOKUP(表1[[#This Row],[8:image]],常量!J:N,5,FALSE),0),0)</f>
        <v>0</v>
      </c>
      <c r="E1276" t="s">
        <v>2587</v>
      </c>
      <c r="F1276">
        <v>6</v>
      </c>
      <c r="G1276" s="1" t="s">
        <v>1094</v>
      </c>
      <c r="H1276" s="16" t="s">
        <v>3926</v>
      </c>
      <c r="I1276" s="19"/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IF(表1[[#This Row],[不调整offset]]="x",IFERROR(VLOOKUP(表1[[#This Row],[8:image]],常量!J:N,4,FALSE),0),0)</f>
        <v>0</v>
      </c>
      <c r="C1277">
        <f>IF(表1[[#This Row],[不调整offset]]="x",IFERROR(VLOOKUP(表1[[#This Row],[8:image]],常量!J:N,5,FALSE),0),0)</f>
        <v>0</v>
      </c>
      <c r="E1277" t="s">
        <v>2587</v>
      </c>
      <c r="F1277">
        <v>6</v>
      </c>
      <c r="G1277" s="1" t="s">
        <v>1095</v>
      </c>
      <c r="H1277" s="17" t="s">
        <v>3927</v>
      </c>
      <c r="I1277" s="19"/>
      <c r="J1277" t="str">
        <f>IF(LEN(VLOOKUP(表1[[#This Row],[id]],数据引用!A:C,3,FALSE))&gt;0,VLOOKUP(表1[[#This Row],[id]],数据引用!A:C,3,FALSE),"")</f>
        <v>刺针陷阱</v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277" s="5"/>
    </row>
    <row r="1278" spans="1:16" ht="14.25" customHeight="1">
      <c r="A1278">
        <v>4114</v>
      </c>
      <c r="B1278">
        <f>IF(表1[[#This Row],[不调整offset]]="x",IFERROR(VLOOKUP(表1[[#This Row],[8:image]],常量!J:N,4,FALSE),0),0)</f>
        <v>0</v>
      </c>
      <c r="C1278">
        <f>IF(表1[[#This Row],[不调整offset]]="x",IFERROR(VLOOKUP(表1[[#This Row],[8:image]],常量!J:N,5,FALSE),0),0)</f>
        <v>0</v>
      </c>
      <c r="E1278" t="s">
        <v>2587</v>
      </c>
      <c r="F1278">
        <v>6</v>
      </c>
      <c r="G1278" s="1" t="s">
        <v>1096</v>
      </c>
      <c r="H1278" s="17" t="s">
        <v>3928</v>
      </c>
      <c r="I1278" s="19"/>
      <c r="J1278" t="str">
        <f>IF(LEN(VLOOKUP(表1[[#This Row],[id]],数据引用!A:C,3,FALSE))&gt;0,VLOOKUP(表1[[#This Row],[id]],数据引用!A:C,3,FALSE),"")</f>
        <v>鲜血魔法</v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278" s="5"/>
    </row>
    <row r="1279" spans="1:16" ht="14.25" customHeight="1">
      <c r="A1279">
        <v>4115</v>
      </c>
      <c r="B1279">
        <f>IF(表1[[#This Row],[不调整offset]]="x",IFERROR(VLOOKUP(表1[[#This Row],[8:image]],常量!J:N,4,FALSE),0),0)</f>
        <v>0</v>
      </c>
      <c r="C1279">
        <f>IF(表1[[#This Row],[不调整offset]]="x",IFERROR(VLOOKUP(表1[[#This Row],[8:image]],常量!J:N,5,FALSE),0),0)</f>
        <v>0</v>
      </c>
      <c r="E1279" t="s">
        <v>2587</v>
      </c>
      <c r="F1279">
        <v>6</v>
      </c>
      <c r="G1279" s="1" t="s">
        <v>385</v>
      </c>
      <c r="H1279" s="17" t="s">
        <v>3929</v>
      </c>
      <c r="I1279" s="19"/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customHeight="1">
      <c r="A1280">
        <v>4116</v>
      </c>
      <c r="B1280">
        <f>IF(表1[[#This Row],[不调整offset]]="x",IFERROR(VLOOKUP(表1[[#This Row],[8:image]],常量!J:N,4,FALSE),0),0)</f>
        <v>0</v>
      </c>
      <c r="C1280">
        <f>IF(表1[[#This Row],[不调整offset]]="x",IFERROR(VLOOKUP(表1[[#This Row],[8:image]],常量!J:N,5,FALSE),0),0)</f>
        <v>0</v>
      </c>
      <c r="E1280" t="s">
        <v>2587</v>
      </c>
      <c r="F1280">
        <v>6</v>
      </c>
      <c r="G1280" s="1" t="s">
        <v>314</v>
      </c>
      <c r="H1280" s="17" t="s">
        <v>3930</v>
      </c>
      <c r="I1280" s="19"/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customHeight="1">
      <c r="A1281">
        <v>4117</v>
      </c>
      <c r="B1281">
        <f>IF(表1[[#This Row],[不调整offset]]="x",IFERROR(VLOOKUP(表1[[#This Row],[8:image]],常量!J:N,4,FALSE),0),0)</f>
        <v>0</v>
      </c>
      <c r="C1281">
        <f>IF(表1[[#This Row],[不调整offset]]="x",IFERROR(VLOOKUP(表1[[#This Row],[8:image]],常量!J:N,5,FALSE),0),0)</f>
        <v>0</v>
      </c>
      <c r="E1281" t="s">
        <v>2587</v>
      </c>
      <c r="F1281">
        <v>6</v>
      </c>
      <c r="G1281" s="1" t="s">
        <v>1097</v>
      </c>
      <c r="H1281" s="17" t="s">
        <v>3931</v>
      </c>
      <c r="I1281" s="19"/>
      <c r="J1281" t="str">
        <f>IF(LEN(VLOOKUP(表1[[#This Row],[id]],数据引用!A:C,3,FALSE))&gt;0,VLOOKUP(表1[[#This Row],[id]],数据引用!A:C,3,FALSE),"")</f>
        <v>血债</v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281" s="5"/>
    </row>
    <row r="1282" spans="1:16" ht="14.25" customHeight="1">
      <c r="A1282">
        <v>4118</v>
      </c>
      <c r="B1282">
        <f>IF(表1[[#This Row],[不调整offset]]="x",IFERROR(VLOOKUP(表1[[#This Row],[8:image]],常量!J:N,4,FALSE),0),0)</f>
        <v>0</v>
      </c>
      <c r="C1282">
        <f>IF(表1[[#This Row],[不调整offset]]="x",IFERROR(VLOOKUP(表1[[#This Row],[8:image]],常量!J:N,5,FALSE),0),0)</f>
        <v>0</v>
      </c>
      <c r="E1282" t="s">
        <v>2587</v>
      </c>
      <c r="F1282">
        <v>6</v>
      </c>
      <c r="G1282" s="1" t="s">
        <v>303</v>
      </c>
      <c r="H1282" s="17" t="s">
        <v>3932</v>
      </c>
      <c r="I1282" s="19"/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customHeight="1">
      <c r="A1283">
        <v>4119</v>
      </c>
      <c r="B1283">
        <f>IF(表1[[#This Row],[不调整offset]]="x",IFERROR(VLOOKUP(表1[[#This Row],[8:image]],常量!J:N,4,FALSE),0),0)</f>
        <v>0</v>
      </c>
      <c r="C1283">
        <f>IF(表1[[#This Row],[不调整offset]]="x",IFERROR(VLOOKUP(表1[[#This Row],[8:image]],常量!J:N,5,FALSE),0),0)</f>
        <v>0</v>
      </c>
      <c r="E1283" t="s">
        <v>2587</v>
      </c>
      <c r="F1283">
        <v>6</v>
      </c>
      <c r="G1283" s="1" t="s">
        <v>1098</v>
      </c>
      <c r="H1283" s="17" t="s">
        <v>3933</v>
      </c>
      <c r="I1283" s="19"/>
      <c r="J1283" t="str">
        <f>IF(LEN(VLOOKUP(表1[[#This Row],[id]],数据引用!A:C,3,FALSE))&gt;0,VLOOKUP(表1[[#This Row],[id]],数据引用!A:C,3,FALSE),"")</f>
        <v>荆棘之冠</v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283" s="5"/>
    </row>
    <row r="1284" spans="1:16" ht="14.25" customHeight="1">
      <c r="A1284">
        <v>4120</v>
      </c>
      <c r="B1284">
        <f>IF(表1[[#This Row],[不调整offset]]="x",IFERROR(VLOOKUP(表1[[#This Row],[8:image]],常量!J:N,4,FALSE),0),0)</f>
        <v>0</v>
      </c>
      <c r="C1284">
        <f>IF(表1[[#This Row],[不调整offset]]="x",IFERROR(VLOOKUP(表1[[#This Row],[8:image]],常量!J:N,5,FALSE),0),0)</f>
        <v>0</v>
      </c>
      <c r="E1284" t="s">
        <v>2587</v>
      </c>
      <c r="F1284">
        <v>6</v>
      </c>
      <c r="G1284" s="1" t="s">
        <v>1099</v>
      </c>
      <c r="H1284" s="17" t="s">
        <v>3934</v>
      </c>
      <c r="I1284" s="19"/>
      <c r="J1284" t="str">
        <f>IF(LEN(VLOOKUP(表1[[#This Row],[id]],数据引用!A:C,3,FALSE))&gt;0,VLOOKUP(表1[[#This Row],[id]],数据引用!A:C,3,FALSE),"")</f>
        <v>胆小鬼</v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284" s="5"/>
    </row>
    <row r="1285" spans="1:16" ht="14.25" customHeight="1">
      <c r="A1285">
        <v>4121</v>
      </c>
      <c r="B1285">
        <f>IF(表1[[#This Row],[不调整offset]]="x",IFERROR(VLOOKUP(表1[[#This Row],[8:image]],常量!J:N,4,FALSE),0),0)</f>
        <v>0</v>
      </c>
      <c r="C1285">
        <f>IF(表1[[#This Row],[不调整offset]]="x",IFERROR(VLOOKUP(表1[[#This Row],[8:image]],常量!J:N,5,FALSE),0),0)</f>
        <v>0</v>
      </c>
      <c r="E1285" t="s">
        <v>2587</v>
      </c>
      <c r="F1285">
        <v>6</v>
      </c>
      <c r="G1285" s="1" t="s">
        <v>1100</v>
      </c>
      <c r="H1285" s="17" t="s">
        <v>3935</v>
      </c>
      <c r="I1285" s="19"/>
      <c r="J1285" t="str">
        <f>IF(LEN(VLOOKUP(表1[[#This Row],[id]],数据引用!A:C,3,FALSE))&gt;0,VLOOKUP(表1[[#This Row],[id]],数据引用!A:C,3,FALSE),"")</f>
        <v>贪婪</v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285" s="5"/>
    </row>
    <row r="1286" spans="1:16" ht="14.25" customHeight="1">
      <c r="A1286">
        <v>4122</v>
      </c>
      <c r="B1286">
        <f>IF(表1[[#This Row],[不调整offset]]="x",IFERROR(VLOOKUP(表1[[#This Row],[8:image]],常量!J:N,4,FALSE),0),0)</f>
        <v>0</v>
      </c>
      <c r="C1286">
        <f>IF(表1[[#This Row],[不调整offset]]="x",IFERROR(VLOOKUP(表1[[#This Row],[8:image]],常量!J:N,5,FALSE),0),0)</f>
        <v>0</v>
      </c>
      <c r="E1286" t="s">
        <v>2587</v>
      </c>
      <c r="F1286">
        <v>6</v>
      </c>
      <c r="G1286" s="1" t="s">
        <v>1101</v>
      </c>
      <c r="H1286" s="17" t="s">
        <v>3936</v>
      </c>
      <c r="I1286" s="19"/>
      <c r="J1286" t="str">
        <f>IF(LEN(VLOOKUP(表1[[#This Row],[id]],数据引用!A:C,3,FALSE))&gt;0,VLOOKUP(表1[[#This Row],[id]],数据引用!A:C,3,FALSE),"")</f>
        <v>热煤</v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286" s="5"/>
    </row>
    <row r="1287" spans="1:16" ht="14.25" customHeight="1">
      <c r="A1287">
        <v>4123</v>
      </c>
      <c r="B1287">
        <f>IF(表1[[#This Row],[不调整offset]]="x",IFERROR(VLOOKUP(表1[[#This Row],[8:image]],常量!J:N,4,FALSE),0),0)</f>
        <v>0</v>
      </c>
      <c r="C1287">
        <f>IF(表1[[#This Row],[不调整offset]]="x",IFERROR(VLOOKUP(表1[[#This Row],[8:image]],常量!J:N,5,FALSE),0),0)</f>
        <v>0</v>
      </c>
      <c r="E1287" t="s">
        <v>2587</v>
      </c>
      <c r="F1287">
        <v>6</v>
      </c>
      <c r="G1287" s="1" t="s">
        <v>1102</v>
      </c>
      <c r="H1287" s="17" t="s">
        <v>3937</v>
      </c>
      <c r="I1287" s="19"/>
      <c r="J1287" t="str">
        <f>IF(LEN(VLOOKUP(表1[[#This Row],[id]],数据引用!A:C,3,FALSE))&gt;0,VLOOKUP(表1[[#This Row],[id]],数据引用!A:C,3,FALSE),"")</f>
        <v>熔岩</v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287" s="5"/>
    </row>
    <row r="1288" spans="1:16" ht="14.25" customHeight="1">
      <c r="A1288">
        <v>4124</v>
      </c>
      <c r="B1288">
        <f>IF(表1[[#This Row],[不调整offset]]="x",IFERROR(VLOOKUP(表1[[#This Row],[8:image]],常量!J:N,4,FALSE),0),0)</f>
        <v>0</v>
      </c>
      <c r="C1288">
        <f>IF(表1[[#This Row],[不调整offset]]="x",IFERROR(VLOOKUP(表1[[#This Row],[8:image]],常量!J:N,5,FALSE),0),0)</f>
        <v>0</v>
      </c>
      <c r="E1288" t="s">
        <v>2587</v>
      </c>
      <c r="F1288">
        <v>6</v>
      </c>
      <c r="G1288" s="1" t="s">
        <v>1103</v>
      </c>
      <c r="H1288" s="17" t="s">
        <v>3938</v>
      </c>
      <c r="I1288" s="19"/>
      <c r="J1288" t="str">
        <f>IF(LEN(VLOOKUP(表1[[#This Row],[id]],数据引用!A:C,3,FALSE))&gt;0,VLOOKUP(表1[[#This Row],[id]],数据引用!A:C,3,FALSE),"")</f>
        <v>Dorian的诅咒</v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288" s="5"/>
    </row>
    <row r="1289" spans="1:16" ht="14.25" customHeight="1">
      <c r="A1289">
        <v>4125</v>
      </c>
      <c r="B1289">
        <f>IF(表1[[#This Row],[不调整offset]]="x",IFERROR(VLOOKUP(表1[[#This Row],[8:image]],常量!J:N,4,FALSE),0),0)</f>
        <v>0</v>
      </c>
      <c r="C1289">
        <f>IF(表1[[#This Row],[不调整offset]]="x",IFERROR(VLOOKUP(表1[[#This Row],[8:image]],常量!J:N,5,FALSE),0),0)</f>
        <v>0</v>
      </c>
      <c r="E1289" t="s">
        <v>2587</v>
      </c>
      <c r="F1289">
        <v>6</v>
      </c>
      <c r="G1289" s="1" t="s">
        <v>1104</v>
      </c>
      <c r="H1289" s="17" t="s">
        <v>3939</v>
      </c>
      <c r="I1289" s="19"/>
      <c r="J1289" t="str">
        <f>IF(LEN(VLOOKUP(表1[[#This Row],[id]],数据引用!A:C,3,FALSE))&gt;0,VLOOKUP(表1[[#This Row],[id]],数据引用!A:C,3,FALSE),"")</f>
        <v>推推怪</v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89" s="5"/>
    </row>
    <row r="1290" spans="1:16" ht="14.25" customHeight="1">
      <c r="A1290">
        <v>4126</v>
      </c>
      <c r="B1290">
        <f>IF(表1[[#This Row],[不调整offset]]="x",IFERROR(VLOOKUP(表1[[#This Row],[8:image]],常量!J:N,4,FALSE),0),0)</f>
        <v>0</v>
      </c>
      <c r="C1290">
        <f>IF(表1[[#This Row],[不调整offset]]="x",IFERROR(VLOOKUP(表1[[#This Row],[8:image]],常量!J:N,5,FALSE),0),0)</f>
        <v>0</v>
      </c>
      <c r="E1290" t="s">
        <v>2587</v>
      </c>
      <c r="F1290">
        <v>6</v>
      </c>
      <c r="G1290" s="1" t="s">
        <v>1105</v>
      </c>
      <c r="H1290" s="17" t="s">
        <v>3940</v>
      </c>
      <c r="I1290" s="19"/>
      <c r="J1290" t="str">
        <f>IF(LEN(VLOOKUP(表1[[#This Row],[id]],数据引用!A:C,3,FALSE))&gt;0,VLOOKUP(表1[[#This Row],[id]],数据引用!A:C,3,FALSE),"")</f>
        <v>水晶砖块</v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290" s="5"/>
    </row>
    <row r="1291" spans="1:16" ht="14.25" customHeight="1">
      <c r="A1291">
        <v>4127</v>
      </c>
      <c r="B1291">
        <f>IF(表1[[#This Row],[不调整offset]]="x",IFERROR(VLOOKUP(表1[[#This Row],[8:image]],常量!J:N,4,FALSE),0),0)</f>
        <v>0</v>
      </c>
      <c r="C1291">
        <f>IF(表1[[#This Row],[不调整offset]]="x",IFERROR(VLOOKUP(表1[[#This Row],[8:image]],常量!J:N,5,FALSE),0),0)</f>
        <v>0</v>
      </c>
      <c r="E1291" t="s">
        <v>2587</v>
      </c>
      <c r="F1291">
        <v>6</v>
      </c>
      <c r="G1291" s="1" t="s">
        <v>212</v>
      </c>
      <c r="H1291" s="17" t="s">
        <v>3941</v>
      </c>
      <c r="I1291" s="19"/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customHeight="1">
      <c r="A1292">
        <v>4128</v>
      </c>
      <c r="B1292">
        <f>IF(表1[[#This Row],[不调整offset]]="x",IFERROR(VLOOKUP(表1[[#This Row],[8:image]],常量!J:N,4,FALSE),0),0)</f>
        <v>0</v>
      </c>
      <c r="C1292">
        <f>IF(表1[[#This Row],[不调整offset]]="x",IFERROR(VLOOKUP(表1[[#This Row],[8:image]],常量!J:N,5,FALSE),0),0)</f>
        <v>0</v>
      </c>
      <c r="E1292" t="s">
        <v>2587</v>
      </c>
      <c r="F1292">
        <v>6</v>
      </c>
      <c r="G1292" s="1" t="s">
        <v>210</v>
      </c>
      <c r="H1292" s="17" t="s">
        <v>3942</v>
      </c>
      <c r="I1292" s="19"/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customHeight="1">
      <c r="A1293">
        <v>4129</v>
      </c>
      <c r="B1293">
        <f>IF(表1[[#This Row],[不调整offset]]="x",IFERROR(VLOOKUP(表1[[#This Row],[8:image]],常量!J:N,4,FALSE),0),0)</f>
        <v>0</v>
      </c>
      <c r="C1293">
        <f>IF(表1[[#This Row],[不调整offset]]="x",IFERROR(VLOOKUP(表1[[#This Row],[8:image]],常量!J:N,5,FALSE),0),0)</f>
        <v>0</v>
      </c>
      <c r="E1293" t="s">
        <v>2587</v>
      </c>
      <c r="F1293">
        <v>6</v>
      </c>
      <c r="G1293" s="1" t="s">
        <v>206</v>
      </c>
      <c r="H1293" s="17" t="s">
        <v>3943</v>
      </c>
      <c r="I1293" s="19"/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customHeight="1">
      <c r="A1294">
        <v>4130</v>
      </c>
      <c r="B1294">
        <f>IF(表1[[#This Row],[不调整offset]]="x",IFERROR(VLOOKUP(表1[[#This Row],[8:image]],常量!J:N,4,FALSE),0),0)</f>
        <v>0</v>
      </c>
      <c r="C1294">
        <f>IF(表1[[#This Row],[不调整offset]]="x",IFERROR(VLOOKUP(表1[[#This Row],[8:image]],常量!J:N,5,FALSE),0),0)</f>
        <v>0</v>
      </c>
      <c r="E1294" t="s">
        <v>2587</v>
      </c>
      <c r="F1294">
        <v>6</v>
      </c>
      <c r="G1294" s="1" t="s">
        <v>1106</v>
      </c>
      <c r="H1294" s="17" t="s">
        <v>3944</v>
      </c>
      <c r="I1294" s="19"/>
      <c r="J1294" t="str">
        <f>IF(LEN(VLOOKUP(表1[[#This Row],[id]],数据引用!A:C,3,FALSE))&gt;0,VLOOKUP(表1[[#This Row],[id]],数据引用!A:C,3,FALSE),"")</f>
        <v>陷阱墙</v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294" s="5"/>
    </row>
    <row r="1295" spans="1:16" ht="14.25" customHeight="1">
      <c r="A1295">
        <v>4131</v>
      </c>
      <c r="B1295">
        <f>IF(表1[[#This Row],[不调整offset]]="x",IFERROR(VLOOKUP(表1[[#This Row],[8:image]],常量!J:N,4,FALSE),0),0)</f>
        <v>0</v>
      </c>
      <c r="C1295">
        <f>IF(表1[[#This Row],[不调整offset]]="x",IFERROR(VLOOKUP(表1[[#This Row],[8:image]],常量!J:N,5,FALSE),0),0)</f>
        <v>0</v>
      </c>
      <c r="E1295" t="s">
        <v>2587</v>
      </c>
      <c r="F1295">
        <v>6</v>
      </c>
      <c r="G1295" s="1" t="s">
        <v>265</v>
      </c>
      <c r="H1295" s="17" t="s">
        <v>3945</v>
      </c>
      <c r="I1295" s="19"/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customHeight="1">
      <c r="A1296">
        <v>4132</v>
      </c>
      <c r="B1296">
        <f>IF(表1[[#This Row],[不调整offset]]="x",IFERROR(VLOOKUP(表1[[#This Row],[8:image]],常量!J:N,4,FALSE),0),0)</f>
        <v>0</v>
      </c>
      <c r="C1296">
        <f>IF(表1[[#This Row],[不调整offset]]="x",IFERROR(VLOOKUP(表1[[#This Row],[8:image]],常量!J:N,5,FALSE),0),0)</f>
        <v>0</v>
      </c>
      <c r="E1296" t="s">
        <v>2587</v>
      </c>
      <c r="F1296">
        <v>6</v>
      </c>
      <c r="G1296" s="1" t="s">
        <v>1107</v>
      </c>
      <c r="H1296" s="16" t="s">
        <v>3946</v>
      </c>
      <c r="I1296" s="19"/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IF(表1[[#This Row],[不调整offset]]="x",IFERROR(VLOOKUP(表1[[#This Row],[8:image]],常量!J:N,4,FALSE),0),0)</f>
        <v>0</v>
      </c>
      <c r="C1297">
        <f>IF(表1[[#This Row],[不调整offset]]="x",IFERROR(VLOOKUP(表1[[#This Row],[8:image]],常量!J:N,5,FALSE),0),0)</f>
        <v>0</v>
      </c>
      <c r="E1297" t="s">
        <v>2587</v>
      </c>
      <c r="F1297">
        <v>6</v>
      </c>
      <c r="G1297" s="1" t="s">
        <v>1108</v>
      </c>
      <c r="H1297" s="17" t="s">
        <v>3947</v>
      </c>
      <c r="I1297" s="19"/>
      <c r="J1297" t="str">
        <f>IF(LEN(VLOOKUP(表1[[#This Row],[id]],数据引用!A:C,3,FALSE))&gt;0,VLOOKUP(表1[[#This Row],[id]],数据引用!A:C,3,FALSE),"")</f>
        <v>灰色推推怪</v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297" s="5"/>
    </row>
    <row r="1298" spans="1:16" ht="14.25" customHeight="1">
      <c r="A1298">
        <v>4134</v>
      </c>
      <c r="B1298">
        <f>IF(表1[[#This Row],[不调整offset]]="x",IFERROR(VLOOKUP(表1[[#This Row],[8:image]],常量!J:N,4,FALSE),0),0)</f>
        <v>0</v>
      </c>
      <c r="C1298">
        <f>IF(表1[[#This Row],[不调整offset]]="x",IFERROR(VLOOKUP(表1[[#This Row],[8:image]],常量!J:N,5,FALSE),0),0)</f>
        <v>0</v>
      </c>
      <c r="E1298" t="s">
        <v>2587</v>
      </c>
      <c r="F1298">
        <v>6</v>
      </c>
      <c r="G1298" s="1" t="s">
        <v>691</v>
      </c>
      <c r="H1298" s="17" t="s">
        <v>3948</v>
      </c>
      <c r="I1298" s="19"/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customHeight="1">
      <c r="A1299">
        <v>4135</v>
      </c>
      <c r="B1299">
        <f>IF(表1[[#This Row],[不调整offset]]="x",IFERROR(VLOOKUP(表1[[#This Row],[8:image]],常量!J:N,4,FALSE),0),0)</f>
        <v>0</v>
      </c>
      <c r="C1299">
        <f>IF(表1[[#This Row],[不调整offset]]="x",IFERROR(VLOOKUP(表1[[#This Row],[8:image]],常量!J:N,5,FALSE),0),0)</f>
        <v>0</v>
      </c>
      <c r="E1299" t="s">
        <v>2587</v>
      </c>
      <c r="F1299">
        <v>6</v>
      </c>
      <c r="G1299" s="1" t="s">
        <v>261</v>
      </c>
      <c r="H1299" s="17" t="s">
        <v>3949</v>
      </c>
      <c r="I1299" s="19"/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customHeight="1">
      <c r="A1300">
        <v>6000</v>
      </c>
      <c r="B1300">
        <f>IF(表1[[#This Row],[不调整offset]]="x",IFERROR(VLOOKUP(表1[[#This Row],[8:image]],常量!J:N,4,FALSE),0),0)</f>
        <v>0</v>
      </c>
      <c r="C1300">
        <f>IF(表1[[#This Row],[不调整offset]]="x",IFERROR(VLOOKUP(表1[[#This Row],[8:image]],常量!J:N,5,FALSE),0),0)</f>
        <v>0</v>
      </c>
      <c r="E1300">
        <v>1</v>
      </c>
      <c r="F1300">
        <v>12</v>
      </c>
      <c r="G1300" s="1" t="s">
        <v>1033</v>
      </c>
      <c r="H1300" s="17" t="s">
        <v>3950</v>
      </c>
      <c r="I1300" s="19"/>
      <c r="J1300" t="str">
        <f>IF(LEN(VLOOKUP(表1[[#This Row],[id]],数据引用!A:C,3,FALSE))&gt;0,VLOOKUP(表1[[#This Row],[id]],数据引用!A:C,3,FALSE),"")</f>
        <v>白色犰狳</v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300" s="5"/>
    </row>
    <row r="1301" spans="1:16" ht="14.25" customHeight="1">
      <c r="A1301">
        <v>6001</v>
      </c>
      <c r="B1301">
        <f>IF(表1[[#This Row],[不调整offset]]="x",IFERROR(VLOOKUP(表1[[#This Row],[8:image]],常量!J:N,4,FALSE),0),0)</f>
        <v>0</v>
      </c>
      <c r="C1301">
        <f>IF(表1[[#This Row],[不调整offset]]="x",IFERROR(VLOOKUP(表1[[#This Row],[8:image]],常量!J:N,5,FALSE),0),0)</f>
        <v>0</v>
      </c>
      <c r="E1301">
        <v>1</v>
      </c>
      <c r="F1301">
        <v>12</v>
      </c>
      <c r="G1301" s="1" t="s">
        <v>964</v>
      </c>
      <c r="H1301" s="17" t="s">
        <v>3951</v>
      </c>
      <c r="I1301" s="19"/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customHeight="1">
      <c r="A1302">
        <v>6002</v>
      </c>
      <c r="B1302">
        <f>IF(表1[[#This Row],[不调整offset]]="x",IFERROR(VLOOKUP(表1[[#This Row],[8:image]],常量!J:N,4,FALSE),0),0)</f>
        <v>0</v>
      </c>
      <c r="C1302">
        <f>IF(表1[[#This Row],[不调整offset]]="x",IFERROR(VLOOKUP(表1[[#This Row],[8:image]],常量!J:N,5,FALSE),0),0)</f>
        <v>0</v>
      </c>
      <c r="E1302">
        <v>1</v>
      </c>
      <c r="F1302">
        <v>12</v>
      </c>
      <c r="G1302" s="1" t="s">
        <v>1034</v>
      </c>
      <c r="H1302" s="17" t="s">
        <v>3952</v>
      </c>
      <c r="I1302" s="19"/>
      <c r="J1302" t="str">
        <f>IF(LEN(VLOOKUP(表1[[#This Row],[id]],数据引用!A:C,3,FALSE))&gt;0,VLOOKUP(表1[[#This Row],[id]],数据引用!A:C,3,FALSE),"")</f>
        <v>橙色犰狳</v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302" s="5"/>
    </row>
    <row r="1303" spans="1:16" ht="14.25" customHeight="1">
      <c r="A1303">
        <v>6003</v>
      </c>
      <c r="B1303">
        <f>IF(表1[[#This Row],[不调整offset]]="x",IFERROR(VLOOKUP(表1[[#This Row],[8:image]],常量!J:N,4,FALSE),0),0)</f>
        <v>0</v>
      </c>
      <c r="C1303">
        <f>IF(表1[[#This Row],[不调整offset]]="x",IFERROR(VLOOKUP(表1[[#This Row],[8:image]],常量!J:N,5,FALSE),0),0)</f>
        <v>0</v>
      </c>
      <c r="E1303">
        <v>1</v>
      </c>
      <c r="F1303">
        <v>12</v>
      </c>
      <c r="G1303" s="1" t="s">
        <v>1035</v>
      </c>
      <c r="H1303" s="17" t="s">
        <v>3953</v>
      </c>
      <c r="I1303" s="19"/>
      <c r="J1303" t="str">
        <f>IF(LEN(VLOOKUP(表1[[#This Row],[id]],数据引用!A:C,3,FALSE))&gt;0,VLOOKUP(表1[[#This Row],[id]],数据引用!A:C,3,FALSE),"")</f>
        <v>白色持盾骷髅</v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303" s="5"/>
    </row>
    <row r="1304" spans="1:16" ht="14.25" customHeight="1">
      <c r="A1304">
        <v>6004</v>
      </c>
      <c r="B1304">
        <f>IF(表1[[#This Row],[不调整offset]]="x",IFERROR(VLOOKUP(表1[[#This Row],[8:image]],常量!J:N,4,FALSE),0),0)</f>
        <v>0</v>
      </c>
      <c r="C1304">
        <f>IF(表1[[#This Row],[不调整offset]]="x",IFERROR(VLOOKUP(表1[[#This Row],[8:image]],常量!J:N,5,FALSE),0),0)</f>
        <v>0</v>
      </c>
      <c r="E1304">
        <v>1</v>
      </c>
      <c r="F1304">
        <v>12</v>
      </c>
      <c r="G1304" s="1" t="s">
        <v>1036</v>
      </c>
      <c r="H1304" s="17" t="s">
        <v>3954</v>
      </c>
      <c r="I1304" s="19"/>
      <c r="J1304" t="str">
        <f>IF(LEN(VLOOKUP(表1[[#This Row],[id]],数据引用!A:C,3,FALSE))&gt;0,VLOOKUP(表1[[#This Row],[id]],数据引用!A:C,3,FALSE),"")</f>
        <v>黄色持盾骷髅</v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304" s="5"/>
    </row>
    <row r="1305" spans="1:16" ht="14.25" customHeight="1">
      <c r="A1305">
        <v>6005</v>
      </c>
      <c r="B1305">
        <f>IF(表1[[#This Row],[不调整offset]]="x",IFERROR(VLOOKUP(表1[[#This Row],[8:image]],常量!J:N,4,FALSE),0),0)</f>
        <v>0</v>
      </c>
      <c r="C1305">
        <f>IF(表1[[#This Row],[不调整offset]]="x",IFERROR(VLOOKUP(表1[[#This Row],[8:image]],常量!J:N,5,FALSE),0),0)</f>
        <v>0</v>
      </c>
      <c r="E1305">
        <v>1</v>
      </c>
      <c r="F1305">
        <v>12</v>
      </c>
      <c r="G1305" s="1" t="s">
        <v>1037</v>
      </c>
      <c r="H1305" s="17" t="s">
        <v>3955</v>
      </c>
      <c r="I1305" s="19"/>
      <c r="J1305" t="str">
        <f>IF(LEN(VLOOKUP(表1[[#This Row],[id]],数据引用!A:C,3,FALSE))&gt;0,VLOOKUP(表1[[#This Row],[id]],数据引用!A:C,3,FALSE),"")</f>
        <v>黑色持盾骷髅</v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305" s="5"/>
    </row>
    <row r="1306" spans="1:16" ht="14.25" customHeight="1">
      <c r="A1306">
        <v>6006</v>
      </c>
      <c r="B1306">
        <f>IF(表1[[#This Row],[不调整offset]]="x",IFERROR(VLOOKUP(表1[[#This Row],[8:image]],常量!J:N,4,FALSE),0),0)</f>
        <v>0</v>
      </c>
      <c r="C1306">
        <f>IF(表1[[#This Row],[不调整offset]]="x",IFERROR(VLOOKUP(表1[[#This Row],[8:image]],常量!J:N,5,FALSE),0),0)</f>
        <v>0</v>
      </c>
      <c r="E1306">
        <v>1</v>
      </c>
      <c r="F1306">
        <v>12</v>
      </c>
      <c r="G1306" s="1" t="s">
        <v>1038</v>
      </c>
      <c r="H1306" s="17" t="s">
        <v>3956</v>
      </c>
      <c r="I1306" s="19"/>
      <c r="J1306" t="str">
        <f>IF(LEN(VLOOKUP(表1[[#This Row],[id]],数据引用!A:C,3,FALSE))&gt;0,VLOOKUP(表1[[#This Row],[id]],数据引用!A:C,3,FALSE),"")</f>
        <v>蓝色女妖</v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306" s="5"/>
    </row>
    <row r="1307" spans="1:16" ht="14.25" customHeight="1">
      <c r="A1307">
        <v>6007</v>
      </c>
      <c r="B1307">
        <f>IF(表1[[#This Row],[不调整offset]]="x",IFERROR(VLOOKUP(表1[[#This Row],[8:image]],常量!J:N,4,FALSE),0),0)</f>
        <v>0</v>
      </c>
      <c r="C1307">
        <f>IF(表1[[#This Row],[不调整offset]]="x",IFERROR(VLOOKUP(表1[[#This Row],[8:image]],常量!J:N,5,FALSE),0),0)</f>
        <v>0</v>
      </c>
      <c r="E1307">
        <v>1</v>
      </c>
      <c r="F1307">
        <v>12</v>
      </c>
      <c r="G1307" s="1" t="s">
        <v>1039</v>
      </c>
      <c r="H1307" s="17" t="s">
        <v>3957</v>
      </c>
      <c r="I1307" s="19"/>
      <c r="J1307" t="str">
        <f>IF(LEN(VLOOKUP(表1[[#This Row],[id]],数据引用!A:C,3,FALSE))&gt;0,VLOOKUP(表1[[#This Row],[id]],数据引用!A:C,3,FALSE),"")</f>
        <v>绿色女妖</v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307" s="5"/>
    </row>
    <row r="1308" spans="1:16" ht="14.25" customHeight="1">
      <c r="A1308">
        <v>6008</v>
      </c>
      <c r="B1308">
        <f>IF(表1[[#This Row],[不调整offset]]="x",IFERROR(VLOOKUP(表1[[#This Row],[8:image]],常量!J:N,4,FALSE),0),0)</f>
        <v>0</v>
      </c>
      <c r="C1308">
        <f>IF(表1[[#This Row],[不调整offset]]="x",IFERROR(VLOOKUP(表1[[#This Row],[8:image]],常量!J:N,5,FALSE),0),0)</f>
        <v>0</v>
      </c>
      <c r="E1308">
        <v>1</v>
      </c>
      <c r="F1308">
        <v>12</v>
      </c>
      <c r="G1308" s="1" t="s">
        <v>1040</v>
      </c>
      <c r="H1308" s="17" t="s">
        <v>3958</v>
      </c>
      <c r="I1308" s="19"/>
      <c r="J1308" t="str">
        <f>IF(LEN(VLOOKUP(表1[[#This Row],[id]],数据引用!A:C,3,FALSE))&gt;0,VLOOKUP(表1[[#This Row],[id]],数据引用!A:C,3,FALSE),"")</f>
        <v>蓝蝙蝠</v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308" s="5"/>
    </row>
    <row r="1309" spans="1:16" ht="14.25" customHeight="1">
      <c r="A1309">
        <v>6009</v>
      </c>
      <c r="B1309">
        <f>IF(表1[[#This Row],[不调整offset]]="x",IFERROR(VLOOKUP(表1[[#This Row],[8:image]],常量!J:N,4,FALSE),0),0)</f>
        <v>0</v>
      </c>
      <c r="C1309">
        <f>IF(表1[[#This Row],[不调整offset]]="x",IFERROR(VLOOKUP(表1[[#This Row],[8:image]],常量!J:N,5,FALSE),0),0)</f>
        <v>0</v>
      </c>
      <c r="E1309">
        <v>1</v>
      </c>
      <c r="F1309">
        <v>12</v>
      </c>
      <c r="G1309" s="1" t="s">
        <v>945</v>
      </c>
      <c r="H1309" s="17" t="s">
        <v>3959</v>
      </c>
      <c r="I1309" s="19"/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customHeight="1">
      <c r="A1310">
        <v>6010</v>
      </c>
      <c r="B1310">
        <f>IF(表1[[#This Row],[不调整offset]]="x",IFERROR(VLOOKUP(表1[[#This Row],[8:image]],常量!J:N,4,FALSE),0),0)</f>
        <v>0</v>
      </c>
      <c r="C1310">
        <f>IF(表1[[#This Row],[不调整offset]]="x",IFERROR(VLOOKUP(表1[[#This Row],[8:image]],常量!J:N,5,FALSE),0),0)</f>
        <v>0</v>
      </c>
      <c r="E1310">
        <v>1</v>
      </c>
      <c r="F1310">
        <v>12</v>
      </c>
      <c r="G1310" s="1" t="s">
        <v>946</v>
      </c>
      <c r="H1310" s="17" t="s">
        <v>3960</v>
      </c>
      <c r="I1310" s="19"/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customHeight="1">
      <c r="A1311">
        <v>6011</v>
      </c>
      <c r="B1311">
        <f>IF(表1[[#This Row],[不调整offset]]="x",IFERROR(VLOOKUP(表1[[#This Row],[8:image]],常量!J:N,4,FALSE),0),0)</f>
        <v>0</v>
      </c>
      <c r="C1311">
        <f>IF(表1[[#This Row],[不调整offset]]="x",IFERROR(VLOOKUP(表1[[#This Row],[8:image]],常量!J:N,5,FALSE),0),0)</f>
        <v>0</v>
      </c>
      <c r="E1311">
        <v>1</v>
      </c>
      <c r="F1311">
        <v>12</v>
      </c>
      <c r="G1311" s="1" t="s">
        <v>998</v>
      </c>
      <c r="H1311" s="17" t="s">
        <v>3961</v>
      </c>
      <c r="I1311" s="19"/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customHeight="1">
      <c r="A1312">
        <v>6012</v>
      </c>
      <c r="B1312">
        <f>IF(表1[[#This Row],[不调整offset]]="x",IFERROR(VLOOKUP(表1[[#This Row],[8:image]],常量!J:N,4,FALSE),0),0)</f>
        <v>0</v>
      </c>
      <c r="C1312">
        <f>IF(表1[[#This Row],[不调整offset]]="x",IFERROR(VLOOKUP(表1[[#This Row],[8:image]],常量!J:N,5,FALSE),0),0)</f>
        <v>0</v>
      </c>
      <c r="E1312">
        <v>1</v>
      </c>
      <c r="F1312">
        <v>12</v>
      </c>
      <c r="G1312" s="1" t="s">
        <v>1041</v>
      </c>
      <c r="H1312" s="17" t="s">
        <v>3962</v>
      </c>
      <c r="I1312" s="19"/>
      <c r="J1312" t="str">
        <f>IF(LEN(VLOOKUP(表1[[#This Row],[id]],数据引用!A:C,3,FALSE))&gt;0,VLOOKUP(表1[[#This Row],[id]],数据引用!A:C,3,FALSE),"")</f>
        <v>黄色恐怖蝙蝠</v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312" s="5"/>
    </row>
    <row r="1313" spans="1:16" ht="14.25" customHeight="1">
      <c r="A1313">
        <v>6013</v>
      </c>
      <c r="B1313">
        <f>IF(表1[[#This Row],[不调整offset]]="x",IFERROR(VLOOKUP(表1[[#This Row],[8:image]],常量!J:N,4,FALSE),0),0)</f>
        <v>0</v>
      </c>
      <c r="C1313">
        <f>IF(表1[[#This Row],[不调整offset]]="x",IFERROR(VLOOKUP(表1[[#This Row],[8:image]],常量!J:N,5,FALSE),0),0)</f>
        <v>0</v>
      </c>
      <c r="E1313">
        <v>1</v>
      </c>
      <c r="F1313">
        <v>12</v>
      </c>
      <c r="G1313" s="1" t="s">
        <v>1042</v>
      </c>
      <c r="H1313" s="17" t="s">
        <v>3963</v>
      </c>
      <c r="I1313" s="19"/>
      <c r="J1313" t="str">
        <f>IF(LEN(VLOOKUP(表1[[#This Row],[id]],数据引用!A:C,3,FALSE))&gt;0,VLOOKUP(表1[[#This Row],[id]],数据引用!A:C,3,FALSE),"")</f>
        <v>棕色恐怖蝙蝠</v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313" s="5"/>
    </row>
    <row r="1314" spans="1:16" ht="14.25" customHeight="1">
      <c r="A1314">
        <v>6014</v>
      </c>
      <c r="B1314">
        <f>IF(表1[[#This Row],[不调整offset]]="x",IFERROR(VLOOKUP(表1[[#This Row],[8:image]],常量!J:N,4,FALSE),0),0)</f>
        <v>0</v>
      </c>
      <c r="C1314">
        <f>IF(表1[[#This Row],[不调整offset]]="x",IFERROR(VLOOKUP(表1[[#This Row],[8:image]],常量!J:N,5,FALSE),0),0)</f>
        <v>0</v>
      </c>
      <c r="E1314">
        <v>1</v>
      </c>
      <c r="F1314">
        <v>12</v>
      </c>
      <c r="G1314" s="1" t="s">
        <v>976</v>
      </c>
      <c r="H1314" s="17" t="s">
        <v>3964</v>
      </c>
      <c r="I1314" s="19"/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customHeight="1">
      <c r="A1315">
        <v>6015</v>
      </c>
      <c r="B1315">
        <f>IF(表1[[#This Row],[不调整offset]]="x",IFERROR(VLOOKUP(表1[[#This Row],[8:image]],常量!J:N,4,FALSE),0),0)</f>
        <v>0</v>
      </c>
      <c r="C1315">
        <f>IF(表1[[#This Row],[不调整offset]]="x",IFERROR(VLOOKUP(表1[[#This Row],[8:image]],常量!J:N,5,FALSE),0),0)</f>
        <v>0</v>
      </c>
      <c r="E1315">
        <v>1</v>
      </c>
      <c r="F1315">
        <v>12</v>
      </c>
      <c r="G1315" s="1" t="s">
        <v>977</v>
      </c>
      <c r="H1315" s="17" t="s">
        <v>3965</v>
      </c>
      <c r="I1315" s="19"/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customHeight="1">
      <c r="A1316">
        <v>6016</v>
      </c>
      <c r="B1316">
        <f>IF(表1[[#This Row],[不调整offset]]="x",IFERROR(VLOOKUP(表1[[#This Row],[8:image]],常量!J:N,4,FALSE),0),0)</f>
        <v>0</v>
      </c>
      <c r="C1316">
        <f>IF(表1[[#This Row],[不调整offset]]="x",IFERROR(VLOOKUP(表1[[#This Row],[8:image]],常量!J:N,5,FALSE),0),0)</f>
        <v>0</v>
      </c>
      <c r="E1316">
        <v>1</v>
      </c>
      <c r="F1316">
        <v>12</v>
      </c>
      <c r="G1316" s="1" t="s">
        <v>1043</v>
      </c>
      <c r="H1316" s="17" t="s">
        <v>3966</v>
      </c>
      <c r="I1316" s="19"/>
      <c r="J1316" t="str">
        <f>IF(LEN(VLOOKUP(表1[[#This Row],[id]],数据引用!A:C,3,FALSE))&gt;0,VLOOKUP(表1[[#This Row],[id]],数据引用!A:C,3,FALSE),"")</f>
        <v>象</v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316" s="5"/>
    </row>
    <row r="1317" spans="1:16" ht="14.25" customHeight="1">
      <c r="A1317">
        <v>6017</v>
      </c>
      <c r="B1317">
        <f>IF(表1[[#This Row],[不调整offset]]="x",IFERROR(VLOOKUP(表1[[#This Row],[8:image]],常量!J:N,4,FALSE),0),0)</f>
        <v>0</v>
      </c>
      <c r="C1317">
        <f>IF(表1[[#This Row],[不调整offset]]="x",IFERROR(VLOOKUP(表1[[#This Row],[8:image]],常量!J:N,5,FALSE),0),0)</f>
        <v>0</v>
      </c>
      <c r="E1317">
        <v>1</v>
      </c>
      <c r="F1317">
        <v>12</v>
      </c>
      <c r="G1317" s="1" t="s">
        <v>1044</v>
      </c>
      <c r="H1317" s="17" t="s">
        <v>3967</v>
      </c>
      <c r="I1317" s="19"/>
      <c r="J1317" t="str">
        <f>IF(LEN(VLOOKUP(表1[[#This Row],[id]],数据引用!A:C,3,FALSE))&gt;0,VLOOKUP(表1[[#This Row],[id]],数据引用!A:C,3,FALSE),"")</f>
        <v>象(红方)</v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317" s="5"/>
    </row>
    <row r="1318" spans="1:16" ht="14.25" customHeight="1">
      <c r="A1318">
        <v>6018</v>
      </c>
      <c r="B1318">
        <f>IF(表1[[#This Row],[不调整offset]]="x",IFERROR(VLOOKUP(表1[[#This Row],[8:image]],常量!J:N,4,FALSE),0),0)</f>
        <v>0</v>
      </c>
      <c r="C1318">
        <f>IF(表1[[#This Row],[不调整offset]]="x",IFERROR(VLOOKUP(表1[[#This Row],[8:image]],常量!J:N,5,FALSE),0),0)</f>
        <v>0</v>
      </c>
      <c r="E1318">
        <v>1</v>
      </c>
      <c r="F1318">
        <v>12</v>
      </c>
      <c r="G1318" s="1" t="s">
        <v>1045</v>
      </c>
      <c r="H1318" s="17" t="s">
        <v>3968</v>
      </c>
      <c r="I1318" s="19"/>
      <c r="J1318" t="str">
        <f>IF(LEN(VLOOKUP(表1[[#This Row],[id]],数据引用!A:C,3,FALSE))&gt;0,VLOOKUP(表1[[#This Row],[id]],数据引用!A:C,3,FALSE),"")</f>
        <v>见习剑士</v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8" s="5"/>
    </row>
    <row r="1319" spans="1:16" ht="14.25" customHeight="1">
      <c r="A1319">
        <v>6019</v>
      </c>
      <c r="B1319">
        <f>IF(表1[[#This Row],[不调整offset]]="x",IFERROR(VLOOKUP(表1[[#This Row],[8:image]],常量!J:N,4,FALSE),0),0)</f>
        <v>0</v>
      </c>
      <c r="C1319">
        <f>IF(表1[[#This Row],[不调整offset]]="x",IFERROR(VLOOKUP(表1[[#This Row],[8:image]],常量!J:N,5,FALSE),0),0)</f>
        <v>0</v>
      </c>
      <c r="E1319">
        <v>1</v>
      </c>
      <c r="F1319">
        <v>12</v>
      </c>
      <c r="G1319" s="1" t="s">
        <v>992</v>
      </c>
      <c r="H1319" s="17" t="s">
        <v>3969</v>
      </c>
      <c r="I1319" s="19"/>
      <c r="J1319" t="str">
        <f>IF(LEN(VLOOKUP(表1[[#This Row],[id]],数据引用!A:C,3,FALSE))&gt;0,VLOOKUP(表1[[#This Row],[id]],数据引用!A:C,3,FALSE),"")</f>
        <v>见习剑士</v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9" s="5"/>
    </row>
    <row r="1320" spans="1:16" ht="14.25" customHeight="1">
      <c r="A1320">
        <v>6020</v>
      </c>
      <c r="B1320">
        <f>IF(表1[[#This Row],[不调整offset]]="x",IFERROR(VLOOKUP(表1[[#This Row],[8:image]],常量!J:N,4,FALSE),0),0)</f>
        <v>0</v>
      </c>
      <c r="C1320">
        <f>IF(表1[[#This Row],[不调整offset]]="x",IFERROR(VLOOKUP(表1[[#This Row],[8:image]],常量!J:N,5,FALSE),0),0)</f>
        <v>0</v>
      </c>
      <c r="E1320">
        <v>1</v>
      </c>
      <c r="F1320">
        <v>12</v>
      </c>
      <c r="G1320" s="1" t="s">
        <v>1046</v>
      </c>
      <c r="H1320" s="17" t="s">
        <v>3970</v>
      </c>
      <c r="I1320" s="19"/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customHeight="1">
      <c r="A1321">
        <v>6021</v>
      </c>
      <c r="B1321">
        <f>IF(表1[[#This Row],[不调整offset]]="x",IFERROR(VLOOKUP(表1[[#This Row],[8:image]],常量!J:N,4,FALSE),0),0)</f>
        <v>0</v>
      </c>
      <c r="C1321">
        <f>IF(表1[[#This Row],[不调整offset]]="x",IFERROR(VLOOKUP(表1[[#This Row],[8:image]],常量!J:N,5,FALSE),0),0)</f>
        <v>0</v>
      </c>
      <c r="E1321">
        <v>1</v>
      </c>
      <c r="F1321">
        <v>12</v>
      </c>
      <c r="G1321" s="1" t="s">
        <v>692</v>
      </c>
      <c r="H1321" s="17" t="s">
        <v>3971</v>
      </c>
      <c r="I1321" s="19"/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customHeight="1">
      <c r="A1322">
        <v>6022</v>
      </c>
      <c r="B1322">
        <f>IF(表1[[#This Row],[不调整offset]]="x",IFERROR(VLOOKUP(表1[[#This Row],[8:image]],常量!J:N,4,FALSE),0),0)</f>
        <v>0</v>
      </c>
      <c r="C1322">
        <f>IF(表1[[#This Row],[不调整offset]]="x",IFERROR(VLOOKUP(表1[[#This Row],[8:image]],常量!J:N,5,FALSE),0),0)</f>
        <v>0</v>
      </c>
      <c r="E1322">
        <v>1</v>
      </c>
      <c r="F1322">
        <v>12</v>
      </c>
      <c r="G1322" s="1" t="s">
        <v>1047</v>
      </c>
      <c r="H1322" s="17" t="s">
        <v>3972</v>
      </c>
      <c r="I1322" s="19"/>
      <c r="J1322" t="str">
        <f>IF(LEN(VLOOKUP(表1[[#This Row],[id]],数据引用!A:C,3,FALSE))&gt;0,VLOOKUP(表1[[#This Row],[id]],数据引用!A:C,3,FALSE),"")</f>
        <v>桶</v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322" s="5"/>
    </row>
    <row r="1323" spans="1:16" ht="14.25" customHeight="1">
      <c r="A1323">
        <v>6023</v>
      </c>
      <c r="B1323">
        <f>IF(表1[[#This Row],[不调整offset]]="x",IFERROR(VLOOKUP(表1[[#This Row],[8:image]],常量!J:N,4,FALSE),0),0)</f>
        <v>0</v>
      </c>
      <c r="C1323">
        <f>IF(表1[[#This Row],[不调整offset]]="x",IFERROR(VLOOKUP(表1[[#This Row],[8:image]],常量!J:N,5,FALSE),0),0)</f>
        <v>0</v>
      </c>
      <c r="E1323">
        <v>1</v>
      </c>
      <c r="F1323">
        <v>12</v>
      </c>
      <c r="G1323" s="1" t="s">
        <v>693</v>
      </c>
      <c r="H1323" s="17" t="s">
        <v>3973</v>
      </c>
      <c r="I1323" s="19"/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customHeight="1">
      <c r="A1324">
        <v>6024</v>
      </c>
      <c r="B1324">
        <f>IF(表1[[#This Row],[不调整offset]]="x",IFERROR(VLOOKUP(表1[[#This Row],[8:image]],常量!J:N,4,FALSE),0),0)</f>
        <v>0</v>
      </c>
      <c r="C1324">
        <f>IF(表1[[#This Row],[不调整offset]]="x",IFERROR(VLOOKUP(表1[[#This Row],[8:image]],常量!J:N,5,FALSE),0),0)</f>
        <v>0</v>
      </c>
      <c r="E1324">
        <v>1</v>
      </c>
      <c r="F1324">
        <v>12</v>
      </c>
      <c r="G1324" s="1" t="s">
        <v>690</v>
      </c>
      <c r="H1324" s="17" t="s">
        <v>3974</v>
      </c>
      <c r="I1324" s="19"/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customHeight="1">
      <c r="A1325">
        <v>6025</v>
      </c>
      <c r="B1325">
        <f>IF(表1[[#This Row],[不调整offset]]="x",IFERROR(VLOOKUP(表1[[#This Row],[8:image]],常量!J:N,4,FALSE),0),0)</f>
        <v>0</v>
      </c>
      <c r="C1325">
        <f>IF(表1[[#This Row],[不调整offset]]="x",IFERROR(VLOOKUP(表1[[#This Row],[8:image]],常量!J:N,5,FALSE),0),0)</f>
        <v>0</v>
      </c>
      <c r="E1325">
        <v>1</v>
      </c>
      <c r="F1325">
        <v>12</v>
      </c>
      <c r="G1325" s="1" t="s">
        <v>1004</v>
      </c>
      <c r="H1325" s="17" t="s">
        <v>3975</v>
      </c>
      <c r="I1325" s="19"/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customHeight="1">
      <c r="A1326">
        <v>6026</v>
      </c>
      <c r="B1326">
        <f>IF(表1[[#This Row],[不调整offset]]="x",IFERROR(VLOOKUP(表1[[#This Row],[8:image]],常量!J:N,4,FALSE),0),0)</f>
        <v>0</v>
      </c>
      <c r="C1326">
        <f>IF(表1[[#This Row],[不调整offset]]="x",IFERROR(VLOOKUP(表1[[#This Row],[8:image]],常量!J:N,5,FALSE),0),0)</f>
        <v>0</v>
      </c>
      <c r="E1326">
        <v>1</v>
      </c>
      <c r="F1326">
        <v>12</v>
      </c>
      <c r="G1326" s="1" t="s">
        <v>1005</v>
      </c>
      <c r="H1326" s="17" t="s">
        <v>3976</v>
      </c>
      <c r="I1326" s="19"/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customHeight="1">
      <c r="A1327">
        <v>6027</v>
      </c>
      <c r="B1327">
        <f>IF(表1[[#This Row],[不调整offset]]="x",IFERROR(VLOOKUP(表1[[#This Row],[8:image]],常量!J:N,4,FALSE),0),0)</f>
        <v>0</v>
      </c>
      <c r="C1327">
        <f>IF(表1[[#This Row],[不调整offset]]="x",IFERROR(VLOOKUP(表1[[#This Row],[8:image]],常量!J:N,5,FALSE),0),0)</f>
        <v>0</v>
      </c>
      <c r="E1327">
        <v>1</v>
      </c>
      <c r="F1327">
        <v>12</v>
      </c>
      <c r="G1327" s="1" t="s">
        <v>1006</v>
      </c>
      <c r="H1327" s="17" t="s">
        <v>3977</v>
      </c>
      <c r="I1327" s="19"/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customHeight="1">
      <c r="A1328">
        <v>6028</v>
      </c>
      <c r="B1328">
        <f>IF(表1[[#This Row],[不调整offset]]="x",IFERROR(VLOOKUP(表1[[#This Row],[8:image]],常量!J:N,4,FALSE),0),0)</f>
        <v>0</v>
      </c>
      <c r="C1328">
        <f>IF(表1[[#This Row],[不调整offset]]="x",IFERROR(VLOOKUP(表1[[#This Row],[8:image]],常量!J:N,5,FALSE),0),0)</f>
        <v>0</v>
      </c>
      <c r="E1328">
        <v>1</v>
      </c>
      <c r="F1328">
        <v>12</v>
      </c>
      <c r="G1328" s="1" t="s">
        <v>968</v>
      </c>
      <c r="H1328" s="17" t="s">
        <v>3978</v>
      </c>
      <c r="I1328" s="19"/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customHeight="1">
      <c r="A1329">
        <v>6029</v>
      </c>
      <c r="B1329">
        <f>IF(表1[[#This Row],[不调整offset]]="x",IFERROR(VLOOKUP(表1[[#This Row],[8:image]],常量!J:N,4,FALSE),0),0)</f>
        <v>0</v>
      </c>
      <c r="C1329">
        <f>IF(表1[[#This Row],[不调整offset]]="x",IFERROR(VLOOKUP(表1[[#This Row],[8:image]],常量!J:N,5,FALSE),0),0)</f>
        <v>0</v>
      </c>
      <c r="E1329">
        <v>1</v>
      </c>
      <c r="F1329">
        <v>12</v>
      </c>
      <c r="G1329" s="1" t="s">
        <v>972</v>
      </c>
      <c r="H1329" s="17" t="s">
        <v>3979</v>
      </c>
      <c r="I1329" s="19"/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customHeight="1">
      <c r="A1330">
        <v>6030</v>
      </c>
      <c r="B1330">
        <f>IF(表1[[#This Row],[不调整offset]]="x",IFERROR(VLOOKUP(表1[[#This Row],[8:image]],常量!J:N,4,FALSE),0),0)</f>
        <v>0</v>
      </c>
      <c r="C1330">
        <f>IF(表1[[#This Row],[不调整offset]]="x",IFERROR(VLOOKUP(表1[[#This Row],[8:image]],常量!J:N,5,FALSE),0),0)</f>
        <v>0</v>
      </c>
      <c r="E1330">
        <v>1</v>
      </c>
      <c r="F1330">
        <v>12</v>
      </c>
      <c r="G1330" s="1" t="s">
        <v>1048</v>
      </c>
      <c r="H1330" s="17" t="s">
        <v>3980</v>
      </c>
      <c r="I1330" s="19"/>
      <c r="J1330" t="str">
        <f>IF(LEN(VLOOKUP(表1[[#This Row],[id]],数据引用!A:C,3,FALSE))&gt;0,VLOOKUP(表1[[#This Row],[id]],数据引用!A:C,3,FALSE),"")</f>
        <v>石像鬼</v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330" s="5"/>
    </row>
    <row r="1331" spans="1:16" ht="14.25" customHeight="1">
      <c r="A1331">
        <v>6031</v>
      </c>
      <c r="B1331">
        <f>IF(表1[[#This Row],[不调整offset]]="x",IFERROR(VLOOKUP(表1[[#This Row],[8:image]],常量!J:N,4,FALSE),0),0)</f>
        <v>0</v>
      </c>
      <c r="C1331">
        <f>IF(表1[[#This Row],[不调整offset]]="x",IFERROR(VLOOKUP(表1[[#This Row],[8:image]],常量!J:N,5,FALSE),0),0)</f>
        <v>0</v>
      </c>
      <c r="E1331">
        <v>1</v>
      </c>
      <c r="F1331">
        <v>12</v>
      </c>
      <c r="G1331" s="1" t="s">
        <v>981</v>
      </c>
      <c r="H1331" s="17" t="s">
        <v>3981</v>
      </c>
      <c r="I1331" s="19"/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customHeight="1">
      <c r="A1332">
        <v>6032</v>
      </c>
      <c r="B1332">
        <f>IF(表1[[#This Row],[不调整offset]]="x",IFERROR(VLOOKUP(表1[[#This Row],[8:image]],常量!J:N,4,FALSE),0),0)</f>
        <v>0</v>
      </c>
      <c r="C1332">
        <f>IF(表1[[#This Row],[不调整offset]]="x",IFERROR(VLOOKUP(表1[[#This Row],[8:image]],常量!J:N,5,FALSE),0),0)</f>
        <v>0</v>
      </c>
      <c r="E1332">
        <v>1</v>
      </c>
      <c r="F1332">
        <v>12</v>
      </c>
      <c r="G1332" s="1" t="s">
        <v>949</v>
      </c>
      <c r="H1332" s="17" t="s">
        <v>3982</v>
      </c>
      <c r="I1332" s="19"/>
      <c r="J1332" t="str">
        <f>IF(LEN(VLOOKUP(表1[[#This Row],[id]],数据引用!A:C,3,FALSE))&gt;0,VLOOKUP(表1[[#This Row],[id]],数据引用!A:C,3,FALSE),"")</f>
        <v>鬼魂</v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332" s="5"/>
    </row>
    <row r="1333" spans="1:16" ht="14.25" customHeight="1">
      <c r="A1333">
        <v>6033</v>
      </c>
      <c r="B1333">
        <f>IF(表1[[#This Row],[不调整offset]]="x",IFERROR(VLOOKUP(表1[[#This Row],[8:image]],常量!J:N,4,FALSE),0),0)</f>
        <v>0</v>
      </c>
      <c r="C1333">
        <f>IF(表1[[#This Row],[不调整offset]]="x",IFERROR(VLOOKUP(表1[[#This Row],[8:image]],常量!J:N,5,FALSE),0),0)</f>
        <v>0</v>
      </c>
      <c r="E1333">
        <v>1</v>
      </c>
      <c r="F1333">
        <v>12</v>
      </c>
      <c r="G1333" s="1" t="s">
        <v>1000</v>
      </c>
      <c r="H1333" s="17" t="s">
        <v>3983</v>
      </c>
      <c r="I1333" s="19"/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customHeight="1">
      <c r="A1334">
        <v>6034</v>
      </c>
      <c r="B1334">
        <f>IF(表1[[#This Row],[不调整offset]]="x",IFERROR(VLOOKUP(表1[[#This Row],[8:image]],常量!J:N,4,FALSE),0),0)</f>
        <v>0</v>
      </c>
      <c r="C1334">
        <f>IF(表1[[#This Row],[不调整offset]]="x",IFERROR(VLOOKUP(表1[[#This Row],[8:image]],常量!J:N,5,FALSE),0),0)</f>
        <v>0</v>
      </c>
      <c r="E1334">
        <v>1</v>
      </c>
      <c r="F1334">
        <v>12</v>
      </c>
      <c r="G1334" s="1" t="s">
        <v>1049</v>
      </c>
      <c r="H1334" s="17" t="s">
        <v>3984</v>
      </c>
      <c r="I1334" s="19"/>
      <c r="J1334" t="str">
        <f>IF(LEN(VLOOKUP(表1[[#This Row],[id]],数据引用!A:C,3,FALSE))&gt;0,VLOOKUP(表1[[#This Row],[id]],数据引用!A:C,3,FALSE),"")</f>
        <v>紫色哥布林</v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334" s="5"/>
    </row>
    <row r="1335" spans="1:16" ht="14.25" customHeight="1">
      <c r="A1335">
        <v>6035</v>
      </c>
      <c r="B1335">
        <f>IF(表1[[#This Row],[不调整offset]]="x",IFERROR(VLOOKUP(表1[[#This Row],[8:image]],常量!J:N,4,FALSE),0),0)</f>
        <v>0</v>
      </c>
      <c r="C1335">
        <f>IF(表1[[#This Row],[不调整offset]]="x",IFERROR(VLOOKUP(表1[[#This Row],[8:image]],常量!J:N,5,FALSE),0),0)</f>
        <v>0</v>
      </c>
      <c r="E1335">
        <v>1</v>
      </c>
      <c r="F1335">
        <v>12</v>
      </c>
      <c r="G1335" s="1" t="s">
        <v>1050</v>
      </c>
      <c r="H1335" s="17" t="s">
        <v>3985</v>
      </c>
      <c r="I1335" s="19"/>
      <c r="J1335" t="str">
        <f>IF(LEN(VLOOKUP(表1[[#This Row],[id]],数据引用!A:C,3,FALSE))&gt;0,VLOOKUP(表1[[#This Row],[id]],数据引用!A:C,3,FALSE),"")</f>
        <v>灰色哥布林</v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335" s="5"/>
    </row>
    <row r="1336" spans="1:16" ht="14.25" customHeight="1">
      <c r="A1336">
        <v>6036</v>
      </c>
      <c r="B1336">
        <f>IF(表1[[#This Row],[不调整offset]]="x",IFERROR(VLOOKUP(表1[[#This Row],[8:image]],常量!J:N,4,FALSE),0),0)</f>
        <v>0</v>
      </c>
      <c r="C1336">
        <f>IF(表1[[#This Row],[不调整offset]]="x",IFERROR(VLOOKUP(表1[[#This Row],[8:image]],常量!J:N,5,FALSE),0),0)</f>
        <v>0</v>
      </c>
      <c r="E1336">
        <v>1</v>
      </c>
      <c r="F1336">
        <v>12</v>
      </c>
      <c r="G1336" s="1" t="s">
        <v>1051</v>
      </c>
      <c r="H1336" s="17" t="s">
        <v>3986</v>
      </c>
      <c r="I1336" s="19"/>
      <c r="J1336" t="str">
        <f>IF(LEN(VLOOKUP(表1[[#This Row],[id]],数据引用!A:C,3,FALSE))&gt;0,VLOOKUP(表1[[#This Row],[id]],数据引用!A:C,3,FALSE),"")</f>
        <v>投弹手</v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P1336" s="5"/>
    </row>
    <row r="1337" spans="1:16" ht="14.25" customHeight="1">
      <c r="A1337">
        <v>6037</v>
      </c>
      <c r="B1337">
        <f>IF(表1[[#This Row],[不调整offset]]="x",IFERROR(VLOOKUP(表1[[#This Row],[8:image]],常量!J:N,4,FALSE),0),0)</f>
        <v>0</v>
      </c>
      <c r="C1337">
        <f>IF(表1[[#This Row],[不调整offset]]="x",IFERROR(VLOOKUP(表1[[#This Row],[8:image]],常量!J:N,5,FALSE),0),0)</f>
        <v>0</v>
      </c>
      <c r="E1337">
        <v>1</v>
      </c>
      <c r="F1337">
        <v>12</v>
      </c>
      <c r="G1337" s="1" t="s">
        <v>1052</v>
      </c>
      <c r="H1337" s="17" t="s">
        <v>3987</v>
      </c>
      <c r="I1337" s="19"/>
      <c r="J1337" t="str">
        <f>IF(LEN(VLOOKUP(表1[[#This Row],[id]],数据引用!A:C,3,FALSE))&gt;0,VLOOKUP(表1[[#This Row],[id]],数据引用!A:C,3,FALSE),"")</f>
        <v>浅色石巨人</v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337" s="5"/>
    </row>
    <row r="1338" spans="1:16" ht="14.25" customHeight="1">
      <c r="A1338">
        <v>6038</v>
      </c>
      <c r="B1338">
        <f>IF(表1[[#This Row],[不调整offset]]="x",IFERROR(VLOOKUP(表1[[#This Row],[8:image]],常量!J:N,4,FALSE),0),0)</f>
        <v>0</v>
      </c>
      <c r="C1338">
        <f>IF(表1[[#This Row],[不调整offset]]="x",IFERROR(VLOOKUP(表1[[#This Row],[8:image]],常量!J:N,5,FALSE),0),0)</f>
        <v>0</v>
      </c>
      <c r="E1338">
        <v>1</v>
      </c>
      <c r="F1338">
        <v>12</v>
      </c>
      <c r="G1338" s="1" t="s">
        <v>962</v>
      </c>
      <c r="H1338" s="17" t="s">
        <v>3988</v>
      </c>
      <c r="I1338" s="19"/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customHeight="1">
      <c r="A1339">
        <v>6039</v>
      </c>
      <c r="B1339">
        <f>IF(表1[[#This Row],[不调整offset]]="x",IFERROR(VLOOKUP(表1[[#This Row],[8:image]],常量!J:N,4,FALSE),0),0)</f>
        <v>0</v>
      </c>
      <c r="C1339">
        <f>IF(表1[[#This Row],[不调整offset]]="x",IFERROR(VLOOKUP(表1[[#This Row],[8:image]],常量!J:N,5,FALSE),0),0)</f>
        <v>0</v>
      </c>
      <c r="E1339">
        <v>1</v>
      </c>
      <c r="F1339">
        <v>12</v>
      </c>
      <c r="G1339" s="1" t="s">
        <v>997</v>
      </c>
      <c r="H1339" s="17" t="s">
        <v>3989</v>
      </c>
      <c r="I1339" s="19"/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customHeight="1">
      <c r="A1340">
        <v>6040</v>
      </c>
      <c r="B1340">
        <f>IF(表1[[#This Row],[不调整offset]]="x",IFERROR(VLOOKUP(表1[[#This Row],[8:image]],常量!J:N,4,FALSE),0),0)</f>
        <v>0</v>
      </c>
      <c r="C1340">
        <f>IF(表1[[#This Row],[不调整offset]]="x",IFERROR(VLOOKUP(表1[[#This Row],[8:image]],常量!J:N,5,FALSE),0),0)</f>
        <v>0</v>
      </c>
      <c r="E1340">
        <v>1</v>
      </c>
      <c r="F1340">
        <v>12</v>
      </c>
      <c r="G1340" s="1" t="s">
        <v>993</v>
      </c>
      <c r="H1340" s="17" t="s">
        <v>3990</v>
      </c>
      <c r="I1340" s="19"/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customHeight="1">
      <c r="A1341">
        <v>6041</v>
      </c>
      <c r="B1341">
        <f>IF(表1[[#This Row],[不调整offset]]="x",IFERROR(VLOOKUP(表1[[#This Row],[8:image]],常量!J:N,4,FALSE),0),0)</f>
        <v>0</v>
      </c>
      <c r="C1341">
        <f>IF(表1[[#This Row],[不调整offset]]="x",IFERROR(VLOOKUP(表1[[#This Row],[8:image]],常量!J:N,5,FALSE),0),0)</f>
        <v>0</v>
      </c>
      <c r="E1341">
        <v>1</v>
      </c>
      <c r="F1341">
        <v>12</v>
      </c>
      <c r="G1341" s="1" t="s">
        <v>979</v>
      </c>
      <c r="H1341" s="17" t="s">
        <v>3991</v>
      </c>
      <c r="I1341" s="19"/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customHeight="1">
      <c r="A1342">
        <v>6042</v>
      </c>
      <c r="B1342">
        <f>IF(表1[[#This Row],[不调整offset]]="x",IFERROR(VLOOKUP(表1[[#This Row],[8:image]],常量!J:N,4,FALSE),0),0)</f>
        <v>0</v>
      </c>
      <c r="C1342">
        <f>IF(表1[[#This Row],[不调整offset]]="x",IFERROR(VLOOKUP(表1[[#This Row],[8:image]],常量!J:N,5,FALSE),0),0)</f>
        <v>0</v>
      </c>
      <c r="E1342">
        <v>1</v>
      </c>
      <c r="F1342">
        <v>12</v>
      </c>
      <c r="G1342" s="1" t="s">
        <v>973</v>
      </c>
      <c r="H1342" s="17" t="s">
        <v>3992</v>
      </c>
      <c r="I1342" s="19"/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customHeight="1">
      <c r="A1343">
        <v>6043</v>
      </c>
      <c r="B1343">
        <f>IF(表1[[#This Row],[不调整offset]]="x",IFERROR(VLOOKUP(表1[[#This Row],[8:image]],常量!J:N,4,FALSE),0),0)</f>
        <v>0</v>
      </c>
      <c r="C1343">
        <f>IF(表1[[#This Row],[不调整offset]]="x",IFERROR(VLOOKUP(表1[[#This Row],[8:image]],常量!J:N,5,FALSE),0),0)</f>
        <v>0</v>
      </c>
      <c r="E1343">
        <v>1</v>
      </c>
      <c r="F1343">
        <v>12</v>
      </c>
      <c r="G1343" s="1" t="s">
        <v>1053</v>
      </c>
      <c r="H1343" s="17" t="s">
        <v>3993</v>
      </c>
      <c r="I1343" s="19"/>
      <c r="J1343" t="str">
        <f>IF(LEN(VLOOKUP(表1[[#This Row],[id]],数据引用!A:C,3,FALSE))&gt;0,VLOOKUP(表1[[#This Row],[id]],数据引用!A:C,3,FALSE),"")</f>
        <v>国王</v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343" s="5"/>
    </row>
    <row r="1344" spans="1:16" ht="14.25" customHeight="1">
      <c r="A1344">
        <v>6044</v>
      </c>
      <c r="B1344">
        <f>IF(表1[[#This Row],[不调整offset]]="x",IFERROR(VLOOKUP(表1[[#This Row],[8:image]],常量!J:N,4,FALSE),0),0)</f>
        <v>0</v>
      </c>
      <c r="C1344">
        <f>IF(表1[[#This Row],[不调整offset]]="x",IFERROR(VLOOKUP(表1[[#This Row],[8:image]],常量!J:N,5,FALSE),0),0)</f>
        <v>0</v>
      </c>
      <c r="E1344">
        <v>1</v>
      </c>
      <c r="F1344">
        <v>12</v>
      </c>
      <c r="G1344" s="1" t="s">
        <v>1054</v>
      </c>
      <c r="H1344" s="17" t="s">
        <v>3994</v>
      </c>
      <c r="I1344" s="19"/>
      <c r="J1344" t="str">
        <f>IF(LEN(VLOOKUP(表1[[#This Row],[id]],数据引用!A:C,3,FALSE))&gt;0,VLOOKUP(表1[[#This Row],[id]],数据引用!A:C,3,FALSE),"")</f>
        <v>国王(红方)</v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344" s="5"/>
    </row>
    <row r="1345" spans="1:16" ht="14.25" customHeight="1">
      <c r="A1345">
        <v>6045</v>
      </c>
      <c r="B1345">
        <f>IF(表1[[#This Row],[不调整offset]]="x",IFERROR(VLOOKUP(表1[[#This Row],[8:image]],常量!J:N,4,FALSE),0),0)</f>
        <v>0</v>
      </c>
      <c r="C1345">
        <f>IF(表1[[#This Row],[不调整offset]]="x",IFERROR(VLOOKUP(表1[[#This Row],[8:image]],常量!J:N,5,FALSE),0),0)</f>
        <v>0</v>
      </c>
      <c r="E1345">
        <v>1</v>
      </c>
      <c r="F1345">
        <v>12</v>
      </c>
      <c r="G1345" s="1" t="s">
        <v>689</v>
      </c>
      <c r="H1345" s="17" t="s">
        <v>3995</v>
      </c>
      <c r="I1345" s="19"/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customHeight="1">
      <c r="A1346">
        <v>6046</v>
      </c>
      <c r="B1346">
        <f>IF(表1[[#This Row],[不调整offset]]="x",IFERROR(VLOOKUP(表1[[#This Row],[8:image]],常量!J:N,4,FALSE),0),0)</f>
        <v>0</v>
      </c>
      <c r="C1346">
        <f>IF(表1[[#This Row],[不调整offset]]="x",IFERROR(VLOOKUP(表1[[#This Row],[8:image]],常量!J:N,5,FALSE),0),0)</f>
        <v>0</v>
      </c>
      <c r="E1346">
        <v>1</v>
      </c>
      <c r="F1346">
        <v>12</v>
      </c>
      <c r="G1346" s="1" t="s">
        <v>1055</v>
      </c>
      <c r="H1346" s="17" t="s">
        <v>3996</v>
      </c>
      <c r="I1346" s="19"/>
      <c r="J1346" t="str">
        <f>IF(LEN(VLOOKUP(表1[[#This Row],[id]],数据引用!A:C,3,FALSE))&gt;0,VLOOKUP(表1[[#This Row],[id]],数据引用!A:C,3,FALSE),"")</f>
        <v>马</v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346" s="5"/>
    </row>
    <row r="1347" spans="1:16" ht="14.25" customHeight="1">
      <c r="A1347">
        <v>6047</v>
      </c>
      <c r="B1347">
        <f>IF(表1[[#This Row],[不调整offset]]="x",IFERROR(VLOOKUP(表1[[#This Row],[8:image]],常量!J:N,4,FALSE),0),0)</f>
        <v>0</v>
      </c>
      <c r="C1347">
        <f>IF(表1[[#This Row],[不调整offset]]="x",IFERROR(VLOOKUP(表1[[#This Row],[8:image]],常量!J:N,5,FALSE),0),0)</f>
        <v>0</v>
      </c>
      <c r="E1347">
        <v>1</v>
      </c>
      <c r="F1347">
        <v>12</v>
      </c>
      <c r="G1347" s="1" t="s">
        <v>1056</v>
      </c>
      <c r="H1347" s="17" t="s">
        <v>3997</v>
      </c>
      <c r="I1347" s="19"/>
      <c r="J1347" t="str">
        <f>IF(LEN(VLOOKUP(表1[[#This Row],[id]],数据引用!A:C,3,FALSE))&gt;0,VLOOKUP(表1[[#This Row],[id]],数据引用!A:C,3,FALSE),"")</f>
        <v>马(红方)</v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347" s="5"/>
    </row>
    <row r="1348" spans="1:16" ht="14.25" customHeight="1">
      <c r="A1348">
        <v>6048</v>
      </c>
      <c r="B1348">
        <f>IF(表1[[#This Row],[不调整offset]]="x",IFERROR(VLOOKUP(表1[[#This Row],[8:image]],常量!J:N,4,FALSE),0),0)</f>
        <v>0</v>
      </c>
      <c r="C1348">
        <f>IF(表1[[#This Row],[不调整offset]]="x",IFERROR(VLOOKUP(表1[[#This Row],[8:image]],常量!J:N,5,FALSE),0),0)</f>
        <v>0</v>
      </c>
      <c r="E1348">
        <v>1</v>
      </c>
      <c r="F1348">
        <v>12</v>
      </c>
      <c r="G1348" s="1" t="s">
        <v>1057</v>
      </c>
      <c r="H1348" s="17" t="s">
        <v>3998</v>
      </c>
      <c r="I1348" s="19"/>
      <c r="J1348" t="str">
        <f>IF(LEN(VLOOKUP(表1[[#This Row],[id]],数据引用!A:C,3,FALSE))&gt;0,VLOOKUP(表1[[#This Row],[id]],数据引用!A:C,3,FALSE),"")</f>
        <v>妖精</v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348" s="5"/>
    </row>
    <row r="1349" spans="1:16" ht="14.25" customHeight="1">
      <c r="A1349">
        <v>6049</v>
      </c>
      <c r="B1349">
        <f>IF(表1[[#This Row],[不调整offset]]="x",IFERROR(VLOOKUP(表1[[#This Row],[8:image]],常量!J:N,4,FALSE),0),0)</f>
        <v>0</v>
      </c>
      <c r="C1349">
        <f>IF(表1[[#This Row],[不调整offset]]="x",IFERROR(VLOOKUP(表1[[#This Row],[8:image]],常量!J:N,5,FALSE),0),0)</f>
        <v>0</v>
      </c>
      <c r="E1349">
        <v>1</v>
      </c>
      <c r="F1349">
        <v>12</v>
      </c>
      <c r="G1349" s="1" t="s">
        <v>984</v>
      </c>
      <c r="H1349" s="17" t="s">
        <v>3999</v>
      </c>
      <c r="I1349" s="19"/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customHeight="1">
      <c r="A1350">
        <v>6050</v>
      </c>
      <c r="B1350">
        <f>IF(表1[[#This Row],[不调整offset]]="x",IFERROR(VLOOKUP(表1[[#This Row],[8:image]],常量!J:N,4,FALSE),0),0)</f>
        <v>0</v>
      </c>
      <c r="C1350">
        <f>IF(表1[[#This Row],[不调整offset]]="x",IFERROR(VLOOKUP(表1[[#This Row],[8:image]],常量!J:N,5,FALSE),0),0)</f>
        <v>0</v>
      </c>
      <c r="E1350">
        <v>1</v>
      </c>
      <c r="F1350">
        <v>12</v>
      </c>
      <c r="G1350" s="1" t="s">
        <v>985</v>
      </c>
      <c r="H1350" s="17" t="s">
        <v>4000</v>
      </c>
      <c r="I1350" s="19"/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customHeight="1">
      <c r="A1351">
        <v>6051</v>
      </c>
      <c r="B1351">
        <f>IF(表1[[#This Row],[不调整offset]]="x",IFERROR(VLOOKUP(表1[[#This Row],[8:image]],常量!J:N,4,FALSE),0),0)</f>
        <v>0</v>
      </c>
      <c r="C1351">
        <f>IF(表1[[#This Row],[不调整offset]]="x",IFERROR(VLOOKUP(表1[[#This Row],[8:image]],常量!J:N,5,FALSE),0),0)</f>
        <v>0</v>
      </c>
      <c r="E1351">
        <v>1</v>
      </c>
      <c r="F1351">
        <v>12</v>
      </c>
      <c r="G1351" s="1" t="s">
        <v>986</v>
      </c>
      <c r="H1351" s="17" t="s">
        <v>4001</v>
      </c>
      <c r="I1351" s="19"/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customHeight="1">
      <c r="A1352">
        <v>6052</v>
      </c>
      <c r="B1352">
        <f>IF(表1[[#This Row],[不调整offset]]="x",IFERROR(VLOOKUP(表1[[#This Row],[8:image]],常量!J:N,4,FALSE),0),0)</f>
        <v>0</v>
      </c>
      <c r="C1352">
        <f>IF(表1[[#This Row],[不调整offset]]="x",IFERROR(VLOOKUP(表1[[#This Row],[8:image]],常量!J:N,5,FALSE),0),0)</f>
        <v>0</v>
      </c>
      <c r="E1352">
        <v>1</v>
      </c>
      <c r="F1352">
        <v>12</v>
      </c>
      <c r="G1352" s="1" t="s">
        <v>694</v>
      </c>
      <c r="H1352" s="17" t="s">
        <v>4002</v>
      </c>
      <c r="I1352" s="19"/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customHeight="1">
      <c r="A1353">
        <v>6053</v>
      </c>
      <c r="B1353">
        <f>IF(表1[[#This Row],[不调整offset]]="x",IFERROR(VLOOKUP(表1[[#This Row],[8:image]],常量!J:N,4,FALSE),0),0)</f>
        <v>0</v>
      </c>
      <c r="C1353">
        <f>IF(表1[[#This Row],[不调整offset]]="x",IFERROR(VLOOKUP(表1[[#This Row],[8:image]],常量!J:N,5,FALSE),0),0)</f>
        <v>0</v>
      </c>
      <c r="E1353">
        <v>1</v>
      </c>
      <c r="F1353">
        <v>12</v>
      </c>
      <c r="G1353" s="1" t="s">
        <v>1058</v>
      </c>
      <c r="H1353" s="17" t="s">
        <v>4003</v>
      </c>
      <c r="I1353" s="19"/>
      <c r="J1353" t="str">
        <f>IF(LEN(VLOOKUP(表1[[#This Row],[id]],数据引用!A:C,3,FALSE))&gt;0,VLOOKUP(表1[[#This Row],[id]],数据引用!A:C,3,FALSE),"")</f>
        <v>浅色牛头怪</v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353" s="5"/>
    </row>
    <row r="1354" spans="1:16" ht="14.25" customHeight="1">
      <c r="A1354">
        <v>6054</v>
      </c>
      <c r="B1354">
        <f>IF(表1[[#This Row],[不调整offset]]="x",IFERROR(VLOOKUP(表1[[#This Row],[8:image]],常量!J:N,4,FALSE),0),0)</f>
        <v>0</v>
      </c>
      <c r="C1354">
        <f>IF(表1[[#This Row],[不调整offset]]="x",IFERROR(VLOOKUP(表1[[#This Row],[8:image]],常量!J:N,5,FALSE),0),0)</f>
        <v>0</v>
      </c>
      <c r="E1354">
        <v>1</v>
      </c>
      <c r="F1354">
        <v>12</v>
      </c>
      <c r="G1354" s="1" t="s">
        <v>1059</v>
      </c>
      <c r="H1354" s="17" t="s">
        <v>4004</v>
      </c>
      <c r="I1354" s="19"/>
      <c r="J1354" t="str">
        <f>IF(LEN(VLOOKUP(表1[[#This Row],[id]],数据引用!A:C,3,FALSE))&gt;0,VLOOKUP(表1[[#This Row],[id]],数据引用!A:C,3,FALSE),"")</f>
        <v>深色牛头怪</v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354" s="5"/>
    </row>
    <row r="1355" spans="1:16" ht="14.25" customHeight="1">
      <c r="A1355">
        <v>6055</v>
      </c>
      <c r="B1355">
        <f>IF(表1[[#This Row],[不调整offset]]="x",IFERROR(VLOOKUP(表1[[#This Row],[8:image]],常量!J:N,4,FALSE),0),0)</f>
        <v>0</v>
      </c>
      <c r="C1355">
        <f>IF(表1[[#This Row],[不调整offset]]="x",IFERROR(VLOOKUP(表1[[#This Row],[8:image]],常量!J:N,5,FALSE),0),0)</f>
        <v>0</v>
      </c>
      <c r="E1355">
        <v>1</v>
      </c>
      <c r="F1355">
        <v>12</v>
      </c>
      <c r="G1355" s="1" t="s">
        <v>966</v>
      </c>
      <c r="H1355" s="17" t="s">
        <v>4005</v>
      </c>
      <c r="I1355" s="19"/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customHeight="1">
      <c r="A1356">
        <v>6056</v>
      </c>
      <c r="B1356">
        <f>IF(表1[[#This Row],[不调整offset]]="x",IFERROR(VLOOKUP(表1[[#This Row],[8:image]],常量!J:N,4,FALSE),0),0)</f>
        <v>0</v>
      </c>
      <c r="C1356">
        <f>IF(表1[[#This Row],[不调整offset]]="x",IFERROR(VLOOKUP(表1[[#This Row],[8:image]],常量!J:N,5,FALSE),0),0)</f>
        <v>0</v>
      </c>
      <c r="E1356">
        <v>1</v>
      </c>
      <c r="F1356">
        <v>12</v>
      </c>
      <c r="G1356" s="1" t="s">
        <v>1060</v>
      </c>
      <c r="H1356" s="17" t="s">
        <v>4006</v>
      </c>
      <c r="I1356" s="19"/>
      <c r="J1356" t="str">
        <f>IF(LEN(VLOOKUP(表1[[#This Row],[id]],数据引用!A:C,3,FALSE))&gt;0,VLOOKUP(表1[[#This Row],[id]],数据引用!A:C,3,FALSE),"")</f>
        <v>紫色猴子</v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356" s="5"/>
    </row>
    <row r="1357" spans="1:16" ht="14.25" customHeight="1">
      <c r="A1357">
        <v>6057</v>
      </c>
      <c r="B1357">
        <f>IF(表1[[#This Row],[不调整offset]]="x",IFERROR(VLOOKUP(表1[[#This Row],[8:image]],常量!J:N,4,FALSE),0),0)</f>
        <v>0</v>
      </c>
      <c r="C1357">
        <f>IF(表1[[#This Row],[不调整offset]]="x",IFERROR(VLOOKUP(表1[[#This Row],[8:image]],常量!J:N,5,FALSE),0),0)</f>
        <v>0</v>
      </c>
      <c r="E1357">
        <v>1</v>
      </c>
      <c r="F1357">
        <v>12</v>
      </c>
      <c r="G1357" s="1" t="s">
        <v>948</v>
      </c>
      <c r="H1357" s="17" t="s">
        <v>4007</v>
      </c>
      <c r="I1357" s="19"/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customHeight="1">
      <c r="A1358">
        <v>6058</v>
      </c>
      <c r="B1358">
        <f>IF(表1[[#This Row],[不调整offset]]="x",IFERROR(VLOOKUP(表1[[#This Row],[8:image]],常量!J:N,4,FALSE),0),0)</f>
        <v>0</v>
      </c>
      <c r="C1358">
        <f>IF(表1[[#This Row],[不调整offset]]="x",IFERROR(VLOOKUP(表1[[#This Row],[8:image]],常量!J:N,5,FALSE),0),0)</f>
        <v>0</v>
      </c>
      <c r="E1358">
        <v>1</v>
      </c>
      <c r="F1358">
        <v>12</v>
      </c>
      <c r="G1358" s="1" t="s">
        <v>1061</v>
      </c>
      <c r="H1358" s="17" t="s">
        <v>4008</v>
      </c>
      <c r="I1358" s="19"/>
      <c r="J1358" t="str">
        <f>IF(LEN(VLOOKUP(表1[[#This Row],[id]],数据引用!A:C,3,FALSE))&gt;0,VLOOKUP(表1[[#This Row],[id]],数据引用!A:C,3,FALSE),"")</f>
        <v>绿色猴子</v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358" s="5"/>
    </row>
    <row r="1359" spans="1:16" ht="14.25" customHeight="1">
      <c r="A1359">
        <v>6059</v>
      </c>
      <c r="B1359">
        <f>IF(表1[[#This Row],[不调整offset]]="x",IFERROR(VLOOKUP(表1[[#This Row],[8:image]],常量!J:N,4,FALSE),0),0)</f>
        <v>0</v>
      </c>
      <c r="C1359">
        <f>IF(表1[[#This Row],[不调整offset]]="x",IFERROR(VLOOKUP(表1[[#This Row],[8:image]],常量!J:N,5,FALSE),0),0)</f>
        <v>0</v>
      </c>
      <c r="E1359">
        <v>1</v>
      </c>
      <c r="F1359">
        <v>12</v>
      </c>
      <c r="G1359" s="1" t="s">
        <v>1062</v>
      </c>
      <c r="H1359" s="17" t="s">
        <v>4009</v>
      </c>
      <c r="I1359" s="19"/>
      <c r="J1359" t="str">
        <f>IF(LEN(VLOOKUP(表1[[#This Row],[id]],数据引用!A:C,3,FALSE))&gt;0,VLOOKUP(表1[[#This Row],[id]],数据引用!A:C,3,FALSE),"")</f>
        <v>魔法猴子</v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359" s="5"/>
    </row>
    <row r="1360" spans="1:16" ht="14.25" customHeight="1">
      <c r="A1360">
        <v>6060</v>
      </c>
      <c r="B1360">
        <f>IF(表1[[#This Row],[不调整offset]]="x",IFERROR(VLOOKUP(表1[[#This Row],[8:image]],常量!J:N,4,FALSE),0),0)</f>
        <v>0</v>
      </c>
      <c r="C1360">
        <f>IF(表1[[#This Row],[不调整offset]]="x",IFERROR(VLOOKUP(表1[[#This Row],[8:image]],常量!J:N,5,FALSE),0),0)</f>
        <v>0</v>
      </c>
      <c r="E1360">
        <v>1</v>
      </c>
      <c r="F1360">
        <v>12</v>
      </c>
      <c r="G1360" s="1" t="s">
        <v>1012</v>
      </c>
      <c r="H1360" s="17" t="s">
        <v>4010</v>
      </c>
      <c r="I1360" s="19"/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customHeight="1">
      <c r="A1361">
        <v>6061</v>
      </c>
      <c r="B1361">
        <f>IF(表1[[#This Row],[不调整offset]]="x",IFERROR(VLOOKUP(表1[[#This Row],[8:image]],常量!J:N,4,FALSE),0),0)</f>
        <v>0</v>
      </c>
      <c r="C1361">
        <f>IF(表1[[#This Row],[不调整offset]]="x",IFERROR(VLOOKUP(表1[[#This Row],[8:image]],常量!J:N,5,FALSE),0),0)</f>
        <v>0</v>
      </c>
      <c r="E1361">
        <v>1</v>
      </c>
      <c r="F1361">
        <v>12</v>
      </c>
      <c r="G1361" s="1" t="s">
        <v>1063</v>
      </c>
      <c r="H1361" s="17" t="s">
        <v>4011</v>
      </c>
      <c r="I1361" s="19"/>
      <c r="J1361" t="str">
        <f>IF(LEN(VLOOKUP(表1[[#This Row],[id]],数据引用!A:C,3,FALSE))&gt;0,VLOOKUP(表1[[#This Row],[id]],数据引用!A:C,3,FALSE),"")</f>
        <v>木乃伊</v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361" s="5"/>
    </row>
    <row r="1362" spans="1:16" ht="14.25" customHeight="1">
      <c r="A1362">
        <v>6062</v>
      </c>
      <c r="B1362">
        <f>IF(表1[[#This Row],[不调整offset]]="x",IFERROR(VLOOKUP(表1[[#This Row],[8:image]],常量!J:N,4,FALSE),0),0)</f>
        <v>0</v>
      </c>
      <c r="C1362">
        <f>IF(表1[[#This Row],[不调整offset]]="x",IFERROR(VLOOKUP(表1[[#This Row],[8:image]],常量!J:N,5,FALSE),0),0)</f>
        <v>0</v>
      </c>
      <c r="E1362">
        <v>1</v>
      </c>
      <c r="F1362">
        <v>12</v>
      </c>
      <c r="G1362" s="1" t="s">
        <v>1064</v>
      </c>
      <c r="H1362" s="17" t="s">
        <v>4012</v>
      </c>
      <c r="I1362" s="19"/>
      <c r="J1362" t="str">
        <f>IF(LEN(VLOOKUP(表1[[#This Row],[id]],数据引用!A:C,3,FALSE))&gt;0,VLOOKUP(表1[[#This Row],[id]],数据引用!A:C,3,FALSE),"")</f>
        <v>蓝色蘑菇怪</v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362" s="5"/>
    </row>
    <row r="1363" spans="1:16" ht="14.25" customHeight="1">
      <c r="A1363">
        <v>6063</v>
      </c>
      <c r="B1363">
        <f>IF(表1[[#This Row],[不调整offset]]="x",IFERROR(VLOOKUP(表1[[#This Row],[8:image]],常量!J:N,4,FALSE),0),0)</f>
        <v>0</v>
      </c>
      <c r="C1363">
        <f>IF(表1[[#This Row],[不调整offset]]="x",IFERROR(VLOOKUP(表1[[#This Row],[8:image]],常量!J:N,5,FALSE),0),0)</f>
        <v>0</v>
      </c>
      <c r="E1363">
        <v>1</v>
      </c>
      <c r="F1363">
        <v>12</v>
      </c>
      <c r="G1363" s="1" t="s">
        <v>1065</v>
      </c>
      <c r="H1363" s="17" t="s">
        <v>4013</v>
      </c>
      <c r="I1363" s="19"/>
      <c r="J1363" t="str">
        <f>IF(LEN(VLOOKUP(表1[[#This Row],[id]],数据引用!A:C,3,FALSE))&gt;0,VLOOKUP(表1[[#This Row],[id]],数据引用!A:C,3,FALSE),"")</f>
        <v>紫色蘑菇怪</v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363" s="5"/>
    </row>
    <row r="1364" spans="1:16" ht="14.25" customHeight="1">
      <c r="A1364">
        <v>6064</v>
      </c>
      <c r="B1364">
        <f>IF(表1[[#This Row],[不调整offset]]="x",IFERROR(VLOOKUP(表1[[#This Row],[8:image]],常量!J:N,4,FALSE),0),0)</f>
        <v>0</v>
      </c>
      <c r="C1364">
        <f>IF(表1[[#This Row],[不调整offset]]="x",IFERROR(VLOOKUP(表1[[#This Row],[8:image]],常量!J:N,5,FALSE),0),0)</f>
        <v>0</v>
      </c>
      <c r="E1364">
        <v>1</v>
      </c>
      <c r="F1364">
        <v>12</v>
      </c>
      <c r="G1364" s="1" t="s">
        <v>1066</v>
      </c>
      <c r="H1364" s="17" t="s">
        <v>4014</v>
      </c>
      <c r="I1364" s="19"/>
      <c r="J1364" t="str">
        <f>IF(LEN(VLOOKUP(表1[[#This Row],[id]],数据引用!A:C,3,FALSE))&gt;0,VLOOKUP(表1[[#This Row],[id]],数据引用!A:C,3,FALSE),"")</f>
        <v>爆炸蘑菇怪</v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364" s="5"/>
    </row>
    <row r="1365" spans="1:16" ht="14.25" customHeight="1">
      <c r="A1365">
        <v>6065</v>
      </c>
      <c r="B1365">
        <f>IF(表1[[#This Row],[不调整offset]]="x",IFERROR(VLOOKUP(表1[[#This Row],[8:image]],常量!J:N,4,FALSE),0),0)</f>
        <v>0</v>
      </c>
      <c r="C1365">
        <f>IF(表1[[#This Row],[不调整offset]]="x",IFERROR(VLOOKUP(表1[[#This Row],[8:image]],常量!J:N,5,FALSE),0),0)</f>
        <v>0</v>
      </c>
      <c r="E1365">
        <v>1</v>
      </c>
      <c r="F1365">
        <v>12</v>
      </c>
      <c r="G1365" s="1" t="s">
        <v>688</v>
      </c>
      <c r="H1365" s="17" t="s">
        <v>4015</v>
      </c>
      <c r="I1365" s="19"/>
      <c r="J1365" t="str">
        <f>IF(LEN(VLOOKUP(表1[[#This Row],[id]],数据引用!A:C,3,FALSE))&gt;0,VLOOKUP(表1[[#This Row],[id]],数据引用!A:C,3,FALSE),"")</f>
        <v>亡灵舞者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365" s="5"/>
    </row>
    <row r="1366" spans="1:16" ht="14.25" customHeight="1">
      <c r="A1366">
        <v>6066</v>
      </c>
      <c r="B1366">
        <f>IF(表1[[#This Row],[不调整offset]]="x",IFERROR(VLOOKUP(表1[[#This Row],[8:image]],常量!J:N,4,FALSE),0),0)</f>
        <v>0</v>
      </c>
      <c r="C1366">
        <f>IF(表1[[#This Row],[不调整offset]]="x",IFERROR(VLOOKUP(表1[[#This Row],[8:image]],常量!J:N,5,FALSE),0),0)</f>
        <v>0</v>
      </c>
      <c r="E1366">
        <v>1</v>
      </c>
      <c r="F1366">
        <v>12</v>
      </c>
      <c r="G1366" s="1" t="s">
        <v>1067</v>
      </c>
      <c r="H1366" s="17" t="s">
        <v>4016</v>
      </c>
      <c r="I1366" s="19"/>
      <c r="J1366" t="str">
        <f>IF(LEN(VLOOKUP(表1[[#This Row],[id]],数据引用!A:C,3,FALSE))&gt;0,VLOOKUP(表1[[#This Row],[id]],数据引用!A:C,3,FALSE),"")</f>
        <v>黑暗梦魇</v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366" s="5"/>
    </row>
    <row r="1367" spans="1:16" ht="14.25" customHeight="1">
      <c r="A1367">
        <v>6067</v>
      </c>
      <c r="B1367">
        <f>IF(表1[[#This Row],[不调整offset]]="x",IFERROR(VLOOKUP(表1[[#This Row],[8:image]],常量!J:N,4,FALSE),0),0)</f>
        <v>0</v>
      </c>
      <c r="C1367">
        <f>IF(表1[[#This Row],[不调整offset]]="x",IFERROR(VLOOKUP(表1[[#This Row],[8:image]],常量!J:N,5,FALSE),0),0)</f>
        <v>0</v>
      </c>
      <c r="E1367">
        <v>1</v>
      </c>
      <c r="F1367">
        <v>12</v>
      </c>
      <c r="G1367" s="1" t="s">
        <v>1011</v>
      </c>
      <c r="H1367" s="17" t="s">
        <v>4017</v>
      </c>
      <c r="I1367" s="19"/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customHeight="1">
      <c r="A1368">
        <v>6068</v>
      </c>
      <c r="B1368">
        <f>IF(表1[[#This Row],[不调整offset]]="x",IFERROR(VLOOKUP(表1[[#This Row],[8:image]],常量!J:N,4,FALSE),0),0)</f>
        <v>0</v>
      </c>
      <c r="C1368">
        <f>IF(表1[[#This Row],[不调整offset]]="x",IFERROR(VLOOKUP(表1[[#This Row],[8:image]],常量!J:N,5,FALSE),0),0)</f>
        <v>0</v>
      </c>
      <c r="E1368">
        <v>1</v>
      </c>
      <c r="F1368">
        <v>12</v>
      </c>
      <c r="G1368" s="1" t="s">
        <v>1013</v>
      </c>
      <c r="H1368" s="17" t="s">
        <v>4018</v>
      </c>
      <c r="I1368" s="19"/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customHeight="1">
      <c r="A1369">
        <v>6069</v>
      </c>
      <c r="B1369">
        <f>IF(表1[[#This Row],[不调整offset]]="x",IFERROR(VLOOKUP(表1[[#This Row],[8:image]],常量!J:N,4,FALSE),0),0)</f>
        <v>0</v>
      </c>
      <c r="C1369">
        <f>IF(表1[[#This Row],[不调整offset]]="x",IFERROR(VLOOKUP(表1[[#This Row],[8:image]],常量!J:N,5,FALSE),0),0)</f>
        <v>0</v>
      </c>
      <c r="E1369">
        <v>1</v>
      </c>
      <c r="F1369">
        <v>12</v>
      </c>
      <c r="G1369" s="1" t="s">
        <v>1068</v>
      </c>
      <c r="H1369" s="17" t="s">
        <v>4019</v>
      </c>
      <c r="I1369" s="19"/>
      <c r="J1369" t="str">
        <f>IF(LEN(VLOOKUP(表1[[#This Row],[id]],数据引用!A:C,3,FALSE))&gt;0,VLOOKUP(表1[[#This Row],[id]],数据引用!A:C,3,FALSE),"")</f>
        <v>卒</v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369" s="5"/>
    </row>
    <row r="1370" spans="1:16" ht="14.25" customHeight="1">
      <c r="A1370">
        <v>6070</v>
      </c>
      <c r="B1370">
        <f>IF(表1[[#This Row],[不调整offset]]="x",IFERROR(VLOOKUP(表1[[#This Row],[8:image]],常量!J:N,4,FALSE),0),0)</f>
        <v>0</v>
      </c>
      <c r="C1370">
        <f>IF(表1[[#This Row],[不调整offset]]="x",IFERROR(VLOOKUP(表1[[#This Row],[8:image]],常量!J:N,5,FALSE),0),0)</f>
        <v>0</v>
      </c>
      <c r="E1370">
        <v>1</v>
      </c>
      <c r="F1370">
        <v>12</v>
      </c>
      <c r="G1370" s="1" t="s">
        <v>1069</v>
      </c>
      <c r="H1370" s="17" t="s">
        <v>4020</v>
      </c>
      <c r="I1370" s="19"/>
      <c r="J1370" t="str">
        <f>IF(LEN(VLOOKUP(表1[[#This Row],[id]],数据引用!A:C,3,FALSE))&gt;0,VLOOKUP(表1[[#This Row],[id]],数据引用!A:C,3,FALSE),"")</f>
        <v>卒(红方)</v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370" s="5"/>
    </row>
    <row r="1371" spans="1:16" ht="14.25" customHeight="1">
      <c r="A1371">
        <v>6071</v>
      </c>
      <c r="B1371">
        <f>IF(表1[[#This Row],[不调整offset]]="x",IFERROR(VLOOKUP(表1[[#This Row],[8:image]],常量!J:N,4,FALSE),0),0)</f>
        <v>0</v>
      </c>
      <c r="C1371">
        <f>IF(表1[[#This Row],[不调整offset]]="x",IFERROR(VLOOKUP(表1[[#This Row],[8:image]],常量!J:N,5,FALSE),0),0)</f>
        <v>0</v>
      </c>
      <c r="E1371">
        <v>1</v>
      </c>
      <c r="F1371">
        <v>12</v>
      </c>
      <c r="G1371" s="1" t="s">
        <v>1001</v>
      </c>
      <c r="H1371" s="17" t="s">
        <v>4021</v>
      </c>
      <c r="I1371" s="19"/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customHeight="1">
      <c r="A1372">
        <v>6072</v>
      </c>
      <c r="B1372">
        <f>IF(表1[[#This Row],[不调整offset]]="x",IFERROR(VLOOKUP(表1[[#This Row],[8:image]],常量!J:N,4,FALSE),0),0)</f>
        <v>0</v>
      </c>
      <c r="C1372">
        <f>IF(表1[[#This Row],[不调整offset]]="x",IFERROR(VLOOKUP(表1[[#This Row],[8:image]],常量!J:N,5,FALSE),0),0)</f>
        <v>0</v>
      </c>
      <c r="E1372">
        <v>1</v>
      </c>
      <c r="F1372">
        <v>12</v>
      </c>
      <c r="G1372" s="1" t="s">
        <v>1070</v>
      </c>
      <c r="H1372" s="17" t="s">
        <v>4022</v>
      </c>
      <c r="I1372" s="19"/>
      <c r="J1372" t="str">
        <f>IF(LEN(VLOOKUP(表1[[#This Row],[id]],数据引用!A:C,3,FALSE))&gt;0,VLOOKUP(表1[[#This Row],[id]],数据引用!A:C,3,FALSE),"")</f>
        <v>王后</v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372" s="5"/>
    </row>
    <row r="1373" spans="1:16" ht="14.25" customHeight="1">
      <c r="A1373">
        <v>6073</v>
      </c>
      <c r="B1373">
        <f>IF(表1[[#This Row],[不调整offset]]="x",IFERROR(VLOOKUP(表1[[#This Row],[8:image]],常量!J:N,4,FALSE),0),0)</f>
        <v>0</v>
      </c>
      <c r="C1373">
        <f>IF(表1[[#This Row],[不调整offset]]="x",IFERROR(VLOOKUP(表1[[#This Row],[8:image]],常量!J:N,5,FALSE),0),0)</f>
        <v>0</v>
      </c>
      <c r="E1373">
        <v>1</v>
      </c>
      <c r="F1373">
        <v>12</v>
      </c>
      <c r="G1373" s="1" t="s">
        <v>1071</v>
      </c>
      <c r="H1373" s="17" t="s">
        <v>4023</v>
      </c>
      <c r="I1373" s="19"/>
      <c r="J1373" t="str">
        <f>IF(LEN(VLOOKUP(表1[[#This Row],[id]],数据引用!A:C,3,FALSE))&gt;0,VLOOKUP(表1[[#This Row],[id]],数据引用!A:C,3,FALSE),"")</f>
        <v>王后(红方)</v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373" s="5"/>
    </row>
    <row r="1374" spans="1:16" ht="14.25" customHeight="1">
      <c r="A1374">
        <v>6074</v>
      </c>
      <c r="B1374">
        <f>IF(表1[[#This Row],[不调整offset]]="x",IFERROR(VLOOKUP(表1[[#This Row],[8:image]],常量!J:N,4,FALSE),0),0)</f>
        <v>0</v>
      </c>
      <c r="C1374">
        <f>IF(表1[[#This Row],[不调整offset]]="x",IFERROR(VLOOKUP(表1[[#This Row],[8:image]],常量!J:N,5,FALSE),0),0)</f>
        <v>0</v>
      </c>
      <c r="E1374">
        <v>1</v>
      </c>
      <c r="F1374">
        <v>12</v>
      </c>
      <c r="G1374" s="1" t="s">
        <v>1072</v>
      </c>
      <c r="H1374" s="17" t="s">
        <v>4024</v>
      </c>
      <c r="I1374" s="19"/>
      <c r="J1374" t="str">
        <f>IF(LEN(VLOOKUP(表1[[#This Row],[id]],数据引用!A:C,3,FALSE))&gt;0,VLOOKUP(表1[[#This Row],[id]],数据引用!A:C,3,FALSE),"")</f>
        <v>车</v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374" s="5"/>
    </row>
    <row r="1375" spans="1:16" ht="14.25" customHeight="1">
      <c r="A1375">
        <v>6075</v>
      </c>
      <c r="B1375">
        <f>IF(表1[[#This Row],[不调整offset]]="x",IFERROR(VLOOKUP(表1[[#This Row],[8:image]],常量!J:N,4,FALSE),0),0)</f>
        <v>0</v>
      </c>
      <c r="C1375">
        <f>IF(表1[[#This Row],[不调整offset]]="x",IFERROR(VLOOKUP(表1[[#This Row],[8:image]],常量!J:N,5,FALSE),0),0)</f>
        <v>0</v>
      </c>
      <c r="E1375">
        <v>1</v>
      </c>
      <c r="F1375">
        <v>12</v>
      </c>
      <c r="G1375" s="1" t="s">
        <v>1073</v>
      </c>
      <c r="H1375" s="17" t="s">
        <v>4025</v>
      </c>
      <c r="I1375" s="19"/>
      <c r="J1375" t="str">
        <f>IF(LEN(VLOOKUP(表1[[#This Row],[id]],数据引用!A:C,3,FALSE))&gt;0,VLOOKUP(表1[[#This Row],[id]],数据引用!A:C,3,FALSE),"")</f>
        <v>车(红方)</v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375" s="5"/>
    </row>
    <row r="1376" spans="1:16" ht="14.25" customHeight="1">
      <c r="A1376">
        <v>6076</v>
      </c>
      <c r="B1376">
        <f>IF(表1[[#This Row],[不调整offset]]="x",IFERROR(VLOOKUP(表1[[#This Row],[8:image]],常量!J:N,4,FALSE),0),0)</f>
        <v>0</v>
      </c>
      <c r="C1376">
        <f>IF(表1[[#This Row],[不调整offset]]="x",IFERROR(VLOOKUP(表1[[#This Row],[8:image]],常量!J:N,5,FALSE),0),0)</f>
        <v>0</v>
      </c>
      <c r="E1376">
        <v>1</v>
      </c>
      <c r="F1376">
        <v>12</v>
      </c>
      <c r="G1376" s="1" t="s">
        <v>983</v>
      </c>
      <c r="H1376" s="17" t="s">
        <v>4026</v>
      </c>
      <c r="I1376" s="19"/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customHeight="1">
      <c r="A1377">
        <v>6077</v>
      </c>
      <c r="B1377">
        <f>IF(表1[[#This Row],[不调整offset]]="x",IFERROR(VLOOKUP(表1[[#This Row],[8:image]],常量!J:N,4,FALSE),0),0)</f>
        <v>0</v>
      </c>
      <c r="C1377">
        <f>IF(表1[[#This Row],[不调整offset]]="x",IFERROR(VLOOKUP(表1[[#This Row],[8:image]],常量!J:N,5,FALSE),0),0)</f>
        <v>0</v>
      </c>
      <c r="E1377">
        <v>1</v>
      </c>
      <c r="F1377">
        <v>12</v>
      </c>
      <c r="G1377" s="1" t="s">
        <v>1074</v>
      </c>
      <c r="H1377" s="17" t="s">
        <v>4027</v>
      </c>
      <c r="I1377" s="19"/>
      <c r="J1377" t="str">
        <f>IF(LEN(VLOOKUP(表1[[#This Row],[id]],数据引用!A:C,3,FALSE))&gt;0,VLOOKUP(表1[[#This Row],[id]],数据引用!A:C,3,FALSE),"")</f>
        <v>黄色石棺</v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377" s="5"/>
    </row>
    <row r="1378" spans="1:16" ht="14.25" customHeight="1">
      <c r="A1378">
        <v>6078</v>
      </c>
      <c r="B1378">
        <f>IF(表1[[#This Row],[不调整offset]]="x",IFERROR(VLOOKUP(表1[[#This Row],[8:image]],常量!J:N,4,FALSE),0),0)</f>
        <v>0</v>
      </c>
      <c r="C1378">
        <f>IF(表1[[#This Row],[不调整offset]]="x",IFERROR(VLOOKUP(表1[[#This Row],[8:image]],常量!J:N,5,FALSE),0),0)</f>
        <v>0</v>
      </c>
      <c r="E1378">
        <v>1</v>
      </c>
      <c r="F1378">
        <v>12</v>
      </c>
      <c r="G1378" s="1" t="s">
        <v>1075</v>
      </c>
      <c r="H1378" s="17" t="s">
        <v>4028</v>
      </c>
      <c r="I1378" s="19"/>
      <c r="J1378" t="str">
        <f>IF(LEN(VLOOKUP(表1[[#This Row],[id]],数据引用!A:C,3,FALSE))&gt;0,VLOOKUP(表1[[#This Row],[id]],数据引用!A:C,3,FALSE),"")</f>
        <v>黑色石棺</v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378" s="5"/>
    </row>
    <row r="1379" spans="1:16" ht="14.25" customHeight="1">
      <c r="A1379">
        <v>6079</v>
      </c>
      <c r="B1379">
        <f>IF(表1[[#This Row],[不调整offset]]="x",IFERROR(VLOOKUP(表1[[#This Row],[8:image]],常量!J:N,4,FALSE),0),0)</f>
        <v>0</v>
      </c>
      <c r="C1379">
        <f>IF(表1[[#This Row],[不调整offset]]="x",IFERROR(VLOOKUP(表1[[#This Row],[8:image]],常量!J:N,5,FALSE),0),0)</f>
        <v>0</v>
      </c>
      <c r="E1379">
        <v>1</v>
      </c>
      <c r="F1379">
        <v>12</v>
      </c>
      <c r="G1379" s="1" t="s">
        <v>1076</v>
      </c>
      <c r="H1379" s="17" t="s">
        <v>4029</v>
      </c>
      <c r="I1379" s="19"/>
      <c r="J1379" t="str">
        <f>IF(LEN(VLOOKUP(表1[[#This Row],[id]],数据引用!A:C,3,FALSE))&gt;0,VLOOKUP(表1[[#This Row],[id]],数据引用!A:C,3,FALSE),"")</f>
        <v>商店老板</v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379" s="5"/>
    </row>
    <row r="1380" spans="1:16" ht="14.25" customHeight="1">
      <c r="A1380">
        <v>6080</v>
      </c>
      <c r="B1380">
        <f>IF(表1[[#This Row],[不调整offset]]="x",IFERROR(VLOOKUP(表1[[#This Row],[8:image]],常量!J:N,4,FALSE),0),0)</f>
        <v>0</v>
      </c>
      <c r="C1380">
        <f>IF(表1[[#This Row],[不调整offset]]="x",IFERROR(VLOOKUP(表1[[#This Row],[8:image]],常量!J:N,5,FALSE),0),0)</f>
        <v>0</v>
      </c>
      <c r="E1380">
        <v>1</v>
      </c>
      <c r="F1380">
        <v>12</v>
      </c>
      <c r="G1380" s="1" t="s">
        <v>1077</v>
      </c>
      <c r="H1380" s="17" t="s">
        <v>4030</v>
      </c>
      <c r="I1380" s="19"/>
      <c r="J1380" t="str">
        <f>IF(LEN(VLOOKUP(表1[[#This Row],[id]],数据引用!A:C,3,FALSE))&gt;0,VLOOKUP(表1[[#This Row],[id]],数据引用!A:C,3,FALSE),"")</f>
        <v>畸形商店老板</v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380" s="5"/>
    </row>
    <row r="1381" spans="1:16" ht="14.25" customHeight="1">
      <c r="A1381">
        <v>6081</v>
      </c>
      <c r="B1381">
        <f>IF(表1[[#This Row],[不调整offset]]="x",IFERROR(VLOOKUP(表1[[#This Row],[8:image]],常量!J:N,4,FALSE),0),0)</f>
        <v>0</v>
      </c>
      <c r="C1381">
        <f>IF(表1[[#This Row],[不调整offset]]="x",IFERROR(VLOOKUP(表1[[#This Row],[8:image]],常量!J:N,5,FALSE),0),0)</f>
        <v>0</v>
      </c>
      <c r="E1381">
        <v>1</v>
      </c>
      <c r="F1381">
        <v>12</v>
      </c>
      <c r="G1381" s="1" t="s">
        <v>1078</v>
      </c>
      <c r="H1381" s="17" t="s">
        <v>4031</v>
      </c>
      <c r="I1381" s="19"/>
      <c r="J1381" t="str">
        <f>IF(LEN(VLOOKUP(表1[[#This Row],[id]],数据引用!A:C,3,FALSE))&gt;0,VLOOKUP(表1[[#This Row],[id]],数据引用!A:C,3,FALSE),"")</f>
        <v>商店老板幽灵</v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381" s="5"/>
    </row>
    <row r="1382" spans="1:16" ht="14.25" customHeight="1">
      <c r="A1382">
        <v>6082</v>
      </c>
      <c r="B1382">
        <f>IF(表1[[#This Row],[不调整offset]]="x",IFERROR(VLOOKUP(表1[[#This Row],[8:image]],常量!J:N,4,FALSE),0),0)</f>
        <v>0</v>
      </c>
      <c r="C1382">
        <f>IF(表1[[#This Row],[不调整offset]]="x",IFERROR(VLOOKUP(表1[[#This Row],[8:image]],常量!J:N,5,FALSE),0),0)</f>
        <v>0</v>
      </c>
      <c r="E1382">
        <v>1</v>
      </c>
      <c r="F1382">
        <v>12</v>
      </c>
      <c r="G1382" s="1" t="s">
        <v>1079</v>
      </c>
      <c r="H1382" s="17" t="s">
        <v>4032</v>
      </c>
      <c r="I1382" s="19"/>
      <c r="J1382" t="str">
        <f>IF(LEN(VLOOKUP(表1[[#This Row],[id]],数据引用!A:C,3,FALSE))&gt;0,VLOOKUP(表1[[#This Row],[id]],数据引用!A:C,3,FALSE),"")</f>
        <v>推推怪</v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382" s="5"/>
    </row>
    <row r="1383" spans="1:16" ht="14.25" customHeight="1">
      <c r="A1383">
        <v>6083</v>
      </c>
      <c r="B1383">
        <f>IF(表1[[#This Row],[不调整offset]]="x",IFERROR(VLOOKUP(表1[[#This Row],[8:image]],常量!J:N,4,FALSE),0),0)</f>
        <v>0</v>
      </c>
      <c r="C1383">
        <f>IF(表1[[#This Row],[不调整offset]]="x",IFERROR(VLOOKUP(表1[[#This Row],[8:image]],常量!J:N,5,FALSE),0),0)</f>
        <v>0</v>
      </c>
      <c r="E1383">
        <v>1</v>
      </c>
      <c r="F1383">
        <v>12</v>
      </c>
      <c r="G1383" s="1" t="s">
        <v>1080</v>
      </c>
      <c r="H1383" s="17" t="s">
        <v>4033</v>
      </c>
      <c r="I1383" s="19"/>
      <c r="J1383" t="str">
        <f>IF(LEN(VLOOKUP(表1[[#This Row],[id]],数据引用!A:C,3,FALSE))&gt;0,VLOOKUP(表1[[#This Row],[id]],数据引用!A:C,3,FALSE),"")</f>
        <v>白骷髅</v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383" s="5"/>
    </row>
    <row r="1384" spans="1:16" ht="14.25" customHeight="1">
      <c r="A1384">
        <v>6084</v>
      </c>
      <c r="B1384">
        <f>IF(表1[[#This Row],[不调整offset]]="x",IFERROR(VLOOKUP(表1[[#This Row],[8:image]],常量!J:N,4,FALSE),0),0)</f>
        <v>0</v>
      </c>
      <c r="C1384">
        <f>IF(表1[[#This Row],[不调整offset]]="x",IFERROR(VLOOKUP(表1[[#This Row],[8:image]],常量!J:N,5,FALSE),0),0)</f>
        <v>0</v>
      </c>
      <c r="E1384">
        <v>1</v>
      </c>
      <c r="F1384">
        <v>12</v>
      </c>
      <c r="G1384" s="1" t="s">
        <v>942</v>
      </c>
      <c r="H1384" s="17" t="s">
        <v>4034</v>
      </c>
      <c r="I1384" s="19"/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customHeight="1">
      <c r="A1385">
        <v>6085</v>
      </c>
      <c r="B1385">
        <f>IF(表1[[#This Row],[不调整offset]]="x",IFERROR(VLOOKUP(表1[[#This Row],[8:image]],常量!J:N,4,FALSE),0),0)</f>
        <v>0</v>
      </c>
      <c r="C1385">
        <f>IF(表1[[#This Row],[不调整offset]]="x",IFERROR(VLOOKUP(表1[[#This Row],[8:image]],常量!J:N,5,FALSE),0),0)</f>
        <v>0</v>
      </c>
      <c r="E1385">
        <v>1</v>
      </c>
      <c r="F1385">
        <v>12</v>
      </c>
      <c r="G1385" s="1" t="s">
        <v>943</v>
      </c>
      <c r="H1385" s="17" t="s">
        <v>4035</v>
      </c>
      <c r="I1385" s="19"/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customHeight="1">
      <c r="A1386">
        <v>6086</v>
      </c>
      <c r="B1386">
        <f>IF(表1[[#This Row],[不调整offset]]="x",IFERROR(VLOOKUP(表1[[#This Row],[8:image]],常量!J:N,4,FALSE),0),0)</f>
        <v>0</v>
      </c>
      <c r="C1386">
        <f>IF(表1[[#This Row],[不调整offset]]="x",IFERROR(VLOOKUP(表1[[#This Row],[8:image]],常量!J:N,5,FALSE),0),0)</f>
        <v>0</v>
      </c>
      <c r="E1386">
        <v>1</v>
      </c>
      <c r="F1386">
        <v>12</v>
      </c>
      <c r="G1386" s="1" t="s">
        <v>1081</v>
      </c>
      <c r="H1386" s="17" t="s">
        <v>4036</v>
      </c>
      <c r="I1386" s="19"/>
      <c r="J1386" t="str">
        <f>IF(LEN(VLOOKUP(表1[[#This Row],[id]],数据引用!A:C,3,FALSE))&gt;0,VLOOKUP(表1[[#This Row],[id]],数据引用!A:C,3,FALSE),"")</f>
        <v>白色骷髅骑士</v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386" s="5"/>
    </row>
    <row r="1387" spans="1:16" ht="14.25" customHeight="1">
      <c r="A1387">
        <v>6087</v>
      </c>
      <c r="B1387">
        <f>IF(表1[[#This Row],[不调整offset]]="x",IFERROR(VLOOKUP(表1[[#This Row],[8:image]],常量!J:N,4,FALSE),0),0)</f>
        <v>0</v>
      </c>
      <c r="C1387">
        <f>IF(表1[[#This Row],[不调整offset]]="x",IFERROR(VLOOKUP(表1[[#This Row],[8:image]],常量!J:N,5,FALSE),0),0)</f>
        <v>0</v>
      </c>
      <c r="E1387">
        <v>1</v>
      </c>
      <c r="F1387">
        <v>12</v>
      </c>
      <c r="G1387" s="1" t="s">
        <v>1082</v>
      </c>
      <c r="H1387" s="17" t="s">
        <v>4037</v>
      </c>
      <c r="I1387" s="19"/>
      <c r="J1387" t="str">
        <f>IF(LEN(VLOOKUP(表1[[#This Row],[id]],数据引用!A:C,3,FALSE))&gt;0,VLOOKUP(表1[[#This Row],[id]],数据引用!A:C,3,FALSE),"")</f>
        <v>黄色骷髅骑士</v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387" s="5"/>
    </row>
    <row r="1388" spans="1:16" ht="14.25" customHeight="1">
      <c r="A1388">
        <v>6088</v>
      </c>
      <c r="B1388">
        <f>IF(表1[[#This Row],[不调整offset]]="x",IFERROR(VLOOKUP(表1[[#This Row],[8:image]],常量!J:N,4,FALSE),0),0)</f>
        <v>0</v>
      </c>
      <c r="C1388">
        <f>IF(表1[[#This Row],[不调整offset]]="x",IFERROR(VLOOKUP(表1[[#This Row],[8:image]],常量!J:N,5,FALSE),0),0)</f>
        <v>0</v>
      </c>
      <c r="E1388">
        <v>1</v>
      </c>
      <c r="F1388">
        <v>12</v>
      </c>
      <c r="G1388" s="1" t="s">
        <v>1083</v>
      </c>
      <c r="H1388" s="17" t="s">
        <v>4038</v>
      </c>
      <c r="I1388" s="19"/>
      <c r="J1388" t="str">
        <f>IF(LEN(VLOOKUP(表1[[#This Row],[id]],数据引用!A:C,3,FALSE))&gt;0,VLOOKUP(表1[[#This Row],[id]],数据引用!A:C,3,FALSE),"")</f>
        <v>黑色骷髅骑士</v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388" s="5"/>
    </row>
    <row r="1389" spans="1:16" ht="14.25" customHeight="1">
      <c r="A1389">
        <v>6089</v>
      </c>
      <c r="B1389">
        <f>IF(表1[[#This Row],[不调整offset]]="x",IFERROR(VLOOKUP(表1[[#This Row],[8:image]],常量!J:N,4,FALSE),0),0)</f>
        <v>0</v>
      </c>
      <c r="C1389">
        <f>IF(表1[[#This Row],[不调整offset]]="x",IFERROR(VLOOKUP(表1[[#This Row],[8:image]],常量!J:N,5,FALSE),0),0)</f>
        <v>0</v>
      </c>
      <c r="E1389">
        <v>1</v>
      </c>
      <c r="F1389">
        <v>12</v>
      </c>
      <c r="G1389" s="1" t="s">
        <v>1084</v>
      </c>
      <c r="H1389" s="17" t="s">
        <v>4039</v>
      </c>
      <c r="I1389" s="19"/>
      <c r="J1389" t="str">
        <f>IF(LEN(VLOOKUP(表1[[#This Row],[id]],数据引用!A:C,3,FALSE))&gt;0,VLOOKUP(表1[[#This Row],[id]],数据引用!A:C,3,FALSE),"")</f>
        <v>白色骷髅法师</v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389" s="5"/>
    </row>
    <row r="1390" spans="1:16" ht="14.25" customHeight="1">
      <c r="A1390">
        <v>6090</v>
      </c>
      <c r="B1390">
        <f>IF(表1[[#This Row],[不调整offset]]="x",IFERROR(VLOOKUP(表1[[#This Row],[8:image]],常量!J:N,4,FALSE),0),0)</f>
        <v>0</v>
      </c>
      <c r="C1390">
        <f>IF(表1[[#This Row],[不调整offset]]="x",IFERROR(VLOOKUP(表1[[#This Row],[8:image]],常量!J:N,5,FALSE),0),0)</f>
        <v>0</v>
      </c>
      <c r="E1390">
        <v>1</v>
      </c>
      <c r="F1390">
        <v>12</v>
      </c>
      <c r="G1390" s="1" t="s">
        <v>1085</v>
      </c>
      <c r="H1390" s="17" t="s">
        <v>4040</v>
      </c>
      <c r="I1390" s="19"/>
      <c r="J1390" t="str">
        <f>IF(LEN(VLOOKUP(表1[[#This Row],[id]],数据引用!A:C,3,FALSE))&gt;0,VLOOKUP(表1[[#This Row],[id]],数据引用!A:C,3,FALSE),"")</f>
        <v>黄色骷髅法师</v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390" s="5"/>
    </row>
    <row r="1391" spans="1:16" ht="14.25" customHeight="1">
      <c r="A1391">
        <v>6091</v>
      </c>
      <c r="B1391">
        <f>IF(表1[[#This Row],[不调整offset]]="x",IFERROR(VLOOKUP(表1[[#This Row],[8:image]],常量!J:N,4,FALSE),0),0)</f>
        <v>0</v>
      </c>
      <c r="C1391">
        <f>IF(表1[[#This Row],[不调整offset]]="x",IFERROR(VLOOKUP(表1[[#This Row],[8:image]],常量!J:N,5,FALSE),0),0)</f>
        <v>0</v>
      </c>
      <c r="E1391">
        <v>1</v>
      </c>
      <c r="F1391">
        <v>12</v>
      </c>
      <c r="G1391" s="1" t="s">
        <v>1086</v>
      </c>
      <c r="H1391" s="17" t="s">
        <v>4041</v>
      </c>
      <c r="I1391" s="19"/>
      <c r="J1391" t="str">
        <f>IF(LEN(VLOOKUP(表1[[#This Row],[id]],数据引用!A:C,3,FALSE))&gt;0,VLOOKUP(表1[[#This Row],[id]],数据引用!A:C,3,FALSE),"")</f>
        <v>黑色骷髅法师</v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391" s="5"/>
    </row>
    <row r="1392" spans="1:16" ht="14.25" customHeight="1">
      <c r="A1392">
        <v>6092</v>
      </c>
      <c r="B1392">
        <f>IF(表1[[#This Row],[不调整offset]]="x",IFERROR(VLOOKUP(表1[[#This Row],[8:image]],常量!J:N,4,FALSE),0),0)</f>
        <v>0</v>
      </c>
      <c r="C1392">
        <f>IF(表1[[#This Row],[不调整offset]]="x",IFERROR(VLOOKUP(表1[[#This Row],[8:image]],常量!J:N,5,FALSE),0),0)</f>
        <v>0</v>
      </c>
      <c r="E1392">
        <v>1</v>
      </c>
      <c r="F1392">
        <v>12</v>
      </c>
      <c r="G1392" s="1" t="s">
        <v>1087</v>
      </c>
      <c r="H1392" s="17" t="s">
        <v>4042</v>
      </c>
      <c r="I1392" s="19"/>
      <c r="J1392" t="str">
        <f>IF(LEN(VLOOKUP(表1[[#This Row],[id]],数据引用!A:C,3,FALSE))&gt;0,VLOOKUP(表1[[#This Row],[id]],数据引用!A:C,3,FALSE),"")</f>
        <v>哥布林警卫</v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392" s="5"/>
    </row>
    <row r="1393" spans="1:16" ht="14.25" customHeight="1">
      <c r="A1393">
        <v>6093</v>
      </c>
      <c r="B1393">
        <f>IF(表1[[#This Row],[不调整offset]]="x",IFERROR(VLOOKUP(表1[[#This Row],[8:image]],常量!J:N,4,FALSE),0),0)</f>
        <v>0</v>
      </c>
      <c r="C1393">
        <f>IF(表1[[#This Row],[不调整offset]]="x",IFERROR(VLOOKUP(表1[[#This Row],[8:image]],常量!J:N,5,FALSE),0),0)</f>
        <v>0</v>
      </c>
      <c r="E1393">
        <v>1</v>
      </c>
      <c r="F1393">
        <v>12</v>
      </c>
      <c r="G1393" s="1" t="s">
        <v>938</v>
      </c>
      <c r="H1393" s="17" t="s">
        <v>4043</v>
      </c>
      <c r="I1393" s="19"/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customHeight="1">
      <c r="A1394">
        <v>6094</v>
      </c>
      <c r="B1394">
        <f>IF(表1[[#This Row],[不调整offset]]="x",IFERROR(VLOOKUP(表1[[#This Row],[8:image]],常量!J:N,4,FALSE),0),0)</f>
        <v>0</v>
      </c>
      <c r="C1394">
        <f>IF(表1[[#This Row],[不调整offset]]="x",IFERROR(VLOOKUP(表1[[#This Row],[8:image]],常量!J:N,5,FALSE),0),0)</f>
        <v>0</v>
      </c>
      <c r="E1394">
        <v>1</v>
      </c>
      <c r="F1394">
        <v>12</v>
      </c>
      <c r="G1394" s="1" t="s">
        <v>939</v>
      </c>
      <c r="H1394" s="17" t="s">
        <v>4044</v>
      </c>
      <c r="I1394" s="19"/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customHeight="1">
      <c r="A1395">
        <v>6095</v>
      </c>
      <c r="B1395">
        <f>IF(表1[[#This Row],[不调整offset]]="x",IFERROR(VLOOKUP(表1[[#This Row],[8:image]],常量!J:N,4,FALSE),0),0)</f>
        <v>0</v>
      </c>
      <c r="C1395">
        <f>IF(表1[[#This Row],[不调整offset]]="x",IFERROR(VLOOKUP(表1[[#This Row],[8:image]],常量!J:N,5,FALSE),0),0)</f>
        <v>0</v>
      </c>
      <c r="E1395">
        <v>1</v>
      </c>
      <c r="F1395">
        <v>12</v>
      </c>
      <c r="G1395" s="1" t="s">
        <v>940</v>
      </c>
      <c r="H1395" s="17" t="s">
        <v>4045</v>
      </c>
      <c r="I1395" s="19"/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customHeight="1">
      <c r="A1396">
        <v>6096</v>
      </c>
      <c r="B1396">
        <f>IF(表1[[#This Row],[不调整offset]]="x",IFERROR(VLOOKUP(表1[[#This Row],[8:image]],常量!J:N,4,FALSE),0),0)</f>
        <v>0</v>
      </c>
      <c r="C1396">
        <f>IF(表1[[#This Row],[不调整offset]]="x",IFERROR(VLOOKUP(表1[[#This Row],[8:image]],常量!J:N,5,FALSE),0),0)</f>
        <v>0</v>
      </c>
      <c r="E1396">
        <v>1</v>
      </c>
      <c r="F1396">
        <v>12</v>
      </c>
      <c r="G1396" s="1" t="s">
        <v>970</v>
      </c>
      <c r="H1396" s="17" t="s">
        <v>4046</v>
      </c>
      <c r="I1396" s="19"/>
      <c r="J1396" t="str">
        <f>IF(LEN(VLOOKUP(表1[[#This Row],[id]],数据引用!A:C,3,FALSE))&gt;0,VLOOKUP(表1[[#This Row],[id]],数据引用!A:C,3,FALSE),"")</f>
        <v>冰霜史莱姆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396" s="5"/>
    </row>
    <row r="1397" spans="1:16" ht="14.25" customHeight="1">
      <c r="A1397">
        <v>6097</v>
      </c>
      <c r="B1397">
        <f>IF(表1[[#This Row],[不调整offset]]="x",IFERROR(VLOOKUP(表1[[#This Row],[8:image]],常量!J:N,4,FALSE),0),0)</f>
        <v>0</v>
      </c>
      <c r="C1397">
        <f>IF(表1[[#This Row],[不调整offset]]="x",IFERROR(VLOOKUP(表1[[#This Row],[8:image]],常量!J:N,5,FALSE),0),0)</f>
        <v>0</v>
      </c>
      <c r="E1397">
        <v>1</v>
      </c>
      <c r="F1397">
        <v>12</v>
      </c>
      <c r="G1397" s="1" t="s">
        <v>969</v>
      </c>
      <c r="H1397" s="17" t="s">
        <v>4047</v>
      </c>
      <c r="I1397" s="19"/>
      <c r="J1397" t="str">
        <f>IF(LEN(VLOOKUP(表1[[#This Row],[id]],数据引用!A:C,3,FALSE))&gt;0,VLOOKUP(表1[[#This Row],[id]],数据引用!A:C,3,FALSE),"")</f>
        <v>火焰史莱姆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397" s="5"/>
    </row>
    <row r="1398" spans="1:16" ht="14.25" customHeight="1">
      <c r="A1398">
        <v>6098</v>
      </c>
      <c r="B1398">
        <f>IF(表1[[#This Row],[不调整offset]]="x",IFERROR(VLOOKUP(表1[[#This Row],[8:image]],常量!J:N,4,FALSE),0),0)</f>
        <v>0</v>
      </c>
      <c r="C1398">
        <f>IF(表1[[#This Row],[不调整offset]]="x",IFERROR(VLOOKUP(表1[[#This Row],[8:image]],常量!J:N,5,FALSE),0),0)</f>
        <v>0</v>
      </c>
      <c r="E1398">
        <v>1</v>
      </c>
      <c r="F1398">
        <v>12</v>
      </c>
      <c r="G1398" s="1" t="s">
        <v>995</v>
      </c>
      <c r="H1398" s="17" t="s">
        <v>4048</v>
      </c>
      <c r="I1398" s="19"/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customHeight="1">
      <c r="A1399">
        <v>6099</v>
      </c>
      <c r="B1399">
        <f>IF(表1[[#This Row],[不调整offset]]="x",IFERROR(VLOOKUP(表1[[#This Row],[8:image]],常量!J:N,4,FALSE),0),0)</f>
        <v>0</v>
      </c>
      <c r="C1399">
        <f>IF(表1[[#This Row],[不调整offset]]="x",IFERROR(VLOOKUP(表1[[#This Row],[8:image]],常量!J:N,5,FALSE),0),0)</f>
        <v>0</v>
      </c>
      <c r="E1399">
        <v>1</v>
      </c>
      <c r="F1399">
        <v>12</v>
      </c>
      <c r="G1399" s="1" t="s">
        <v>1088</v>
      </c>
      <c r="H1399" s="17" t="s">
        <v>4049</v>
      </c>
      <c r="I1399" s="19"/>
      <c r="J1399" t="str">
        <f>IF(LEN(VLOOKUP(表1[[#This Row],[id]],数据引用!A:C,3,FALSE))&gt;0,VLOOKUP(表1[[#This Row],[id]],数据引用!A:C,3,FALSE),"")</f>
        <v>焦油怪</v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399" s="5"/>
    </row>
    <row r="1400" spans="1:16" ht="14.25" customHeight="1">
      <c r="A1400">
        <v>6100</v>
      </c>
      <c r="B1400">
        <f>IF(表1[[#This Row],[不调整offset]]="x",IFERROR(VLOOKUP(表1[[#This Row],[8:image]],常量!J:N,4,FALSE),0),0)</f>
        <v>0</v>
      </c>
      <c r="C1400">
        <f>IF(表1[[#This Row],[不调整offset]]="x",IFERROR(VLOOKUP(表1[[#This Row],[8:image]],常量!J:N,5,FALSE),0),0)</f>
        <v>0</v>
      </c>
      <c r="E1400">
        <v>1</v>
      </c>
      <c r="F1400">
        <v>12</v>
      </c>
      <c r="G1400" s="1" t="s">
        <v>1089</v>
      </c>
      <c r="H1400" s="17" t="s">
        <v>4050</v>
      </c>
      <c r="I1400" s="19"/>
      <c r="J1400" t="str">
        <f>IF(LEN(VLOOKUP(表1[[#This Row],[id]],数据引用!A:C,3,FALSE))&gt;0,VLOOKUP(表1[[#This Row],[id]],数据引用!A:C,3,FALSE),"")</f>
        <v>触手怪</v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400" s="5"/>
    </row>
    <row r="1401" spans="1:16" ht="14.25" customHeight="1">
      <c r="A1401">
        <v>6101</v>
      </c>
      <c r="B1401">
        <f>IF(表1[[#This Row],[不调整offset]]="x",IFERROR(VLOOKUP(表1[[#This Row],[8:image]],常量!J:N,4,FALSE),0),0)</f>
        <v>0</v>
      </c>
      <c r="C1401">
        <f>IF(表1[[#This Row],[不调整offset]]="x",IFERROR(VLOOKUP(表1[[#This Row],[8:image]],常量!J:N,5,FALSE),0),0)</f>
        <v>0</v>
      </c>
      <c r="E1401">
        <v>1</v>
      </c>
      <c r="F1401">
        <v>12</v>
      </c>
      <c r="G1401" s="1" t="s">
        <v>952</v>
      </c>
      <c r="H1401" s="17" t="s">
        <v>4051</v>
      </c>
      <c r="I1401" s="19"/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customHeight="1">
      <c r="A1402">
        <v>6102</v>
      </c>
      <c r="B1402">
        <f>IF(表1[[#This Row],[不调整offset]]="x",IFERROR(VLOOKUP(表1[[#This Row],[8:image]],常量!J:N,4,FALSE),0),0)</f>
        <v>0</v>
      </c>
      <c r="C1402">
        <f>IF(表1[[#This Row],[不调整offset]]="x",IFERROR(VLOOKUP(表1[[#This Row],[8:image]],常量!J:N,5,FALSE),0),0)</f>
        <v>0</v>
      </c>
      <c r="E1402">
        <v>1</v>
      </c>
      <c r="F1402">
        <v>12</v>
      </c>
      <c r="G1402" s="1" t="s">
        <v>1090</v>
      </c>
      <c r="H1402" s="17" t="s">
        <v>4052</v>
      </c>
      <c r="I1402" s="19"/>
      <c r="J1402" t="str">
        <f>IF(LEN(VLOOKUP(表1[[#This Row],[id]],数据引用!A:C,3,FALSE))&gt;0,VLOOKUP(表1[[#This Row],[id]],数据引用!A:C,3,FALSE),"")</f>
        <v>锁住的宝箱怪</v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402" s="5"/>
    </row>
    <row r="1403" spans="1:16" ht="14.25" customHeight="1">
      <c r="A1403">
        <v>6103</v>
      </c>
      <c r="B1403">
        <f>IF(表1[[#This Row],[不调整offset]]="x",IFERROR(VLOOKUP(表1[[#This Row],[8:image]],常量!J:N,4,FALSE),0),0)</f>
        <v>0</v>
      </c>
      <c r="C1403">
        <f>IF(表1[[#This Row],[不调整offset]]="x",IFERROR(VLOOKUP(表1[[#This Row],[8:image]],常量!J:N,5,FALSE),0),0)</f>
        <v>0</v>
      </c>
      <c r="E1403">
        <v>1</v>
      </c>
      <c r="F1403">
        <v>12</v>
      </c>
      <c r="G1403" s="1" t="s">
        <v>1091</v>
      </c>
      <c r="H1403" s="17" t="s">
        <v>4053</v>
      </c>
      <c r="I1403" s="19"/>
      <c r="J1403" t="str">
        <f>IF(LEN(VLOOKUP(表1[[#This Row],[id]],数据引用!A:C,3,FALSE))&gt;0,VLOOKUP(表1[[#This Row],[id]],数据引用!A:C,3,FALSE),"")</f>
        <v>白色宝箱怪</v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403" s="5"/>
    </row>
    <row r="1404" spans="1:16" ht="14.25" customHeight="1">
      <c r="A1404">
        <v>6104</v>
      </c>
      <c r="B1404">
        <f>IF(表1[[#This Row],[不调整offset]]="x",IFERROR(VLOOKUP(表1[[#This Row],[8:image]],常量!J:N,4,FALSE),0),0)</f>
        <v>0</v>
      </c>
      <c r="C1404">
        <f>IF(表1[[#This Row],[不调整offset]]="x",IFERROR(VLOOKUP(表1[[#This Row],[8:image]],常量!J:N,5,FALSE),0),0)</f>
        <v>0</v>
      </c>
      <c r="E1404">
        <v>1</v>
      </c>
      <c r="F1404">
        <v>12</v>
      </c>
      <c r="G1404" s="1" t="s">
        <v>1092</v>
      </c>
      <c r="H1404" s="17" t="s">
        <v>4054</v>
      </c>
      <c r="I1404" s="19"/>
      <c r="J1404" t="str">
        <f>IF(LEN(VLOOKUP(表1[[#This Row],[id]],数据引用!A:C,3,FALSE))&gt;0,VLOOKUP(表1[[#This Row],[id]],数据引用!A:C,3,FALSE),"")</f>
        <v>火焰锅炉怪</v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404" s="5"/>
    </row>
    <row r="1405" spans="1:16" ht="14.25" customHeight="1">
      <c r="A1405">
        <v>6105</v>
      </c>
      <c r="B1405">
        <f>IF(表1[[#This Row],[不调整offset]]="x",IFERROR(VLOOKUP(表1[[#This Row],[8:image]],常量!J:N,4,FALSE),0),0)</f>
        <v>0</v>
      </c>
      <c r="C1405">
        <f>IF(表1[[#This Row],[不调整offset]]="x",IFERROR(VLOOKUP(表1[[#This Row],[8:image]],常量!J:N,5,FALSE),0),0)</f>
        <v>0</v>
      </c>
      <c r="E1405">
        <v>1</v>
      </c>
      <c r="F1405">
        <v>12</v>
      </c>
      <c r="G1405" s="1" t="s">
        <v>1093</v>
      </c>
      <c r="H1405" s="17" t="s">
        <v>4055</v>
      </c>
      <c r="I1405" s="19"/>
      <c r="J1405" t="str">
        <f>IF(LEN(VLOOKUP(表1[[#This Row],[id]],数据引用!A:C,3,FALSE))&gt;0,VLOOKUP(表1[[#This Row],[id]],数据引用!A:C,3,FALSE),"")</f>
        <v>冰霜锅炉怪</v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405" s="5"/>
    </row>
    <row r="1406" spans="1:16" ht="14.25" customHeight="1">
      <c r="A1406">
        <v>6106</v>
      </c>
      <c r="B1406">
        <f>IF(表1[[#This Row],[不调整offset]]="x",IFERROR(VLOOKUP(表1[[#This Row],[8:image]],常量!J:N,4,FALSE),0),0)</f>
        <v>0</v>
      </c>
      <c r="C1406">
        <f>IF(表1[[#This Row],[不调整offset]]="x",IFERROR(VLOOKUP(表1[[#This Row],[8:image]],常量!J:N,5,FALSE),0),0)</f>
        <v>0</v>
      </c>
      <c r="E1406">
        <v>1</v>
      </c>
      <c r="F1406">
        <v>12</v>
      </c>
      <c r="G1406" s="1" t="s">
        <v>989</v>
      </c>
      <c r="H1406" s="17" t="s">
        <v>4056</v>
      </c>
      <c r="I1406" s="19"/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customHeight="1">
      <c r="A1407">
        <v>6107</v>
      </c>
      <c r="B1407">
        <f>IF(表1[[#This Row],[不调整offset]]="x",IFERROR(VLOOKUP(表1[[#This Row],[8:image]],常量!J:N,4,FALSE),0),0)</f>
        <v>0</v>
      </c>
      <c r="C1407">
        <f>IF(表1[[#This Row],[不调整offset]]="x",IFERROR(VLOOKUP(表1[[#This Row],[8:image]],常量!J:N,5,FALSE),0),0)</f>
        <v>0</v>
      </c>
      <c r="E1407">
        <v>1</v>
      </c>
      <c r="F1407">
        <v>12</v>
      </c>
      <c r="G1407" s="1" t="s">
        <v>990</v>
      </c>
      <c r="H1407" s="17" t="s">
        <v>4057</v>
      </c>
      <c r="I1407" s="19"/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customHeight="1">
      <c r="A1408">
        <v>6108</v>
      </c>
      <c r="B1408">
        <f>IF(表1[[#This Row],[不调整offset]]="x",IFERROR(VLOOKUP(表1[[#This Row],[8:image]],常量!J:N,4,FALSE),0),0)</f>
        <v>0</v>
      </c>
      <c r="C1408">
        <f>IF(表1[[#This Row],[不调整offset]]="x",IFERROR(VLOOKUP(表1[[#This Row],[8:image]],常量!J:N,5,FALSE),0),0)</f>
        <v>0</v>
      </c>
      <c r="E1408">
        <v>1</v>
      </c>
      <c r="F1408">
        <v>12</v>
      </c>
      <c r="G1408" s="1" t="s">
        <v>967</v>
      </c>
      <c r="H1408" s="17" t="s">
        <v>4058</v>
      </c>
      <c r="I1408" s="19"/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customHeight="1">
      <c r="A1409">
        <v>6109</v>
      </c>
      <c r="B1409">
        <f>IF(表1[[#This Row],[不调整offset]]="x",IFERROR(VLOOKUP(表1[[#This Row],[8:image]],常量!J:N,4,FALSE),0),0)</f>
        <v>0</v>
      </c>
      <c r="C1409">
        <f>IF(表1[[#This Row],[不调整offset]]="x",IFERROR(VLOOKUP(表1[[#This Row],[8:image]],常量!J:N,5,FALSE),0),0)</f>
        <v>0</v>
      </c>
      <c r="E1409">
        <v>1</v>
      </c>
      <c r="F1409">
        <v>12</v>
      </c>
      <c r="G1409" s="1" t="s">
        <v>951</v>
      </c>
      <c r="H1409" s="17" t="s">
        <v>4059</v>
      </c>
      <c r="I1409" s="19"/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customHeight="1">
      <c r="A1410">
        <v>6110</v>
      </c>
      <c r="B1410">
        <f>IF(表1[[#This Row],[不调整offset]]="x",IFERROR(VLOOKUP(表1[[#This Row],[8:image]],常量!J:N,4,FALSE),0),0)</f>
        <v>0</v>
      </c>
      <c r="C1410">
        <f>IF(表1[[#This Row],[不调整offset]]="x",IFERROR(VLOOKUP(表1[[#This Row],[8:image]],常量!J:N,5,FALSE),0),0)</f>
        <v>0</v>
      </c>
      <c r="E1410">
        <v>1</v>
      </c>
      <c r="F1410">
        <v>12</v>
      </c>
      <c r="G1410" s="1" t="s">
        <v>980</v>
      </c>
      <c r="H1410" s="17" t="s">
        <v>4060</v>
      </c>
      <c r="I1410" s="19"/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customHeight="1">
      <c r="A1411">
        <v>6111</v>
      </c>
      <c r="B1411">
        <f>IF(表1[[#This Row],[不调整offset]]="x",IFERROR(VLOOKUP(表1[[#This Row],[8:image]],常量!J:N,4,FALSE),0),0)</f>
        <v>0</v>
      </c>
      <c r="C1411">
        <f>IF(表1[[#This Row],[不调整offset]]="x",IFERROR(VLOOKUP(表1[[#This Row],[8:image]],常量!J:N,5,FALSE),0),0)</f>
        <v>0</v>
      </c>
      <c r="E1411">
        <v>1</v>
      </c>
      <c r="F1411">
        <v>12</v>
      </c>
      <c r="G1411" s="1" t="s">
        <v>950</v>
      </c>
      <c r="H1411" s="17" t="s">
        <v>4061</v>
      </c>
      <c r="I1411" s="19"/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customHeight="1">
      <c r="A1412">
        <v>6112</v>
      </c>
      <c r="B1412">
        <f>IF(表1[[#This Row],[不调整offset]]="x",IFERROR(VLOOKUP(表1[[#This Row],[8:image]],常量!J:N,4,FALSE),0),0)</f>
        <v>0</v>
      </c>
      <c r="C1412">
        <f>IF(表1[[#This Row],[不调整offset]]="x",IFERROR(VLOOKUP(表1[[#This Row],[8:image]],常量!J:N,5,FALSE),0),0)</f>
        <v>0</v>
      </c>
      <c r="E1412">
        <v>1</v>
      </c>
      <c r="F1412">
        <v>12</v>
      </c>
      <c r="G1412" s="1" t="s">
        <v>1094</v>
      </c>
      <c r="H1412" s="16" t="s">
        <v>4062</v>
      </c>
      <c r="I1412" s="19"/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IF(表1[[#This Row],[不调整offset]]="x",IFERROR(VLOOKUP(表1[[#This Row],[8:image]],常量!J:N,4,FALSE),0),0)</f>
        <v>0</v>
      </c>
      <c r="C1413">
        <f>IF(表1[[#This Row],[不调整offset]]="x",IFERROR(VLOOKUP(表1[[#This Row],[8:image]],常量!J:N,5,FALSE),0),0)</f>
        <v>0</v>
      </c>
      <c r="E1413">
        <v>1</v>
      </c>
      <c r="F1413">
        <v>12</v>
      </c>
      <c r="G1413" s="1" t="s">
        <v>1095</v>
      </c>
      <c r="H1413" s="17" t="s">
        <v>4063</v>
      </c>
      <c r="I1413" s="19"/>
      <c r="J1413" t="str">
        <f>IF(LEN(VLOOKUP(表1[[#This Row],[id]],数据引用!A:C,3,FALSE))&gt;0,VLOOKUP(表1[[#This Row],[id]],数据引用!A:C,3,FALSE),"")</f>
        <v>刺针陷阱</v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413" s="5"/>
    </row>
    <row r="1414" spans="1:16" ht="14.25" customHeight="1">
      <c r="A1414">
        <v>6114</v>
      </c>
      <c r="B1414">
        <f>IF(表1[[#This Row],[不调整offset]]="x",IFERROR(VLOOKUP(表1[[#This Row],[8:image]],常量!J:N,4,FALSE),0),0)</f>
        <v>0</v>
      </c>
      <c r="C1414">
        <f>IF(表1[[#This Row],[不调整offset]]="x",IFERROR(VLOOKUP(表1[[#This Row],[8:image]],常量!J:N,5,FALSE),0),0)</f>
        <v>0</v>
      </c>
      <c r="E1414">
        <v>1</v>
      </c>
      <c r="F1414">
        <v>12</v>
      </c>
      <c r="G1414" s="1" t="s">
        <v>1096</v>
      </c>
      <c r="H1414" s="17" t="s">
        <v>4064</v>
      </c>
      <c r="I1414" s="19"/>
      <c r="J1414" t="str">
        <f>IF(LEN(VLOOKUP(表1[[#This Row],[id]],数据引用!A:C,3,FALSE))&gt;0,VLOOKUP(表1[[#This Row],[id]],数据引用!A:C,3,FALSE),"")</f>
        <v>鲜血魔法</v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414" s="5"/>
    </row>
    <row r="1415" spans="1:16" ht="14.25" customHeight="1">
      <c r="A1415">
        <v>6115</v>
      </c>
      <c r="B1415">
        <f>IF(表1[[#This Row],[不调整offset]]="x",IFERROR(VLOOKUP(表1[[#This Row],[8:image]],常量!J:N,4,FALSE),0),0)</f>
        <v>0</v>
      </c>
      <c r="C1415">
        <f>IF(表1[[#This Row],[不调整offset]]="x",IFERROR(VLOOKUP(表1[[#This Row],[8:image]],常量!J:N,5,FALSE),0),0)</f>
        <v>0</v>
      </c>
      <c r="E1415">
        <v>1</v>
      </c>
      <c r="F1415">
        <v>12</v>
      </c>
      <c r="G1415" s="1" t="s">
        <v>385</v>
      </c>
      <c r="H1415" s="17" t="s">
        <v>4065</v>
      </c>
      <c r="I1415" s="19"/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customHeight="1">
      <c r="A1416">
        <v>6116</v>
      </c>
      <c r="B1416">
        <f>IF(表1[[#This Row],[不调整offset]]="x",IFERROR(VLOOKUP(表1[[#This Row],[8:image]],常量!J:N,4,FALSE),0),0)</f>
        <v>0</v>
      </c>
      <c r="C1416">
        <f>IF(表1[[#This Row],[不调整offset]]="x",IFERROR(VLOOKUP(表1[[#This Row],[8:image]],常量!J:N,5,FALSE),0),0)</f>
        <v>0</v>
      </c>
      <c r="E1416">
        <v>1</v>
      </c>
      <c r="F1416">
        <v>12</v>
      </c>
      <c r="G1416" s="1" t="s">
        <v>314</v>
      </c>
      <c r="H1416" s="17" t="s">
        <v>4066</v>
      </c>
      <c r="I1416" s="19"/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customHeight="1">
      <c r="A1417">
        <v>6117</v>
      </c>
      <c r="B1417">
        <f>IF(表1[[#This Row],[不调整offset]]="x",IFERROR(VLOOKUP(表1[[#This Row],[8:image]],常量!J:N,4,FALSE),0),0)</f>
        <v>0</v>
      </c>
      <c r="C1417">
        <f>IF(表1[[#This Row],[不调整offset]]="x",IFERROR(VLOOKUP(表1[[#This Row],[8:image]],常量!J:N,5,FALSE),0),0)</f>
        <v>0</v>
      </c>
      <c r="E1417">
        <v>1</v>
      </c>
      <c r="F1417">
        <v>12</v>
      </c>
      <c r="G1417" s="1" t="s">
        <v>1097</v>
      </c>
      <c r="H1417" s="17" t="s">
        <v>4067</v>
      </c>
      <c r="I1417" s="19"/>
      <c r="J1417" t="str">
        <f>IF(LEN(VLOOKUP(表1[[#This Row],[id]],数据引用!A:C,3,FALSE))&gt;0,VLOOKUP(表1[[#This Row],[id]],数据引用!A:C,3,FALSE),"")</f>
        <v>血债</v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417" s="5"/>
    </row>
    <row r="1418" spans="1:16" ht="14.25" customHeight="1">
      <c r="A1418">
        <v>6118</v>
      </c>
      <c r="B1418">
        <f>IF(表1[[#This Row],[不调整offset]]="x",IFERROR(VLOOKUP(表1[[#This Row],[8:image]],常量!J:N,4,FALSE),0),0)</f>
        <v>0</v>
      </c>
      <c r="C1418">
        <f>IF(表1[[#This Row],[不调整offset]]="x",IFERROR(VLOOKUP(表1[[#This Row],[8:image]],常量!J:N,5,FALSE),0),0)</f>
        <v>0</v>
      </c>
      <c r="E1418">
        <v>1</v>
      </c>
      <c r="F1418">
        <v>12</v>
      </c>
      <c r="G1418" s="1" t="s">
        <v>303</v>
      </c>
      <c r="H1418" s="17" t="s">
        <v>4068</v>
      </c>
      <c r="I1418" s="19"/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customHeight="1">
      <c r="A1419">
        <v>6119</v>
      </c>
      <c r="B1419">
        <f>IF(表1[[#This Row],[不调整offset]]="x",IFERROR(VLOOKUP(表1[[#This Row],[8:image]],常量!J:N,4,FALSE),0),0)</f>
        <v>0</v>
      </c>
      <c r="C1419">
        <f>IF(表1[[#This Row],[不调整offset]]="x",IFERROR(VLOOKUP(表1[[#This Row],[8:image]],常量!J:N,5,FALSE),0),0)</f>
        <v>0</v>
      </c>
      <c r="E1419">
        <v>1</v>
      </c>
      <c r="F1419">
        <v>12</v>
      </c>
      <c r="G1419" s="1" t="s">
        <v>1098</v>
      </c>
      <c r="H1419" s="17" t="s">
        <v>4069</v>
      </c>
      <c r="I1419" s="19"/>
      <c r="J1419" t="str">
        <f>IF(LEN(VLOOKUP(表1[[#This Row],[id]],数据引用!A:C,3,FALSE))&gt;0,VLOOKUP(表1[[#This Row],[id]],数据引用!A:C,3,FALSE),"")</f>
        <v>荆棘之冠</v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419" s="5"/>
    </row>
    <row r="1420" spans="1:16" ht="14.25" customHeight="1">
      <c r="A1420">
        <v>6120</v>
      </c>
      <c r="B1420">
        <f>IF(表1[[#This Row],[不调整offset]]="x",IFERROR(VLOOKUP(表1[[#This Row],[8:image]],常量!J:N,4,FALSE),0),0)</f>
        <v>0</v>
      </c>
      <c r="C1420">
        <f>IF(表1[[#This Row],[不调整offset]]="x",IFERROR(VLOOKUP(表1[[#This Row],[8:image]],常量!J:N,5,FALSE),0),0)</f>
        <v>0</v>
      </c>
      <c r="E1420">
        <v>1</v>
      </c>
      <c r="F1420">
        <v>12</v>
      </c>
      <c r="G1420" s="1" t="s">
        <v>1099</v>
      </c>
      <c r="H1420" s="17" t="s">
        <v>4070</v>
      </c>
      <c r="I1420" s="19"/>
      <c r="J1420" t="str">
        <f>IF(LEN(VLOOKUP(表1[[#This Row],[id]],数据引用!A:C,3,FALSE))&gt;0,VLOOKUP(表1[[#This Row],[id]],数据引用!A:C,3,FALSE),"")</f>
        <v>胆小鬼</v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420" s="5"/>
    </row>
    <row r="1421" spans="1:16" ht="14.25" customHeight="1">
      <c r="A1421">
        <v>6121</v>
      </c>
      <c r="B1421">
        <f>IF(表1[[#This Row],[不调整offset]]="x",IFERROR(VLOOKUP(表1[[#This Row],[8:image]],常量!J:N,4,FALSE),0),0)</f>
        <v>0</v>
      </c>
      <c r="C1421">
        <f>IF(表1[[#This Row],[不调整offset]]="x",IFERROR(VLOOKUP(表1[[#This Row],[8:image]],常量!J:N,5,FALSE),0),0)</f>
        <v>0</v>
      </c>
      <c r="E1421">
        <v>1</v>
      </c>
      <c r="F1421">
        <v>12</v>
      </c>
      <c r="G1421" s="1" t="s">
        <v>1100</v>
      </c>
      <c r="H1421" s="17" t="s">
        <v>4071</v>
      </c>
      <c r="I1421" s="19"/>
      <c r="J1421" t="str">
        <f>IF(LEN(VLOOKUP(表1[[#This Row],[id]],数据引用!A:C,3,FALSE))&gt;0,VLOOKUP(表1[[#This Row],[id]],数据引用!A:C,3,FALSE),"")</f>
        <v>贪婪</v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421" s="5"/>
    </row>
    <row r="1422" spans="1:16" ht="14.25" customHeight="1">
      <c r="A1422">
        <v>6122</v>
      </c>
      <c r="B1422">
        <f>IF(表1[[#This Row],[不调整offset]]="x",IFERROR(VLOOKUP(表1[[#This Row],[8:image]],常量!J:N,4,FALSE),0),0)</f>
        <v>0</v>
      </c>
      <c r="C1422">
        <f>IF(表1[[#This Row],[不调整offset]]="x",IFERROR(VLOOKUP(表1[[#This Row],[8:image]],常量!J:N,5,FALSE),0),0)</f>
        <v>0</v>
      </c>
      <c r="E1422">
        <v>1</v>
      </c>
      <c r="F1422">
        <v>12</v>
      </c>
      <c r="G1422" s="1" t="s">
        <v>1101</v>
      </c>
      <c r="H1422" s="17" t="s">
        <v>4072</v>
      </c>
      <c r="I1422" s="19"/>
      <c r="J1422" t="str">
        <f>IF(LEN(VLOOKUP(表1[[#This Row],[id]],数据引用!A:C,3,FALSE))&gt;0,VLOOKUP(表1[[#This Row],[id]],数据引用!A:C,3,FALSE),"")</f>
        <v>热煤</v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422" s="5"/>
    </row>
    <row r="1423" spans="1:16" ht="14.25" customHeight="1">
      <c r="A1423">
        <v>6123</v>
      </c>
      <c r="B1423">
        <f>IF(表1[[#This Row],[不调整offset]]="x",IFERROR(VLOOKUP(表1[[#This Row],[8:image]],常量!J:N,4,FALSE),0),0)</f>
        <v>0</v>
      </c>
      <c r="C1423">
        <f>IF(表1[[#This Row],[不调整offset]]="x",IFERROR(VLOOKUP(表1[[#This Row],[8:image]],常量!J:N,5,FALSE),0),0)</f>
        <v>0</v>
      </c>
      <c r="E1423">
        <v>1</v>
      </c>
      <c r="F1423">
        <v>12</v>
      </c>
      <c r="G1423" s="1" t="s">
        <v>1102</v>
      </c>
      <c r="H1423" s="17" t="s">
        <v>4073</v>
      </c>
      <c r="I1423" s="19"/>
      <c r="J1423" t="str">
        <f>IF(LEN(VLOOKUP(表1[[#This Row],[id]],数据引用!A:C,3,FALSE))&gt;0,VLOOKUP(表1[[#This Row],[id]],数据引用!A:C,3,FALSE),"")</f>
        <v>熔岩</v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423" s="5"/>
    </row>
    <row r="1424" spans="1:16" ht="14.25" customHeight="1">
      <c r="A1424">
        <v>6124</v>
      </c>
      <c r="B1424">
        <f>IF(表1[[#This Row],[不调整offset]]="x",IFERROR(VLOOKUP(表1[[#This Row],[8:image]],常量!J:N,4,FALSE),0),0)</f>
        <v>0</v>
      </c>
      <c r="C1424">
        <f>IF(表1[[#This Row],[不调整offset]]="x",IFERROR(VLOOKUP(表1[[#This Row],[8:image]],常量!J:N,5,FALSE),0),0)</f>
        <v>0</v>
      </c>
      <c r="E1424">
        <v>1</v>
      </c>
      <c r="F1424">
        <v>12</v>
      </c>
      <c r="G1424" s="1" t="s">
        <v>1103</v>
      </c>
      <c r="H1424" s="17" t="s">
        <v>4074</v>
      </c>
      <c r="I1424" s="19"/>
      <c r="J1424" t="str">
        <f>IF(LEN(VLOOKUP(表1[[#This Row],[id]],数据引用!A:C,3,FALSE))&gt;0,VLOOKUP(表1[[#This Row],[id]],数据引用!A:C,3,FALSE),"")</f>
        <v>Dorian的诅咒</v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424" s="5"/>
    </row>
    <row r="1425" spans="1:16" ht="14.25" customHeight="1">
      <c r="A1425">
        <v>6125</v>
      </c>
      <c r="B1425">
        <f>IF(表1[[#This Row],[不调整offset]]="x",IFERROR(VLOOKUP(表1[[#This Row],[8:image]],常量!J:N,4,FALSE),0),0)</f>
        <v>0</v>
      </c>
      <c r="C1425">
        <f>IF(表1[[#This Row],[不调整offset]]="x",IFERROR(VLOOKUP(表1[[#This Row],[8:image]],常量!J:N,5,FALSE),0),0)</f>
        <v>0</v>
      </c>
      <c r="E1425">
        <v>1</v>
      </c>
      <c r="F1425">
        <v>12</v>
      </c>
      <c r="G1425" s="1" t="s">
        <v>1104</v>
      </c>
      <c r="H1425" s="17" t="s">
        <v>4075</v>
      </c>
      <c r="I1425" s="19"/>
      <c r="J1425" t="str">
        <f>IF(LEN(VLOOKUP(表1[[#This Row],[id]],数据引用!A:C,3,FALSE))&gt;0,VLOOKUP(表1[[#This Row],[id]],数据引用!A:C,3,FALSE),"")</f>
        <v>推推怪</v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425" s="5"/>
    </row>
    <row r="1426" spans="1:16" ht="14.25" customHeight="1">
      <c r="A1426">
        <v>6126</v>
      </c>
      <c r="B1426">
        <f>IF(表1[[#This Row],[不调整offset]]="x",IFERROR(VLOOKUP(表1[[#This Row],[8:image]],常量!J:N,4,FALSE),0),0)</f>
        <v>0</v>
      </c>
      <c r="C1426">
        <f>IF(表1[[#This Row],[不调整offset]]="x",IFERROR(VLOOKUP(表1[[#This Row],[8:image]],常量!J:N,5,FALSE),0),0)</f>
        <v>0</v>
      </c>
      <c r="E1426">
        <v>1</v>
      </c>
      <c r="F1426">
        <v>12</v>
      </c>
      <c r="G1426" s="1" t="s">
        <v>1105</v>
      </c>
      <c r="H1426" s="17" t="s">
        <v>4076</v>
      </c>
      <c r="I1426" s="19"/>
      <c r="J1426" t="str">
        <f>IF(LEN(VLOOKUP(表1[[#This Row],[id]],数据引用!A:C,3,FALSE))&gt;0,VLOOKUP(表1[[#This Row],[id]],数据引用!A:C,3,FALSE),"")</f>
        <v>水晶砖块</v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426" s="5"/>
    </row>
    <row r="1427" spans="1:16" ht="14.25" customHeight="1">
      <c r="A1427">
        <v>6127</v>
      </c>
      <c r="B1427">
        <f>IF(表1[[#This Row],[不调整offset]]="x",IFERROR(VLOOKUP(表1[[#This Row],[8:image]],常量!J:N,4,FALSE),0),0)</f>
        <v>0</v>
      </c>
      <c r="C1427">
        <f>IF(表1[[#This Row],[不调整offset]]="x",IFERROR(VLOOKUP(表1[[#This Row],[8:image]],常量!J:N,5,FALSE),0),0)</f>
        <v>0</v>
      </c>
      <c r="E1427">
        <v>1</v>
      </c>
      <c r="F1427">
        <v>12</v>
      </c>
      <c r="G1427" s="1" t="s">
        <v>212</v>
      </c>
      <c r="H1427" s="17" t="s">
        <v>4077</v>
      </c>
      <c r="I1427" s="19"/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customHeight="1">
      <c r="A1428">
        <v>6128</v>
      </c>
      <c r="B1428">
        <f>IF(表1[[#This Row],[不调整offset]]="x",IFERROR(VLOOKUP(表1[[#This Row],[8:image]],常量!J:N,4,FALSE),0),0)</f>
        <v>0</v>
      </c>
      <c r="C1428">
        <f>IF(表1[[#This Row],[不调整offset]]="x",IFERROR(VLOOKUP(表1[[#This Row],[8:image]],常量!J:N,5,FALSE),0),0)</f>
        <v>0</v>
      </c>
      <c r="E1428">
        <v>1</v>
      </c>
      <c r="F1428">
        <v>12</v>
      </c>
      <c r="G1428" s="1" t="s">
        <v>210</v>
      </c>
      <c r="H1428" s="17" t="s">
        <v>4078</v>
      </c>
      <c r="I1428" s="19"/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customHeight="1">
      <c r="A1429">
        <v>6129</v>
      </c>
      <c r="B1429">
        <f>IF(表1[[#This Row],[不调整offset]]="x",IFERROR(VLOOKUP(表1[[#This Row],[8:image]],常量!J:N,4,FALSE),0),0)</f>
        <v>0</v>
      </c>
      <c r="C1429">
        <f>IF(表1[[#This Row],[不调整offset]]="x",IFERROR(VLOOKUP(表1[[#This Row],[8:image]],常量!J:N,5,FALSE),0),0)</f>
        <v>0</v>
      </c>
      <c r="E1429">
        <v>1</v>
      </c>
      <c r="F1429">
        <v>12</v>
      </c>
      <c r="G1429" s="1" t="s">
        <v>206</v>
      </c>
      <c r="H1429" s="17" t="s">
        <v>4079</v>
      </c>
      <c r="I1429" s="19"/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customHeight="1">
      <c r="A1430">
        <v>6130</v>
      </c>
      <c r="B1430">
        <f>IF(表1[[#This Row],[不调整offset]]="x",IFERROR(VLOOKUP(表1[[#This Row],[8:image]],常量!J:N,4,FALSE),0),0)</f>
        <v>0</v>
      </c>
      <c r="C1430">
        <f>IF(表1[[#This Row],[不调整offset]]="x",IFERROR(VLOOKUP(表1[[#This Row],[8:image]],常量!J:N,5,FALSE),0),0)</f>
        <v>0</v>
      </c>
      <c r="E1430">
        <v>1</v>
      </c>
      <c r="F1430">
        <v>12</v>
      </c>
      <c r="G1430" s="1" t="s">
        <v>1106</v>
      </c>
      <c r="H1430" s="17" t="s">
        <v>4080</v>
      </c>
      <c r="I1430" s="19"/>
      <c r="J1430" t="str">
        <f>IF(LEN(VLOOKUP(表1[[#This Row],[id]],数据引用!A:C,3,FALSE))&gt;0,VLOOKUP(表1[[#This Row],[id]],数据引用!A:C,3,FALSE),"")</f>
        <v>陷阱墙</v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430" s="5"/>
    </row>
    <row r="1431" spans="1:16" ht="14.25" customHeight="1">
      <c r="A1431">
        <v>6131</v>
      </c>
      <c r="B1431">
        <f>IF(表1[[#This Row],[不调整offset]]="x",IFERROR(VLOOKUP(表1[[#This Row],[8:image]],常量!J:N,4,FALSE),0),0)</f>
        <v>0</v>
      </c>
      <c r="C1431">
        <f>IF(表1[[#This Row],[不调整offset]]="x",IFERROR(VLOOKUP(表1[[#This Row],[8:image]],常量!J:N,5,FALSE),0),0)</f>
        <v>0</v>
      </c>
      <c r="E1431">
        <v>1</v>
      </c>
      <c r="F1431">
        <v>12</v>
      </c>
      <c r="G1431" s="1" t="s">
        <v>265</v>
      </c>
      <c r="H1431" s="17" t="s">
        <v>4081</v>
      </c>
      <c r="I1431" s="19"/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customHeight="1">
      <c r="A1432">
        <v>6132</v>
      </c>
      <c r="B1432">
        <f>IF(表1[[#This Row],[不调整offset]]="x",IFERROR(VLOOKUP(表1[[#This Row],[8:image]],常量!J:N,4,FALSE),0),0)</f>
        <v>0</v>
      </c>
      <c r="C1432">
        <f>IF(表1[[#This Row],[不调整offset]]="x",IFERROR(VLOOKUP(表1[[#This Row],[8:image]],常量!J:N,5,FALSE),0),0)</f>
        <v>0</v>
      </c>
      <c r="E1432">
        <v>1</v>
      </c>
      <c r="F1432">
        <v>12</v>
      </c>
      <c r="G1432" s="1" t="s">
        <v>1107</v>
      </c>
      <c r="H1432" s="16" t="s">
        <v>4082</v>
      </c>
      <c r="I1432" s="19"/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IF(表1[[#This Row],[不调整offset]]="x",IFERROR(VLOOKUP(表1[[#This Row],[8:image]],常量!J:N,4,FALSE),0),0)</f>
        <v>0</v>
      </c>
      <c r="C1433">
        <f>IF(表1[[#This Row],[不调整offset]]="x",IFERROR(VLOOKUP(表1[[#This Row],[8:image]],常量!J:N,5,FALSE),0),0)</f>
        <v>0</v>
      </c>
      <c r="E1433">
        <v>1</v>
      </c>
      <c r="F1433">
        <v>12</v>
      </c>
      <c r="G1433" s="1" t="s">
        <v>1108</v>
      </c>
      <c r="H1433" s="17" t="s">
        <v>4083</v>
      </c>
      <c r="I1433" s="19"/>
      <c r="J1433" t="str">
        <f>IF(LEN(VLOOKUP(表1[[#This Row],[id]],数据引用!A:C,3,FALSE))&gt;0,VLOOKUP(表1[[#This Row],[id]],数据引用!A:C,3,FALSE),"")</f>
        <v>灰色推推怪</v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433" s="5"/>
    </row>
    <row r="1434" spans="1:16" ht="14.25" customHeight="1">
      <c r="A1434">
        <v>6134</v>
      </c>
      <c r="B1434">
        <f>IF(表1[[#This Row],[不调整offset]]="x",IFERROR(VLOOKUP(表1[[#This Row],[8:image]],常量!J:N,4,FALSE),0),0)</f>
        <v>0</v>
      </c>
      <c r="C1434">
        <f>IF(表1[[#This Row],[不调整offset]]="x",IFERROR(VLOOKUP(表1[[#This Row],[8:image]],常量!J:N,5,FALSE),0),0)</f>
        <v>0</v>
      </c>
      <c r="E1434">
        <v>1</v>
      </c>
      <c r="F1434">
        <v>12</v>
      </c>
      <c r="G1434" s="1" t="s">
        <v>691</v>
      </c>
      <c r="H1434" s="17" t="s">
        <v>4084</v>
      </c>
      <c r="I1434" s="19"/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customHeight="1">
      <c r="A1435">
        <v>6135</v>
      </c>
      <c r="B1435">
        <f>IF(表1[[#This Row],[不调整offset]]="x",IFERROR(VLOOKUP(表1[[#This Row],[8:image]],常量!J:N,4,FALSE),0),0)</f>
        <v>0</v>
      </c>
      <c r="C1435">
        <f>IF(表1[[#This Row],[不调整offset]]="x",IFERROR(VLOOKUP(表1[[#This Row],[8:image]],常量!J:N,5,FALSE),0),0)</f>
        <v>0</v>
      </c>
      <c r="E1435">
        <v>1</v>
      </c>
      <c r="F1435">
        <v>12</v>
      </c>
      <c r="G1435" s="1" t="s">
        <v>261</v>
      </c>
      <c r="H1435" s="17" t="s">
        <v>4085</v>
      </c>
      <c r="I1435" s="19"/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customHeight="1">
      <c r="A1436">
        <v>5000</v>
      </c>
      <c r="B1436">
        <f>IF(表1[[#This Row],[不调整offset]]="x",IFERROR(VLOOKUP(表1[[#This Row],[8:image]],常量!J:N,4,FALSE),0),0)</f>
        <v>0</v>
      </c>
      <c r="C1436">
        <f>IF(表1[[#This Row],[不调整offset]]="x",IFERROR(VLOOKUP(表1[[#This Row],[8:image]],常量!J:N,5,FALSE),0),0)</f>
        <v>0</v>
      </c>
      <c r="E1436" t="s">
        <v>2587</v>
      </c>
      <c r="F1436">
        <v>6</v>
      </c>
      <c r="G1436" s="8" t="s">
        <v>852</v>
      </c>
      <c r="H1436" s="16" t="s">
        <v>4086</v>
      </c>
      <c r="I1436" s="16" t="s">
        <v>4550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customHeight="1">
      <c r="A1437">
        <v>5001</v>
      </c>
      <c r="B1437">
        <f>IF(表1[[#This Row],[不调整offset]]="x",IFERROR(VLOOKUP(表1[[#This Row],[8:image]],常量!J:N,4,FALSE),0),0)</f>
        <v>0</v>
      </c>
      <c r="C1437">
        <f>IF(表1[[#This Row],[不调整offset]]="x",IFERROR(VLOOKUP(表1[[#This Row],[8:image]],常量!J:N,5,FALSE),0),0)</f>
        <v>0</v>
      </c>
      <c r="E1437" t="s">
        <v>2587</v>
      </c>
      <c r="F1437">
        <v>6</v>
      </c>
      <c r="G1437" s="8" t="s">
        <v>1109</v>
      </c>
      <c r="H1437" s="16" t="s">
        <v>4087</v>
      </c>
      <c r="I1437" s="16" t="s">
        <v>4551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customHeight="1">
      <c r="A1438">
        <v>5002</v>
      </c>
      <c r="B1438">
        <f>IF(表1[[#This Row],[不调整offset]]="x",IFERROR(VLOOKUP(表1[[#This Row],[8:image]],常量!J:N,4,FALSE),0),0)</f>
        <v>0</v>
      </c>
      <c r="C1438">
        <f>IF(表1[[#This Row],[不调整offset]]="x",IFERROR(VLOOKUP(表1[[#This Row],[8:image]],常量!J:N,5,FALSE),0),0)</f>
        <v>0</v>
      </c>
      <c r="E1438" t="s">
        <v>2587</v>
      </c>
      <c r="F1438">
        <v>6</v>
      </c>
      <c r="G1438" s="8" t="s">
        <v>1110</v>
      </c>
      <c r="H1438" s="16" t="s">
        <v>4088</v>
      </c>
      <c r="I1438" s="16" t="s">
        <v>4552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customHeight="1">
      <c r="A1439">
        <v>5003</v>
      </c>
      <c r="B1439">
        <f>IF(表1[[#This Row],[不调整offset]]="x",IFERROR(VLOOKUP(表1[[#This Row],[8:image]],常量!J:N,4,FALSE),0),0)</f>
        <v>0</v>
      </c>
      <c r="C1439">
        <f>IF(表1[[#This Row],[不调整offset]]="x",IFERROR(VLOOKUP(表1[[#This Row],[8:image]],常量!J:N,5,FALSE),0),0)</f>
        <v>0</v>
      </c>
      <c r="E1439" t="s">
        <v>2587</v>
      </c>
      <c r="F1439">
        <v>6</v>
      </c>
      <c r="G1439" s="8" t="s">
        <v>1111</v>
      </c>
      <c r="H1439" s="16" t="s">
        <v>4089</v>
      </c>
      <c r="I1439" s="16" t="s">
        <v>4553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customHeight="1">
      <c r="A1440">
        <v>5004</v>
      </c>
      <c r="B1440">
        <f>IF(表1[[#This Row],[不调整offset]]="x",IFERROR(VLOOKUP(表1[[#This Row],[8:image]],常量!J:N,4,FALSE),0),0)</f>
        <v>0</v>
      </c>
      <c r="C1440">
        <f>IF(表1[[#This Row],[不调整offset]]="x",IFERROR(VLOOKUP(表1[[#This Row],[8:image]],常量!J:N,5,FALSE),0),0)</f>
        <v>0</v>
      </c>
      <c r="E1440" t="s">
        <v>2587</v>
      </c>
      <c r="F1440">
        <v>6</v>
      </c>
      <c r="G1440" s="8" t="s">
        <v>1112</v>
      </c>
      <c r="H1440" s="16" t="s">
        <v>4090</v>
      </c>
      <c r="I1440" s="16" t="s">
        <v>4554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customHeight="1">
      <c r="A1441">
        <v>5005</v>
      </c>
      <c r="B1441">
        <f>IF(表1[[#This Row],[不调整offset]]="x",IFERROR(VLOOKUP(表1[[#This Row],[8:image]],常量!J:N,4,FALSE),0),0)</f>
        <v>0</v>
      </c>
      <c r="C1441">
        <f>IF(表1[[#This Row],[不调整offset]]="x",IFERROR(VLOOKUP(表1[[#This Row],[8:image]],常量!J:N,5,FALSE),0),0)</f>
        <v>0</v>
      </c>
      <c r="E1441" t="s">
        <v>2587</v>
      </c>
      <c r="F1441">
        <v>6</v>
      </c>
      <c r="G1441" s="8" t="s">
        <v>1113</v>
      </c>
      <c r="H1441" s="16" t="s">
        <v>4091</v>
      </c>
      <c r="I1441" s="16" t="s">
        <v>4555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customHeight="1">
      <c r="A1442">
        <v>5006</v>
      </c>
      <c r="B1442">
        <f>IF(表1[[#This Row],[不调整offset]]="x",IFERROR(VLOOKUP(表1[[#This Row],[8:image]],常量!J:N,4,FALSE),0),0)</f>
        <v>0</v>
      </c>
      <c r="C1442">
        <f>IF(表1[[#This Row],[不调整offset]]="x",IFERROR(VLOOKUP(表1[[#This Row],[8:image]],常量!J:N,5,FALSE),0),0)</f>
        <v>0</v>
      </c>
      <c r="E1442" t="s">
        <v>2587</v>
      </c>
      <c r="F1442">
        <v>6</v>
      </c>
      <c r="G1442" s="8" t="s">
        <v>1114</v>
      </c>
      <c r="H1442" s="16" t="s">
        <v>4092</v>
      </c>
      <c r="I1442" s="16" t="s">
        <v>4556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customHeight="1">
      <c r="A1443">
        <v>5007</v>
      </c>
      <c r="B1443">
        <f>IF(表1[[#This Row],[不调整offset]]="x",IFERROR(VLOOKUP(表1[[#This Row],[8:image]],常量!J:N,4,FALSE),0),0)</f>
        <v>0</v>
      </c>
      <c r="C1443">
        <f>IF(表1[[#This Row],[不调整offset]]="x",IFERROR(VLOOKUP(表1[[#This Row],[8:image]],常量!J:N,5,FALSE),0),0)</f>
        <v>0</v>
      </c>
      <c r="E1443" t="s">
        <v>2587</v>
      </c>
      <c r="F1443">
        <v>6</v>
      </c>
      <c r="G1443" s="8" t="s">
        <v>1115</v>
      </c>
      <c r="H1443" s="16" t="s">
        <v>4093</v>
      </c>
      <c r="I1443" s="16" t="s">
        <v>4557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customHeight="1">
      <c r="A1444">
        <v>5008</v>
      </c>
      <c r="B1444">
        <f>IF(表1[[#This Row],[不调整offset]]="x",IFERROR(VLOOKUP(表1[[#This Row],[8:image]],常量!J:N,4,FALSE),0),0)</f>
        <v>0</v>
      </c>
      <c r="C1444">
        <f>IF(表1[[#This Row],[不调整offset]]="x",IFERROR(VLOOKUP(表1[[#This Row],[8:image]],常量!J:N,5,FALSE),0),0)</f>
        <v>0</v>
      </c>
      <c r="E1444" t="s">
        <v>2587</v>
      </c>
      <c r="F1444">
        <v>6</v>
      </c>
      <c r="G1444" s="8" t="s">
        <v>1116</v>
      </c>
      <c r="H1444" s="16" t="s">
        <v>4094</v>
      </c>
      <c r="I1444" s="16" t="s">
        <v>4558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customHeight="1">
      <c r="A1445">
        <v>5009</v>
      </c>
      <c r="B1445">
        <f>IF(表1[[#This Row],[不调整offset]]="x",IFERROR(VLOOKUP(表1[[#This Row],[8:image]],常量!J:N,4,FALSE),0),0)</f>
        <v>0</v>
      </c>
      <c r="C1445">
        <f>IF(表1[[#This Row],[不调整offset]]="x",IFERROR(VLOOKUP(表1[[#This Row],[8:image]],常量!J:N,5,FALSE),0),0)</f>
        <v>0</v>
      </c>
      <c r="E1445" t="s">
        <v>2587</v>
      </c>
      <c r="F1445">
        <v>6</v>
      </c>
      <c r="G1445" s="8" t="s">
        <v>1117</v>
      </c>
      <c r="H1445" s="16" t="s">
        <v>4095</v>
      </c>
      <c r="I1445" s="16" t="s">
        <v>4559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customHeight="1">
      <c r="A1446">
        <v>5010</v>
      </c>
      <c r="B1446">
        <f>IF(表1[[#This Row],[不调整offset]]="x",IFERROR(VLOOKUP(表1[[#This Row],[8:image]],常量!J:N,4,FALSE),0),0)</f>
        <v>0</v>
      </c>
      <c r="C1446">
        <f>IF(表1[[#This Row],[不调整offset]]="x",IFERROR(VLOOKUP(表1[[#This Row],[8:image]],常量!J:N,5,FALSE),0),0)</f>
        <v>0</v>
      </c>
      <c r="E1446" t="s">
        <v>2587</v>
      </c>
      <c r="F1446">
        <v>6</v>
      </c>
      <c r="G1446" s="8" t="s">
        <v>1118</v>
      </c>
      <c r="H1446" s="16" t="s">
        <v>4096</v>
      </c>
      <c r="I1446" s="16" t="s">
        <v>4560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customHeight="1">
      <c r="A1447">
        <v>5011</v>
      </c>
      <c r="B1447">
        <f>IF(表1[[#This Row],[不调整offset]]="x",IFERROR(VLOOKUP(表1[[#This Row],[8:image]],常量!J:N,4,FALSE),0),0)</f>
        <v>0</v>
      </c>
      <c r="C1447">
        <f>IF(表1[[#This Row],[不调整offset]]="x",IFERROR(VLOOKUP(表1[[#This Row],[8:image]],常量!J:N,5,FALSE),0),0)</f>
        <v>0</v>
      </c>
      <c r="E1447" t="s">
        <v>2587</v>
      </c>
      <c r="F1447">
        <v>6</v>
      </c>
      <c r="G1447" s="8" t="s">
        <v>1119</v>
      </c>
      <c r="H1447" s="16" t="s">
        <v>4097</v>
      </c>
      <c r="I1447" s="16" t="s">
        <v>4561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customHeight="1">
      <c r="A1448">
        <v>5012</v>
      </c>
      <c r="B1448">
        <f>IF(表1[[#This Row],[不调整offset]]="x",IFERROR(VLOOKUP(表1[[#This Row],[8:image]],常量!J:N,4,FALSE),0),0)</f>
        <v>0</v>
      </c>
      <c r="C1448">
        <f>IF(表1[[#This Row],[不调整offset]]="x",IFERROR(VLOOKUP(表1[[#This Row],[8:image]],常量!J:N,5,FALSE),0),0)</f>
        <v>0</v>
      </c>
      <c r="E1448" t="s">
        <v>2587</v>
      </c>
      <c r="F1448">
        <v>6</v>
      </c>
      <c r="G1448" s="8" t="s">
        <v>1120</v>
      </c>
      <c r="H1448" s="16" t="s">
        <v>4098</v>
      </c>
      <c r="I1448" s="16" t="s">
        <v>4562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customHeight="1">
      <c r="A1449">
        <v>5013</v>
      </c>
      <c r="B1449">
        <f>IF(表1[[#This Row],[不调整offset]]="x",IFERROR(VLOOKUP(表1[[#This Row],[8:image]],常量!J:N,4,FALSE),0),0)</f>
        <v>0</v>
      </c>
      <c r="C1449">
        <f>IF(表1[[#This Row],[不调整offset]]="x",IFERROR(VLOOKUP(表1[[#This Row],[8:image]],常量!J:N,5,FALSE),0),0)</f>
        <v>0</v>
      </c>
      <c r="E1449" t="s">
        <v>2587</v>
      </c>
      <c r="F1449">
        <v>6</v>
      </c>
      <c r="G1449" s="8" t="s">
        <v>1121</v>
      </c>
      <c r="H1449" s="16" t="s">
        <v>4099</v>
      </c>
      <c r="I1449" s="16" t="s">
        <v>4563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customHeight="1">
      <c r="A1450">
        <v>5014</v>
      </c>
      <c r="B1450">
        <f>IF(表1[[#This Row],[不调整offset]]="x",IFERROR(VLOOKUP(表1[[#This Row],[8:image]],常量!J:N,4,FALSE),0),0)</f>
        <v>0</v>
      </c>
      <c r="C1450">
        <f>IF(表1[[#This Row],[不调整offset]]="x",IFERROR(VLOOKUP(表1[[#This Row],[8:image]],常量!J:N,5,FALSE),0),0)</f>
        <v>0</v>
      </c>
      <c r="E1450" t="s">
        <v>2587</v>
      </c>
      <c r="F1450">
        <v>6</v>
      </c>
      <c r="G1450" s="8" t="s">
        <v>730</v>
      </c>
      <c r="H1450" s="16" t="s">
        <v>4100</v>
      </c>
      <c r="I1450" s="16" t="s">
        <v>4564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customHeight="1">
      <c r="A1451">
        <v>5015</v>
      </c>
      <c r="B1451">
        <f>IF(表1[[#This Row],[不调整offset]]="x",IFERROR(VLOOKUP(表1[[#This Row],[8:image]],常量!J:N,4,FALSE),0),0)</f>
        <v>0</v>
      </c>
      <c r="C1451">
        <f>IF(表1[[#This Row],[不调整offset]]="x",IFERROR(VLOOKUP(表1[[#This Row],[8:image]],常量!J:N,5,FALSE),0),0)</f>
        <v>0</v>
      </c>
      <c r="E1451" t="s">
        <v>2587</v>
      </c>
      <c r="F1451">
        <v>6</v>
      </c>
      <c r="G1451" s="8" t="s">
        <v>727</v>
      </c>
      <c r="H1451" s="16" t="s">
        <v>4101</v>
      </c>
      <c r="I1451" s="16" t="s">
        <v>4565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customHeight="1">
      <c r="A1452">
        <v>5016</v>
      </c>
      <c r="B1452">
        <f>IF(表1[[#This Row],[不调整offset]]="x",IFERROR(VLOOKUP(表1[[#This Row],[8:image]],常量!J:N,4,FALSE),0),0)</f>
        <v>0</v>
      </c>
      <c r="C1452">
        <f>IF(表1[[#This Row],[不调整offset]]="x",IFERROR(VLOOKUP(表1[[#This Row],[8:image]],常量!J:N,5,FALSE),0),0)</f>
        <v>0</v>
      </c>
      <c r="E1452" t="s">
        <v>2587</v>
      </c>
      <c r="F1452">
        <v>6</v>
      </c>
      <c r="G1452" s="8" t="s">
        <v>728</v>
      </c>
      <c r="H1452" s="16" t="s">
        <v>4102</v>
      </c>
      <c r="I1452" s="16" t="s">
        <v>4566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customHeight="1">
      <c r="A1453">
        <v>5017</v>
      </c>
      <c r="B1453">
        <f>IF(表1[[#This Row],[不调整offset]]="x",IFERROR(VLOOKUP(表1[[#This Row],[8:image]],常量!J:N,4,FALSE),0),0)</f>
        <v>0</v>
      </c>
      <c r="C1453">
        <f>IF(表1[[#This Row],[不调整offset]]="x",IFERROR(VLOOKUP(表1[[#This Row],[8:image]],常量!J:N,5,FALSE),0),0)</f>
        <v>0</v>
      </c>
      <c r="E1453" t="s">
        <v>2587</v>
      </c>
      <c r="F1453">
        <v>6</v>
      </c>
      <c r="G1453" s="8" t="s">
        <v>729</v>
      </c>
      <c r="H1453" s="16" t="s">
        <v>4103</v>
      </c>
      <c r="I1453" s="16" t="s">
        <v>4567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customHeight="1">
      <c r="A1454">
        <v>5018</v>
      </c>
      <c r="B1454">
        <f>IF(表1[[#This Row],[不调整offset]]="x",IFERROR(VLOOKUP(表1[[#This Row],[8:image]],常量!J:N,4,FALSE),0),0)</f>
        <v>0</v>
      </c>
      <c r="C1454">
        <f>IF(表1[[#This Row],[不调整offset]]="x",IFERROR(VLOOKUP(表1[[#This Row],[8:image]],常量!J:N,5,FALSE),0),0)</f>
        <v>0</v>
      </c>
      <c r="E1454" t="s">
        <v>2587</v>
      </c>
      <c r="F1454">
        <v>6</v>
      </c>
      <c r="G1454" s="8" t="s">
        <v>1122</v>
      </c>
      <c r="H1454" s="16" t="s">
        <v>4104</v>
      </c>
      <c r="I1454" s="16" t="s">
        <v>4568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customHeight="1">
      <c r="A1455">
        <v>5019</v>
      </c>
      <c r="B1455">
        <f>IF(表1[[#This Row],[不调整offset]]="x",IFERROR(VLOOKUP(表1[[#This Row],[8:image]],常量!J:N,4,FALSE),0),0)</f>
        <v>0</v>
      </c>
      <c r="C1455">
        <f>IF(表1[[#This Row],[不调整offset]]="x",IFERROR(VLOOKUP(表1[[#This Row],[8:image]],常量!J:N,5,FALSE),0),0)</f>
        <v>0</v>
      </c>
      <c r="E1455" t="s">
        <v>2587</v>
      </c>
      <c r="F1455">
        <v>6</v>
      </c>
      <c r="G1455" s="8" t="s">
        <v>1123</v>
      </c>
      <c r="H1455" s="16" t="s">
        <v>4105</v>
      </c>
      <c r="I1455" s="16" t="s">
        <v>4569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customHeight="1">
      <c r="A1456">
        <v>5020</v>
      </c>
      <c r="B1456">
        <f>IF(表1[[#This Row],[不调整offset]]="x",IFERROR(VLOOKUP(表1[[#This Row],[8:image]],常量!J:N,4,FALSE),0),0)</f>
        <v>0</v>
      </c>
      <c r="C1456">
        <f>IF(表1[[#This Row],[不调整offset]]="x",IFERROR(VLOOKUP(表1[[#This Row],[8:image]],常量!J:N,5,FALSE),0),0)</f>
        <v>0</v>
      </c>
      <c r="E1456" t="s">
        <v>2587</v>
      </c>
      <c r="F1456">
        <v>6</v>
      </c>
      <c r="G1456" s="8" t="s">
        <v>1124</v>
      </c>
      <c r="H1456" s="16" t="s">
        <v>4106</v>
      </c>
      <c r="I1456" s="16" t="s">
        <v>4570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customHeight="1">
      <c r="A1457">
        <v>5021</v>
      </c>
      <c r="B1457">
        <f>IF(表1[[#This Row],[不调整offset]]="x",IFERROR(VLOOKUP(表1[[#This Row],[8:image]],常量!J:N,4,FALSE),0),0)</f>
        <v>0</v>
      </c>
      <c r="C1457">
        <f>IF(表1[[#This Row],[不调整offset]]="x",IFERROR(VLOOKUP(表1[[#This Row],[8:image]],常量!J:N,5,FALSE),0),0)</f>
        <v>0</v>
      </c>
      <c r="E1457" t="s">
        <v>2587</v>
      </c>
      <c r="F1457">
        <v>6</v>
      </c>
      <c r="G1457" s="8" t="s">
        <v>1125</v>
      </c>
      <c r="H1457" s="16" t="s">
        <v>4107</v>
      </c>
      <c r="I1457" s="16" t="s">
        <v>4571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customHeight="1">
      <c r="A1458">
        <v>5022</v>
      </c>
      <c r="B1458">
        <f>IF(表1[[#This Row],[不调整offset]]="x",IFERROR(VLOOKUP(表1[[#This Row],[8:image]],常量!J:N,4,FALSE),0),0)</f>
        <v>0</v>
      </c>
      <c r="C1458">
        <f>IF(表1[[#This Row],[不调整offset]]="x",IFERROR(VLOOKUP(表1[[#This Row],[8:image]],常量!J:N,5,FALSE),0),0)</f>
        <v>0</v>
      </c>
      <c r="E1458" t="s">
        <v>2587</v>
      </c>
      <c r="F1458">
        <v>6</v>
      </c>
      <c r="G1458" s="8" t="s">
        <v>1126</v>
      </c>
      <c r="H1458" s="16" t="s">
        <v>4108</v>
      </c>
      <c r="I1458" s="16" t="s">
        <v>4572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customHeight="1">
      <c r="A1459">
        <v>5023</v>
      </c>
      <c r="B1459">
        <f>IF(表1[[#This Row],[不调整offset]]="x",IFERROR(VLOOKUP(表1[[#This Row],[8:image]],常量!J:N,4,FALSE),0),0)</f>
        <v>0</v>
      </c>
      <c r="C1459">
        <f>IF(表1[[#This Row],[不调整offset]]="x",IFERROR(VLOOKUP(表1[[#This Row],[8:image]],常量!J:N,5,FALSE),0),0)</f>
        <v>0</v>
      </c>
      <c r="E1459" t="s">
        <v>2587</v>
      </c>
      <c r="F1459">
        <v>6</v>
      </c>
      <c r="G1459" s="8" t="s">
        <v>1127</v>
      </c>
      <c r="H1459" s="16" t="s">
        <v>4109</v>
      </c>
      <c r="I1459" s="16" t="s">
        <v>4573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customHeight="1">
      <c r="A1460">
        <v>5024</v>
      </c>
      <c r="B1460">
        <f>IF(表1[[#This Row],[不调整offset]]="x",IFERROR(VLOOKUP(表1[[#This Row],[8:image]],常量!J:N,4,FALSE),0),0)</f>
        <v>0</v>
      </c>
      <c r="C1460">
        <f>IF(表1[[#This Row],[不调整offset]]="x",IFERROR(VLOOKUP(表1[[#This Row],[8:image]],常量!J:N,5,FALSE),0),0)</f>
        <v>0</v>
      </c>
      <c r="E1460" t="s">
        <v>2587</v>
      </c>
      <c r="F1460">
        <v>6</v>
      </c>
      <c r="G1460" s="8" t="s">
        <v>1128</v>
      </c>
      <c r="H1460" s="16" t="s">
        <v>4110</v>
      </c>
      <c r="I1460" s="16" t="s">
        <v>4574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customHeight="1">
      <c r="A1461">
        <v>5025</v>
      </c>
      <c r="B1461">
        <f>IF(表1[[#This Row],[不调整offset]]="x",IFERROR(VLOOKUP(表1[[#This Row],[8:image]],常量!J:N,4,FALSE),0),0)</f>
        <v>0</v>
      </c>
      <c r="C1461">
        <f>IF(表1[[#This Row],[不调整offset]]="x",IFERROR(VLOOKUP(表1[[#This Row],[8:image]],常量!J:N,5,FALSE),0),0)</f>
        <v>0</v>
      </c>
      <c r="E1461" t="s">
        <v>2587</v>
      </c>
      <c r="F1461">
        <v>6</v>
      </c>
      <c r="G1461" s="8" t="s">
        <v>1129</v>
      </c>
      <c r="H1461" s="16" t="s">
        <v>4111</v>
      </c>
      <c r="I1461" s="16" t="s">
        <v>4575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customHeight="1">
      <c r="A1462">
        <v>5026</v>
      </c>
      <c r="B1462">
        <f>IF(表1[[#This Row],[不调整offset]]="x",IFERROR(VLOOKUP(表1[[#This Row],[8:image]],常量!J:N,4,FALSE),0),0)</f>
        <v>0</v>
      </c>
      <c r="C1462">
        <f>IF(表1[[#This Row],[不调整offset]]="x",IFERROR(VLOOKUP(表1[[#This Row],[8:image]],常量!J:N,5,FALSE),0),0)</f>
        <v>0</v>
      </c>
      <c r="E1462" t="s">
        <v>2587</v>
      </c>
      <c r="F1462">
        <v>6</v>
      </c>
      <c r="G1462" s="8" t="s">
        <v>1130</v>
      </c>
      <c r="H1462" s="16" t="s">
        <v>4112</v>
      </c>
      <c r="I1462" s="16" t="s">
        <v>4576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customHeight="1">
      <c r="A1463">
        <v>5027</v>
      </c>
      <c r="B1463">
        <f>IF(表1[[#This Row],[不调整offset]]="x",IFERROR(VLOOKUP(表1[[#This Row],[8:image]],常量!J:N,4,FALSE),0),0)</f>
        <v>0</v>
      </c>
      <c r="C1463">
        <f>IF(表1[[#This Row],[不调整offset]]="x",IFERROR(VLOOKUP(表1[[#This Row],[8:image]],常量!J:N,5,FALSE),0),0)</f>
        <v>0</v>
      </c>
      <c r="E1463" t="s">
        <v>2587</v>
      </c>
      <c r="F1463">
        <v>6</v>
      </c>
      <c r="G1463" s="8" t="s">
        <v>1131</v>
      </c>
      <c r="H1463" s="16" t="s">
        <v>4113</v>
      </c>
      <c r="I1463" s="16" t="s">
        <v>4577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customHeight="1">
      <c r="A1464">
        <v>5028</v>
      </c>
      <c r="B1464">
        <f>IF(表1[[#This Row],[不调整offset]]="x",IFERROR(VLOOKUP(表1[[#This Row],[8:image]],常量!J:N,4,FALSE),0),0)</f>
        <v>0</v>
      </c>
      <c r="C1464">
        <f>IF(表1[[#This Row],[不调整offset]]="x",IFERROR(VLOOKUP(表1[[#This Row],[8:image]],常量!J:N,5,FALSE),0),0)</f>
        <v>0</v>
      </c>
      <c r="E1464" t="s">
        <v>2587</v>
      </c>
      <c r="F1464">
        <v>6</v>
      </c>
      <c r="G1464" s="8" t="s">
        <v>1132</v>
      </c>
      <c r="H1464" s="16" t="s">
        <v>4114</v>
      </c>
      <c r="I1464" s="16" t="s">
        <v>4578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customHeight="1">
      <c r="A1465">
        <v>5029</v>
      </c>
      <c r="B1465">
        <f>IF(表1[[#This Row],[不调整offset]]="x",IFERROR(VLOOKUP(表1[[#This Row],[8:image]],常量!J:N,4,FALSE),0),0)</f>
        <v>0</v>
      </c>
      <c r="C1465">
        <f>IF(表1[[#This Row],[不调整offset]]="x",IFERROR(VLOOKUP(表1[[#This Row],[8:image]],常量!J:N,5,FALSE),0),0)</f>
        <v>0</v>
      </c>
      <c r="E1465" t="s">
        <v>2587</v>
      </c>
      <c r="F1465">
        <v>6</v>
      </c>
      <c r="G1465" s="8" t="s">
        <v>1133</v>
      </c>
      <c r="H1465" s="16" t="s">
        <v>4115</v>
      </c>
      <c r="I1465" s="16" t="s">
        <v>4579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customHeight="1">
      <c r="A1466">
        <v>5030</v>
      </c>
      <c r="B1466">
        <f>IF(表1[[#This Row],[不调整offset]]="x",IFERROR(VLOOKUP(表1[[#This Row],[8:image]],常量!J:N,4,FALSE),0),0)</f>
        <v>0</v>
      </c>
      <c r="C1466">
        <f>IF(表1[[#This Row],[不调整offset]]="x",IFERROR(VLOOKUP(表1[[#This Row],[8:image]],常量!J:N,5,FALSE),0),0)</f>
        <v>0</v>
      </c>
      <c r="E1466" t="s">
        <v>2587</v>
      </c>
      <c r="F1466">
        <v>6</v>
      </c>
      <c r="G1466" s="8" t="s">
        <v>1134</v>
      </c>
      <c r="H1466" s="16" t="s">
        <v>4116</v>
      </c>
      <c r="I1466" s="16" t="s">
        <v>4580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customHeight="1">
      <c r="A1467">
        <v>5031</v>
      </c>
      <c r="B1467">
        <f>IF(表1[[#This Row],[不调整offset]]="x",IFERROR(VLOOKUP(表1[[#This Row],[8:image]],常量!J:N,4,FALSE),0),0)</f>
        <v>0</v>
      </c>
      <c r="C1467">
        <f>IF(表1[[#This Row],[不调整offset]]="x",IFERROR(VLOOKUP(表1[[#This Row],[8:image]],常量!J:N,5,FALSE),0),0)</f>
        <v>0</v>
      </c>
      <c r="E1467" t="s">
        <v>2587</v>
      </c>
      <c r="F1467">
        <v>6</v>
      </c>
      <c r="G1467" s="8" t="s">
        <v>1135</v>
      </c>
      <c r="H1467" s="16" t="s">
        <v>4117</v>
      </c>
      <c r="I1467" s="16" t="s">
        <v>4581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customHeight="1">
      <c r="A1468">
        <v>5032</v>
      </c>
      <c r="B1468">
        <f>IF(表1[[#This Row],[不调整offset]]="x",IFERROR(VLOOKUP(表1[[#This Row],[8:image]],常量!J:N,4,FALSE),0),0)</f>
        <v>0</v>
      </c>
      <c r="C1468">
        <f>IF(表1[[#This Row],[不调整offset]]="x",IFERROR(VLOOKUP(表1[[#This Row],[8:image]],常量!J:N,5,FALSE),0),0)</f>
        <v>0</v>
      </c>
      <c r="E1468" t="s">
        <v>2587</v>
      </c>
      <c r="F1468">
        <v>6</v>
      </c>
      <c r="G1468" s="8" t="s">
        <v>1136</v>
      </c>
      <c r="H1468" s="16" t="s">
        <v>4118</v>
      </c>
      <c r="I1468" s="16" t="s">
        <v>4582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customHeight="1">
      <c r="A1469">
        <v>5033</v>
      </c>
      <c r="B1469">
        <f>IF(表1[[#This Row],[不调整offset]]="x",IFERROR(VLOOKUP(表1[[#This Row],[8:image]],常量!J:N,4,FALSE),0),0)</f>
        <v>0</v>
      </c>
      <c r="C1469">
        <f>IF(表1[[#This Row],[不调整offset]]="x",IFERROR(VLOOKUP(表1[[#This Row],[8:image]],常量!J:N,5,FALSE),0),0)</f>
        <v>0</v>
      </c>
      <c r="E1469" t="s">
        <v>2587</v>
      </c>
      <c r="F1469">
        <v>6</v>
      </c>
      <c r="G1469" s="8" t="s">
        <v>1137</v>
      </c>
      <c r="H1469" s="16" t="s">
        <v>4119</v>
      </c>
      <c r="I1469" s="16" t="s">
        <v>4583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customHeight="1">
      <c r="A1470">
        <v>5034</v>
      </c>
      <c r="B1470">
        <f>IF(表1[[#This Row],[不调整offset]]="x",IFERROR(VLOOKUP(表1[[#This Row],[8:image]],常量!J:N,4,FALSE),0),0)</f>
        <v>0</v>
      </c>
      <c r="C1470">
        <f>IF(表1[[#This Row],[不调整offset]]="x",IFERROR(VLOOKUP(表1[[#This Row],[8:image]],常量!J:N,5,FALSE),0),0)</f>
        <v>0</v>
      </c>
      <c r="E1470" t="s">
        <v>2587</v>
      </c>
      <c r="F1470">
        <v>6</v>
      </c>
      <c r="G1470" s="8" t="s">
        <v>1138</v>
      </c>
      <c r="H1470" s="16" t="s">
        <v>4120</v>
      </c>
      <c r="I1470" s="16" t="s">
        <v>4584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customHeight="1">
      <c r="A1471">
        <v>5035</v>
      </c>
      <c r="B1471">
        <f>IF(表1[[#This Row],[不调整offset]]="x",IFERROR(VLOOKUP(表1[[#This Row],[8:image]],常量!J:N,4,FALSE),0),0)</f>
        <v>0</v>
      </c>
      <c r="C1471">
        <f>IF(表1[[#This Row],[不调整offset]]="x",IFERROR(VLOOKUP(表1[[#This Row],[8:image]],常量!J:N,5,FALSE),0),0)</f>
        <v>0</v>
      </c>
      <c r="E1471" t="s">
        <v>2587</v>
      </c>
      <c r="F1471">
        <v>6</v>
      </c>
      <c r="G1471" s="8" t="s">
        <v>1139</v>
      </c>
      <c r="H1471" s="16" t="s">
        <v>4121</v>
      </c>
      <c r="I1471" s="16" t="s">
        <v>4585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customHeight="1">
      <c r="A1472">
        <v>5036</v>
      </c>
      <c r="B1472">
        <f>IF(表1[[#This Row],[不调整offset]]="x",IFERROR(VLOOKUP(表1[[#This Row],[8:image]],常量!J:N,4,FALSE),0),0)</f>
        <v>0</v>
      </c>
      <c r="C1472">
        <f>IF(表1[[#This Row],[不调整offset]]="x",IFERROR(VLOOKUP(表1[[#This Row],[8:image]],常量!J:N,5,FALSE),0),0)</f>
        <v>0</v>
      </c>
      <c r="E1472" t="s">
        <v>2587</v>
      </c>
      <c r="F1472">
        <v>6</v>
      </c>
      <c r="G1472" s="8" t="s">
        <v>1140</v>
      </c>
      <c r="H1472" s="16" t="s">
        <v>4122</v>
      </c>
      <c r="I1472" s="16" t="s">
        <v>4586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customHeight="1">
      <c r="A1473">
        <v>5037</v>
      </c>
      <c r="B1473">
        <f>IF(表1[[#This Row],[不调整offset]]="x",IFERROR(VLOOKUP(表1[[#This Row],[8:image]],常量!J:N,4,FALSE),0),0)</f>
        <v>0</v>
      </c>
      <c r="C1473">
        <f>IF(表1[[#This Row],[不调整offset]]="x",IFERROR(VLOOKUP(表1[[#This Row],[8:image]],常量!J:N,5,FALSE),0),0)</f>
        <v>0</v>
      </c>
      <c r="E1473" t="s">
        <v>2587</v>
      </c>
      <c r="F1473">
        <v>6</v>
      </c>
      <c r="G1473" s="8" t="s">
        <v>1141</v>
      </c>
      <c r="H1473" s="16" t="s">
        <v>4123</v>
      </c>
      <c r="I1473" s="16" t="s">
        <v>4587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customHeight="1">
      <c r="A1474">
        <v>5038</v>
      </c>
      <c r="B1474">
        <f>IF(表1[[#This Row],[不调整offset]]="x",IFERROR(VLOOKUP(表1[[#This Row],[8:image]],常量!J:N,4,FALSE),0),0)</f>
        <v>0</v>
      </c>
      <c r="C1474">
        <f>IF(表1[[#This Row],[不调整offset]]="x",IFERROR(VLOOKUP(表1[[#This Row],[8:image]],常量!J:N,5,FALSE),0),0)</f>
        <v>0</v>
      </c>
      <c r="E1474" t="s">
        <v>2587</v>
      </c>
      <c r="F1474">
        <v>6</v>
      </c>
      <c r="G1474" s="8" t="s">
        <v>1142</v>
      </c>
      <c r="H1474" s="16" t="s">
        <v>4124</v>
      </c>
      <c r="I1474" s="16" t="s">
        <v>4588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customHeight="1">
      <c r="A1475">
        <v>5039</v>
      </c>
      <c r="B1475">
        <f>IF(表1[[#This Row],[不调整offset]]="x",IFERROR(VLOOKUP(表1[[#This Row],[8:image]],常量!J:N,4,FALSE),0),0)</f>
        <v>0</v>
      </c>
      <c r="C1475">
        <f>IF(表1[[#This Row],[不调整offset]]="x",IFERROR(VLOOKUP(表1[[#This Row],[8:image]],常量!J:N,5,FALSE),0),0)</f>
        <v>0</v>
      </c>
      <c r="E1475" t="s">
        <v>2587</v>
      </c>
      <c r="F1475">
        <v>6</v>
      </c>
      <c r="G1475" s="8" t="s">
        <v>1143</v>
      </c>
      <c r="H1475" s="16" t="s">
        <v>4125</v>
      </c>
      <c r="I1475" s="16" t="s">
        <v>4589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customHeight="1">
      <c r="A1476">
        <v>5040</v>
      </c>
      <c r="B1476">
        <f>IF(表1[[#This Row],[不调整offset]]="x",IFERROR(VLOOKUP(表1[[#This Row],[8:image]],常量!J:N,4,FALSE),0),0)</f>
        <v>0</v>
      </c>
      <c r="C1476">
        <f>IF(表1[[#This Row],[不调整offset]]="x",IFERROR(VLOOKUP(表1[[#This Row],[8:image]],常量!J:N,5,FALSE),0),0)</f>
        <v>0</v>
      </c>
      <c r="E1476" t="s">
        <v>2587</v>
      </c>
      <c r="F1476">
        <v>6</v>
      </c>
      <c r="G1476" s="8" t="s">
        <v>1144</v>
      </c>
      <c r="H1476" s="16" t="s">
        <v>4126</v>
      </c>
      <c r="I1476" s="16" t="s">
        <v>4590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customHeight="1">
      <c r="A1477">
        <v>5041</v>
      </c>
      <c r="B1477">
        <f>IF(表1[[#This Row],[不调整offset]]="x",IFERROR(VLOOKUP(表1[[#This Row],[8:image]],常量!J:N,4,FALSE),0),0)</f>
        <v>0</v>
      </c>
      <c r="C1477">
        <f>IF(表1[[#This Row],[不调整offset]]="x",IFERROR(VLOOKUP(表1[[#This Row],[8:image]],常量!J:N,5,FALSE),0),0)</f>
        <v>0</v>
      </c>
      <c r="E1477" t="s">
        <v>2587</v>
      </c>
      <c r="F1477">
        <v>6</v>
      </c>
      <c r="G1477" s="8" t="s">
        <v>1145</v>
      </c>
      <c r="H1477" s="16" t="s">
        <v>4127</v>
      </c>
      <c r="I1477" s="16" t="s">
        <v>4591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customHeight="1">
      <c r="A1478">
        <v>5042</v>
      </c>
      <c r="B1478">
        <f>IF(表1[[#This Row],[不调整offset]]="x",IFERROR(VLOOKUP(表1[[#This Row],[8:image]],常量!J:N,4,FALSE),0),0)</f>
        <v>0</v>
      </c>
      <c r="C1478">
        <f>IF(表1[[#This Row],[不调整offset]]="x",IFERROR(VLOOKUP(表1[[#This Row],[8:image]],常量!J:N,5,FALSE),0),0)</f>
        <v>0</v>
      </c>
      <c r="E1478" t="s">
        <v>2587</v>
      </c>
      <c r="F1478">
        <v>6</v>
      </c>
      <c r="G1478" s="8" t="s">
        <v>1146</v>
      </c>
      <c r="H1478" s="16" t="s">
        <v>4128</v>
      </c>
      <c r="I1478" s="16" t="s">
        <v>4592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customHeight="1">
      <c r="A1479">
        <v>5043</v>
      </c>
      <c r="B1479">
        <f>IF(表1[[#This Row],[不调整offset]]="x",IFERROR(VLOOKUP(表1[[#This Row],[8:image]],常量!J:N,4,FALSE),0),0)</f>
        <v>0</v>
      </c>
      <c r="C1479">
        <f>IF(表1[[#This Row],[不调整offset]]="x",IFERROR(VLOOKUP(表1[[#This Row],[8:image]],常量!J:N,5,FALSE),0),0)</f>
        <v>0</v>
      </c>
      <c r="E1479" t="s">
        <v>2587</v>
      </c>
      <c r="F1479">
        <v>6</v>
      </c>
      <c r="G1479" s="8" t="s">
        <v>1147</v>
      </c>
      <c r="H1479" s="16" t="s">
        <v>4129</v>
      </c>
      <c r="I1479" s="16" t="s">
        <v>4593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customHeight="1">
      <c r="A1480">
        <v>5044</v>
      </c>
      <c r="B1480">
        <f>IF(表1[[#This Row],[不调整offset]]="x",IFERROR(VLOOKUP(表1[[#This Row],[8:image]],常量!J:N,4,FALSE),0),0)</f>
        <v>0</v>
      </c>
      <c r="C1480">
        <f>IF(表1[[#This Row],[不调整offset]]="x",IFERROR(VLOOKUP(表1[[#This Row],[8:image]],常量!J:N,5,FALSE),0),0)</f>
        <v>0</v>
      </c>
      <c r="E1480" t="s">
        <v>2587</v>
      </c>
      <c r="F1480">
        <v>6</v>
      </c>
      <c r="G1480" s="8" t="s">
        <v>1148</v>
      </c>
      <c r="H1480" s="16" t="s">
        <v>4130</v>
      </c>
      <c r="I1480" s="16" t="s">
        <v>4594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customHeight="1">
      <c r="A1481">
        <v>5045</v>
      </c>
      <c r="B1481">
        <f>IF(表1[[#This Row],[不调整offset]]="x",IFERROR(VLOOKUP(表1[[#This Row],[8:image]],常量!J:N,4,FALSE),0),0)</f>
        <v>0</v>
      </c>
      <c r="C1481">
        <f>IF(表1[[#This Row],[不调整offset]]="x",IFERROR(VLOOKUP(表1[[#This Row],[8:image]],常量!J:N,5,FALSE),0),0)</f>
        <v>0</v>
      </c>
      <c r="E1481" t="s">
        <v>2587</v>
      </c>
      <c r="F1481">
        <v>6</v>
      </c>
      <c r="G1481" s="8" t="s">
        <v>1149</v>
      </c>
      <c r="H1481" s="16" t="s">
        <v>4131</v>
      </c>
      <c r="I1481" s="16" t="s">
        <v>4595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customHeight="1">
      <c r="A1482">
        <v>5046</v>
      </c>
      <c r="B1482">
        <f>IF(表1[[#This Row],[不调整offset]]="x",IFERROR(VLOOKUP(表1[[#This Row],[8:image]],常量!J:N,4,FALSE),0),0)</f>
        <v>0</v>
      </c>
      <c r="C1482">
        <f>IF(表1[[#This Row],[不调整offset]]="x",IFERROR(VLOOKUP(表1[[#This Row],[8:image]],常量!J:N,5,FALSE),0),0)</f>
        <v>0</v>
      </c>
      <c r="E1482" t="s">
        <v>2587</v>
      </c>
      <c r="F1482">
        <v>6</v>
      </c>
      <c r="G1482" s="8" t="s">
        <v>1150</v>
      </c>
      <c r="H1482" s="16" t="s">
        <v>4132</v>
      </c>
      <c r="I1482" s="16" t="s">
        <v>4596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customHeight="1">
      <c r="A1483">
        <v>5047</v>
      </c>
      <c r="B1483">
        <f>IF(表1[[#This Row],[不调整offset]]="x",IFERROR(VLOOKUP(表1[[#This Row],[8:image]],常量!J:N,4,FALSE),0),0)</f>
        <v>0</v>
      </c>
      <c r="C1483">
        <f>IF(表1[[#This Row],[不调整offset]]="x",IFERROR(VLOOKUP(表1[[#This Row],[8:image]],常量!J:N,5,FALSE),0),0)</f>
        <v>0</v>
      </c>
      <c r="E1483" t="s">
        <v>2587</v>
      </c>
      <c r="F1483">
        <v>6</v>
      </c>
      <c r="G1483" s="8" t="s">
        <v>1151</v>
      </c>
      <c r="H1483" s="16" t="s">
        <v>4133</v>
      </c>
      <c r="I1483" s="16" t="s">
        <v>4597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customHeight="1">
      <c r="A1484">
        <v>5048</v>
      </c>
      <c r="B1484">
        <f>IF(表1[[#This Row],[不调整offset]]="x",IFERROR(VLOOKUP(表1[[#This Row],[8:image]],常量!J:N,4,FALSE),0),0)</f>
        <v>0</v>
      </c>
      <c r="C1484">
        <f>IF(表1[[#This Row],[不调整offset]]="x",IFERROR(VLOOKUP(表1[[#This Row],[8:image]],常量!J:N,5,FALSE),0),0)</f>
        <v>0</v>
      </c>
      <c r="E1484" t="s">
        <v>2587</v>
      </c>
      <c r="F1484">
        <v>6</v>
      </c>
      <c r="G1484" s="8" t="s">
        <v>1152</v>
      </c>
      <c r="H1484" s="16" t="s">
        <v>4134</v>
      </c>
      <c r="I1484" s="16" t="s">
        <v>4598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customHeight="1">
      <c r="A1485">
        <v>5049</v>
      </c>
      <c r="B1485">
        <f>IF(表1[[#This Row],[不调整offset]]="x",IFERROR(VLOOKUP(表1[[#This Row],[8:image]],常量!J:N,4,FALSE),0),0)</f>
        <v>0</v>
      </c>
      <c r="C1485">
        <f>IF(表1[[#This Row],[不调整offset]]="x",IFERROR(VLOOKUP(表1[[#This Row],[8:image]],常量!J:N,5,FALSE),0),0)</f>
        <v>0</v>
      </c>
      <c r="E1485" t="s">
        <v>2587</v>
      </c>
      <c r="F1485">
        <v>6</v>
      </c>
      <c r="G1485" s="8" t="s">
        <v>1153</v>
      </c>
      <c r="H1485" s="16" t="s">
        <v>4135</v>
      </c>
      <c r="I1485" s="16" t="s">
        <v>4599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customHeight="1">
      <c r="A1486">
        <v>5050</v>
      </c>
      <c r="B1486">
        <f>IF(表1[[#This Row],[不调整offset]]="x",IFERROR(VLOOKUP(表1[[#This Row],[8:image]],常量!J:N,4,FALSE),0),0)</f>
        <v>0</v>
      </c>
      <c r="C1486">
        <f>IF(表1[[#This Row],[不调整offset]]="x",IFERROR(VLOOKUP(表1[[#This Row],[8:image]],常量!J:N,5,FALSE),0),0)</f>
        <v>0</v>
      </c>
      <c r="E1486" t="s">
        <v>2587</v>
      </c>
      <c r="F1486">
        <v>6</v>
      </c>
      <c r="G1486" s="8" t="s">
        <v>1154</v>
      </c>
      <c r="H1486" s="16" t="s">
        <v>4136</v>
      </c>
      <c r="I1486" s="16" t="s">
        <v>4600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customHeight="1">
      <c r="A1487">
        <v>5051</v>
      </c>
      <c r="B1487">
        <f>IF(表1[[#This Row],[不调整offset]]="x",IFERROR(VLOOKUP(表1[[#This Row],[8:image]],常量!J:N,4,FALSE),0),0)</f>
        <v>0</v>
      </c>
      <c r="C1487">
        <f>IF(表1[[#This Row],[不调整offset]]="x",IFERROR(VLOOKUP(表1[[#This Row],[8:image]],常量!J:N,5,FALSE),0),0)</f>
        <v>0</v>
      </c>
      <c r="E1487" t="s">
        <v>2587</v>
      </c>
      <c r="F1487">
        <v>6</v>
      </c>
      <c r="G1487" s="8" t="s">
        <v>1155</v>
      </c>
      <c r="H1487" s="16" t="s">
        <v>4137</v>
      </c>
      <c r="I1487" s="16" t="s">
        <v>4601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customHeight="1">
      <c r="A1488">
        <v>5052</v>
      </c>
      <c r="B1488">
        <f>IF(表1[[#This Row],[不调整offset]]="x",IFERROR(VLOOKUP(表1[[#This Row],[8:image]],常量!J:N,4,FALSE),0),0)</f>
        <v>0</v>
      </c>
      <c r="C1488">
        <f>IF(表1[[#This Row],[不调整offset]]="x",IFERROR(VLOOKUP(表1[[#This Row],[8:image]],常量!J:N,5,FALSE),0),0)</f>
        <v>0</v>
      </c>
      <c r="E1488" t="s">
        <v>2587</v>
      </c>
      <c r="F1488">
        <v>6</v>
      </c>
      <c r="G1488" s="8" t="s">
        <v>1156</v>
      </c>
      <c r="H1488" s="16" t="s">
        <v>4138</v>
      </c>
      <c r="I1488" s="16" t="s">
        <v>4602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customHeight="1">
      <c r="A1489">
        <v>5053</v>
      </c>
      <c r="B1489">
        <f>IF(表1[[#This Row],[不调整offset]]="x",IFERROR(VLOOKUP(表1[[#This Row],[8:image]],常量!J:N,4,FALSE),0),0)</f>
        <v>0</v>
      </c>
      <c r="C1489">
        <f>IF(表1[[#This Row],[不调整offset]]="x",IFERROR(VLOOKUP(表1[[#This Row],[8:image]],常量!J:N,5,FALSE),0),0)</f>
        <v>0</v>
      </c>
      <c r="E1489" t="s">
        <v>2587</v>
      </c>
      <c r="F1489">
        <v>6</v>
      </c>
      <c r="G1489" s="8" t="s">
        <v>1157</v>
      </c>
      <c r="H1489" s="16" t="s">
        <v>4139</v>
      </c>
      <c r="I1489" s="16" t="s">
        <v>4603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customHeight="1">
      <c r="A1490">
        <v>5054</v>
      </c>
      <c r="B1490">
        <f>IF(表1[[#This Row],[不调整offset]]="x",IFERROR(VLOOKUP(表1[[#This Row],[8:image]],常量!J:N,4,FALSE),0),0)</f>
        <v>0</v>
      </c>
      <c r="C1490">
        <f>IF(表1[[#This Row],[不调整offset]]="x",IFERROR(VLOOKUP(表1[[#This Row],[8:image]],常量!J:N,5,FALSE),0),0)</f>
        <v>0</v>
      </c>
      <c r="E1490" t="s">
        <v>2587</v>
      </c>
      <c r="F1490">
        <v>6</v>
      </c>
      <c r="G1490" s="8" t="s">
        <v>1158</v>
      </c>
      <c r="H1490" s="16" t="s">
        <v>4140</v>
      </c>
      <c r="I1490" s="16" t="s">
        <v>4604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customHeight="1">
      <c r="A1491">
        <v>5055</v>
      </c>
      <c r="B1491">
        <f>IF(表1[[#This Row],[不调整offset]]="x",IFERROR(VLOOKUP(表1[[#This Row],[8:image]],常量!J:N,4,FALSE),0),0)</f>
        <v>0</v>
      </c>
      <c r="C1491">
        <f>IF(表1[[#This Row],[不调整offset]]="x",IFERROR(VLOOKUP(表1[[#This Row],[8:image]],常量!J:N,5,FALSE),0),0)</f>
        <v>0</v>
      </c>
      <c r="E1491" t="s">
        <v>2587</v>
      </c>
      <c r="F1491">
        <v>6</v>
      </c>
      <c r="G1491" s="8" t="s">
        <v>729</v>
      </c>
      <c r="H1491" s="16" t="s">
        <v>4141</v>
      </c>
      <c r="I1491" s="16" t="s">
        <v>4605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customHeight="1">
      <c r="A1492">
        <v>5056</v>
      </c>
      <c r="B1492">
        <f>IF(表1[[#This Row],[不调整offset]]="x",IFERROR(VLOOKUP(表1[[#This Row],[8:image]],常量!J:N,4,FALSE),0),0)</f>
        <v>0</v>
      </c>
      <c r="C1492">
        <f>IF(表1[[#This Row],[不调整offset]]="x",IFERROR(VLOOKUP(表1[[#This Row],[8:image]],常量!J:N,5,FALSE),0),0)</f>
        <v>0</v>
      </c>
      <c r="E1492" t="s">
        <v>2587</v>
      </c>
      <c r="F1492">
        <v>6</v>
      </c>
      <c r="G1492" s="8" t="s">
        <v>727</v>
      </c>
      <c r="H1492" s="16" t="s">
        <v>4142</v>
      </c>
      <c r="I1492" s="16" t="s">
        <v>4606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customHeight="1">
      <c r="A1493">
        <v>5057</v>
      </c>
      <c r="B1493">
        <f>IF(表1[[#This Row],[不调整offset]]="x",IFERROR(VLOOKUP(表1[[#This Row],[8:image]],常量!J:N,4,FALSE),0),0)</f>
        <v>0</v>
      </c>
      <c r="C1493">
        <f>IF(表1[[#This Row],[不调整offset]]="x",IFERROR(VLOOKUP(表1[[#This Row],[8:image]],常量!J:N,5,FALSE),0),0)</f>
        <v>0</v>
      </c>
      <c r="E1493" t="s">
        <v>2587</v>
      </c>
      <c r="F1493">
        <v>6</v>
      </c>
      <c r="G1493" s="8" t="s">
        <v>730</v>
      </c>
      <c r="H1493" s="16" t="s">
        <v>4143</v>
      </c>
      <c r="I1493" s="16" t="s">
        <v>4607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customHeight="1">
      <c r="A1494">
        <v>5058</v>
      </c>
      <c r="B1494">
        <f>IF(表1[[#This Row],[不调整offset]]="x",IFERROR(VLOOKUP(表1[[#This Row],[8:image]],常量!J:N,4,FALSE),0),0)</f>
        <v>0</v>
      </c>
      <c r="C1494">
        <f>IF(表1[[#This Row],[不调整offset]]="x",IFERROR(VLOOKUP(表1[[#This Row],[8:image]],常量!J:N,5,FALSE),0),0)</f>
        <v>0</v>
      </c>
      <c r="E1494" t="s">
        <v>2587</v>
      </c>
      <c r="F1494">
        <v>6</v>
      </c>
      <c r="G1494" s="8" t="s">
        <v>728</v>
      </c>
      <c r="H1494" s="16" t="s">
        <v>4144</v>
      </c>
      <c r="I1494" s="16" t="s">
        <v>4608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customHeight="1">
      <c r="A1495">
        <v>5059</v>
      </c>
      <c r="B1495">
        <f>IF(表1[[#This Row],[不调整offset]]="x",IFERROR(VLOOKUP(表1[[#This Row],[8:image]],常量!J:N,4,FALSE),0),0)</f>
        <v>0</v>
      </c>
      <c r="C1495">
        <f>IF(表1[[#This Row],[不调整offset]]="x",IFERROR(VLOOKUP(表1[[#This Row],[8:image]],常量!J:N,5,FALSE),0),0)</f>
        <v>0</v>
      </c>
      <c r="E1495" t="s">
        <v>2587</v>
      </c>
      <c r="F1495">
        <v>6</v>
      </c>
      <c r="G1495" s="8" t="s">
        <v>1159</v>
      </c>
      <c r="H1495" s="16" t="s">
        <v>4145</v>
      </c>
      <c r="I1495" s="16" t="s">
        <v>4609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customHeight="1">
      <c r="A1496">
        <v>5060</v>
      </c>
      <c r="B1496">
        <f>IF(表1[[#This Row],[不调整offset]]="x",IFERROR(VLOOKUP(表1[[#This Row],[8:image]],常量!J:N,4,FALSE),0),0)</f>
        <v>0</v>
      </c>
      <c r="C1496">
        <f>IF(表1[[#This Row],[不调整offset]]="x",IFERROR(VLOOKUP(表1[[#This Row],[8:image]],常量!J:N,5,FALSE),0),0)</f>
        <v>0</v>
      </c>
      <c r="E1496" t="s">
        <v>2587</v>
      </c>
      <c r="F1496">
        <v>6</v>
      </c>
      <c r="G1496" s="8" t="s">
        <v>1160</v>
      </c>
      <c r="H1496" s="16" t="s">
        <v>4146</v>
      </c>
      <c r="I1496" s="16" t="s">
        <v>4610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customHeight="1">
      <c r="A1497">
        <v>5061</v>
      </c>
      <c r="B1497">
        <f>IF(表1[[#This Row],[不调整offset]]="x",IFERROR(VLOOKUP(表1[[#This Row],[8:image]],常量!J:N,4,FALSE),0),0)</f>
        <v>0</v>
      </c>
      <c r="C1497">
        <f>IF(表1[[#This Row],[不调整offset]]="x",IFERROR(VLOOKUP(表1[[#This Row],[8:image]],常量!J:N,5,FALSE),0),0)</f>
        <v>0</v>
      </c>
      <c r="E1497" t="s">
        <v>2587</v>
      </c>
      <c r="F1497">
        <v>6</v>
      </c>
      <c r="G1497" s="8" t="s">
        <v>1161</v>
      </c>
      <c r="H1497" s="16" t="s">
        <v>4147</v>
      </c>
      <c r="I1497" s="16" t="s">
        <v>4611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customHeight="1">
      <c r="A1498">
        <v>5062</v>
      </c>
      <c r="B1498">
        <f>IF(表1[[#This Row],[不调整offset]]="x",IFERROR(VLOOKUP(表1[[#This Row],[8:image]],常量!J:N,4,FALSE),0),0)</f>
        <v>0</v>
      </c>
      <c r="C1498">
        <f>IF(表1[[#This Row],[不调整offset]]="x",IFERROR(VLOOKUP(表1[[#This Row],[8:image]],常量!J:N,5,FALSE),0),0)</f>
        <v>0</v>
      </c>
      <c r="E1498" t="s">
        <v>2587</v>
      </c>
      <c r="F1498">
        <v>6</v>
      </c>
      <c r="G1498" s="8" t="s">
        <v>1162</v>
      </c>
      <c r="H1498" s="16" t="s">
        <v>4148</v>
      </c>
      <c r="I1498" s="16" t="s">
        <v>4612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customHeight="1">
      <c r="A1499">
        <v>5063</v>
      </c>
      <c r="B1499">
        <f>IF(表1[[#This Row],[不调整offset]]="x",IFERROR(VLOOKUP(表1[[#This Row],[8:image]],常量!J:N,4,FALSE),0),0)</f>
        <v>0</v>
      </c>
      <c r="C1499">
        <f>IF(表1[[#This Row],[不调整offset]]="x",IFERROR(VLOOKUP(表1[[#This Row],[8:image]],常量!J:N,5,FALSE),0),0)</f>
        <v>0</v>
      </c>
      <c r="E1499" t="s">
        <v>2587</v>
      </c>
      <c r="F1499">
        <v>6</v>
      </c>
      <c r="G1499" s="8" t="s">
        <v>1163</v>
      </c>
      <c r="H1499" s="16" t="s">
        <v>4149</v>
      </c>
      <c r="I1499" s="16" t="s">
        <v>4613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customHeight="1">
      <c r="A1500">
        <v>5064</v>
      </c>
      <c r="B1500">
        <f>IF(表1[[#This Row],[不调整offset]]="x",IFERROR(VLOOKUP(表1[[#This Row],[8:image]],常量!J:N,4,FALSE),0),0)</f>
        <v>0</v>
      </c>
      <c r="C1500">
        <f>IF(表1[[#This Row],[不调整offset]]="x",IFERROR(VLOOKUP(表1[[#This Row],[8:image]],常量!J:N,5,FALSE),0),0)</f>
        <v>0</v>
      </c>
      <c r="E1500" t="s">
        <v>2587</v>
      </c>
      <c r="F1500">
        <v>6</v>
      </c>
      <c r="G1500" s="8" t="s">
        <v>1164</v>
      </c>
      <c r="H1500" s="16" t="s">
        <v>4150</v>
      </c>
      <c r="I1500" s="16" t="s">
        <v>4614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customHeight="1">
      <c r="A1501">
        <v>5065</v>
      </c>
      <c r="B1501">
        <f>IF(表1[[#This Row],[不调整offset]]="x",IFERROR(VLOOKUP(表1[[#This Row],[8:image]],常量!J:N,4,FALSE),0),0)</f>
        <v>0</v>
      </c>
      <c r="C1501">
        <f>IF(表1[[#This Row],[不调整offset]]="x",IFERROR(VLOOKUP(表1[[#This Row],[8:image]],常量!J:N,5,FALSE),0),0)</f>
        <v>0</v>
      </c>
      <c r="E1501" t="s">
        <v>2587</v>
      </c>
      <c r="F1501">
        <v>6</v>
      </c>
      <c r="G1501" s="8" t="s">
        <v>1165</v>
      </c>
      <c r="H1501" s="16" t="s">
        <v>4151</v>
      </c>
      <c r="I1501" s="16" t="s">
        <v>4615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customHeight="1">
      <c r="A1502">
        <v>5066</v>
      </c>
      <c r="B1502">
        <f>IF(表1[[#This Row],[不调整offset]]="x",IFERROR(VLOOKUP(表1[[#This Row],[8:image]],常量!J:N,4,FALSE),0),0)</f>
        <v>0</v>
      </c>
      <c r="C1502">
        <f>IF(表1[[#This Row],[不调整offset]]="x",IFERROR(VLOOKUP(表1[[#This Row],[8:image]],常量!J:N,5,FALSE),0),0)</f>
        <v>0</v>
      </c>
      <c r="E1502" t="s">
        <v>2587</v>
      </c>
      <c r="F1502">
        <v>6</v>
      </c>
      <c r="G1502" s="8" t="s">
        <v>1166</v>
      </c>
      <c r="H1502" s="16" t="s">
        <v>4152</v>
      </c>
      <c r="I1502" s="16" t="s">
        <v>4616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customHeight="1">
      <c r="A1503">
        <v>5067</v>
      </c>
      <c r="B1503">
        <f>IF(表1[[#This Row],[不调整offset]]="x",IFERROR(VLOOKUP(表1[[#This Row],[8:image]],常量!J:N,4,FALSE),0),0)</f>
        <v>0</v>
      </c>
      <c r="C1503">
        <f>IF(表1[[#This Row],[不调整offset]]="x",IFERROR(VLOOKUP(表1[[#This Row],[8:image]],常量!J:N,5,FALSE),0),0)</f>
        <v>0</v>
      </c>
      <c r="E1503" t="s">
        <v>2587</v>
      </c>
      <c r="F1503">
        <v>6</v>
      </c>
      <c r="G1503" s="8" t="s">
        <v>1167</v>
      </c>
      <c r="H1503" s="16" t="s">
        <v>4153</v>
      </c>
      <c r="I1503" s="16" t="s">
        <v>4617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customHeight="1">
      <c r="A1504">
        <v>5068</v>
      </c>
      <c r="B1504">
        <f>IF(表1[[#This Row],[不调整offset]]="x",IFERROR(VLOOKUP(表1[[#This Row],[8:image]],常量!J:N,4,FALSE),0),0)</f>
        <v>0</v>
      </c>
      <c r="C1504">
        <f>IF(表1[[#This Row],[不调整offset]]="x",IFERROR(VLOOKUP(表1[[#This Row],[8:image]],常量!J:N,5,FALSE),0),0)</f>
        <v>0</v>
      </c>
      <c r="E1504" t="s">
        <v>2587</v>
      </c>
      <c r="F1504">
        <v>6</v>
      </c>
      <c r="G1504" s="8" t="s">
        <v>1168</v>
      </c>
      <c r="H1504" s="16" t="s">
        <v>4154</v>
      </c>
      <c r="I1504" s="16" t="s">
        <v>4618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customHeight="1">
      <c r="A1505">
        <v>5069</v>
      </c>
      <c r="B1505">
        <f>IF(表1[[#This Row],[不调整offset]]="x",IFERROR(VLOOKUP(表1[[#This Row],[8:image]],常量!J:N,4,FALSE),0),0)</f>
        <v>0</v>
      </c>
      <c r="C1505">
        <f>IF(表1[[#This Row],[不调整offset]]="x",IFERROR(VLOOKUP(表1[[#This Row],[8:image]],常量!J:N,5,FALSE),0),0)</f>
        <v>0</v>
      </c>
      <c r="E1505" t="s">
        <v>2587</v>
      </c>
      <c r="F1505">
        <v>6</v>
      </c>
      <c r="G1505" s="8" t="s">
        <v>1169</v>
      </c>
      <c r="H1505" s="16" t="s">
        <v>4155</v>
      </c>
      <c r="I1505" s="16" t="s">
        <v>4619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customHeight="1">
      <c r="A1506">
        <v>5070</v>
      </c>
      <c r="B1506">
        <f>IF(表1[[#This Row],[不调整offset]]="x",IFERROR(VLOOKUP(表1[[#This Row],[8:image]],常量!J:N,4,FALSE),0),0)</f>
        <v>0</v>
      </c>
      <c r="C1506">
        <f>IF(表1[[#This Row],[不调整offset]]="x",IFERROR(VLOOKUP(表1[[#This Row],[8:image]],常量!J:N,5,FALSE),0),0)</f>
        <v>0</v>
      </c>
      <c r="E1506" t="s">
        <v>2587</v>
      </c>
      <c r="F1506">
        <v>6</v>
      </c>
      <c r="G1506" s="8" t="s">
        <v>1170</v>
      </c>
      <c r="H1506" s="16" t="s">
        <v>4156</v>
      </c>
      <c r="I1506" s="16" t="s">
        <v>4620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customHeight="1">
      <c r="A1507">
        <v>5071</v>
      </c>
      <c r="B1507">
        <f>IF(表1[[#This Row],[不调整offset]]="x",IFERROR(VLOOKUP(表1[[#This Row],[8:image]],常量!J:N,4,FALSE),0),0)</f>
        <v>0</v>
      </c>
      <c r="C1507">
        <f>IF(表1[[#This Row],[不调整offset]]="x",IFERROR(VLOOKUP(表1[[#This Row],[8:image]],常量!J:N,5,FALSE),0),0)</f>
        <v>0</v>
      </c>
      <c r="E1507" t="s">
        <v>2587</v>
      </c>
      <c r="F1507">
        <v>6</v>
      </c>
      <c r="G1507" s="8" t="s">
        <v>1171</v>
      </c>
      <c r="H1507" s="16" t="s">
        <v>4157</v>
      </c>
      <c r="I1507" s="16" t="s">
        <v>4621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customHeight="1">
      <c r="A1508">
        <v>5072</v>
      </c>
      <c r="B1508">
        <f>IF(表1[[#This Row],[不调整offset]]="x",IFERROR(VLOOKUP(表1[[#This Row],[8:image]],常量!J:N,4,FALSE),0),0)</f>
        <v>0</v>
      </c>
      <c r="C1508">
        <f>IF(表1[[#This Row],[不调整offset]]="x",IFERROR(VLOOKUP(表1[[#This Row],[8:image]],常量!J:N,5,FALSE),0),0)</f>
        <v>0</v>
      </c>
      <c r="E1508" t="s">
        <v>2587</v>
      </c>
      <c r="F1508">
        <v>6</v>
      </c>
      <c r="G1508" s="8" t="s">
        <v>1172</v>
      </c>
      <c r="H1508" s="16" t="s">
        <v>4158</v>
      </c>
      <c r="I1508" s="16" t="s">
        <v>4622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customHeight="1">
      <c r="A1509">
        <v>5073</v>
      </c>
      <c r="B1509">
        <f>IF(表1[[#This Row],[不调整offset]]="x",IFERROR(VLOOKUP(表1[[#This Row],[8:image]],常量!J:N,4,FALSE),0),0)</f>
        <v>0</v>
      </c>
      <c r="C1509">
        <f>IF(表1[[#This Row],[不调整offset]]="x",IFERROR(VLOOKUP(表1[[#This Row],[8:image]],常量!J:N,5,FALSE),0),0)</f>
        <v>0</v>
      </c>
      <c r="E1509" t="s">
        <v>2587</v>
      </c>
      <c r="F1509">
        <v>6</v>
      </c>
      <c r="G1509" s="8" t="s">
        <v>1173</v>
      </c>
      <c r="H1509" s="16" t="s">
        <v>4159</v>
      </c>
      <c r="I1509" s="16" t="s">
        <v>4623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customHeight="1">
      <c r="A1510">
        <v>5074</v>
      </c>
      <c r="B1510">
        <f>IF(表1[[#This Row],[不调整offset]]="x",IFERROR(VLOOKUP(表1[[#This Row],[8:image]],常量!J:N,4,FALSE),0),0)</f>
        <v>0</v>
      </c>
      <c r="C1510">
        <f>IF(表1[[#This Row],[不调整offset]]="x",IFERROR(VLOOKUP(表1[[#This Row],[8:image]],常量!J:N,5,FALSE),0),0)</f>
        <v>0</v>
      </c>
      <c r="E1510" t="s">
        <v>2587</v>
      </c>
      <c r="F1510">
        <v>6</v>
      </c>
      <c r="G1510" s="8" t="s">
        <v>1174</v>
      </c>
      <c r="H1510" s="16" t="s">
        <v>4160</v>
      </c>
      <c r="I1510" s="16" t="s">
        <v>4624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customHeight="1">
      <c r="A1511">
        <v>5075</v>
      </c>
      <c r="B1511">
        <f>IF(表1[[#This Row],[不调整offset]]="x",IFERROR(VLOOKUP(表1[[#This Row],[8:image]],常量!J:N,4,FALSE),0),0)</f>
        <v>0</v>
      </c>
      <c r="C1511">
        <f>IF(表1[[#This Row],[不调整offset]]="x",IFERROR(VLOOKUP(表1[[#This Row],[8:image]],常量!J:N,5,FALSE),0),0)</f>
        <v>0</v>
      </c>
      <c r="E1511" t="s">
        <v>2587</v>
      </c>
      <c r="F1511">
        <v>6</v>
      </c>
      <c r="G1511" s="8" t="s">
        <v>1175</v>
      </c>
      <c r="H1511" s="16" t="s">
        <v>4161</v>
      </c>
      <c r="I1511" s="16" t="s">
        <v>4625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customHeight="1">
      <c r="A1512">
        <v>5076</v>
      </c>
      <c r="B1512">
        <f>IF(表1[[#This Row],[不调整offset]]="x",IFERROR(VLOOKUP(表1[[#This Row],[8:image]],常量!J:N,4,FALSE),0),0)</f>
        <v>0</v>
      </c>
      <c r="C1512">
        <f>IF(表1[[#This Row],[不调整offset]]="x",IFERROR(VLOOKUP(表1[[#This Row],[8:image]],常量!J:N,5,FALSE),0),0)</f>
        <v>0</v>
      </c>
      <c r="E1512" t="s">
        <v>2587</v>
      </c>
      <c r="F1512">
        <v>6</v>
      </c>
      <c r="G1512" s="8" t="s">
        <v>839</v>
      </c>
      <c r="H1512" s="16" t="s">
        <v>4162</v>
      </c>
      <c r="I1512" s="16" t="s">
        <v>4626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customHeight="1">
      <c r="A1513">
        <v>5077</v>
      </c>
      <c r="B1513">
        <f>IF(表1[[#This Row],[不调整offset]]="x",IFERROR(VLOOKUP(表1[[#This Row],[8:image]],常量!J:N,4,FALSE),0),0)</f>
        <v>0</v>
      </c>
      <c r="C1513">
        <f>IF(表1[[#This Row],[不调整offset]]="x",IFERROR(VLOOKUP(表1[[#This Row],[8:image]],常量!J:N,5,FALSE),0),0)</f>
        <v>0</v>
      </c>
      <c r="E1513" t="s">
        <v>2587</v>
      </c>
      <c r="F1513">
        <v>6</v>
      </c>
      <c r="G1513" s="8" t="s">
        <v>1176</v>
      </c>
      <c r="H1513" s="16" t="s">
        <v>4163</v>
      </c>
      <c r="I1513" s="16" t="s">
        <v>4627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customHeight="1">
      <c r="A1514">
        <v>5078</v>
      </c>
      <c r="B1514">
        <f>IF(表1[[#This Row],[不调整offset]]="x",IFERROR(VLOOKUP(表1[[#This Row],[8:image]],常量!J:N,4,FALSE),0),0)</f>
        <v>0</v>
      </c>
      <c r="C1514">
        <f>IF(表1[[#This Row],[不调整offset]]="x",IFERROR(VLOOKUP(表1[[#This Row],[8:image]],常量!J:N,5,FALSE),0),0)</f>
        <v>0</v>
      </c>
      <c r="E1514" t="s">
        <v>2587</v>
      </c>
      <c r="F1514">
        <v>6</v>
      </c>
      <c r="G1514" s="8" t="s">
        <v>1177</v>
      </c>
      <c r="H1514" s="16" t="s">
        <v>4164</v>
      </c>
      <c r="I1514" s="16" t="s">
        <v>4628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customHeight="1">
      <c r="A1515">
        <v>5079</v>
      </c>
      <c r="B1515">
        <f>IF(表1[[#This Row],[不调整offset]]="x",IFERROR(VLOOKUP(表1[[#This Row],[8:image]],常量!J:N,4,FALSE),0),0)</f>
        <v>0</v>
      </c>
      <c r="C1515">
        <f>IF(表1[[#This Row],[不调整offset]]="x",IFERROR(VLOOKUP(表1[[#This Row],[8:image]],常量!J:N,5,FALSE),0),0)</f>
        <v>0</v>
      </c>
      <c r="E1515" t="s">
        <v>2587</v>
      </c>
      <c r="F1515">
        <v>6</v>
      </c>
      <c r="G1515" s="8" t="s">
        <v>1178</v>
      </c>
      <c r="H1515" s="16" t="s">
        <v>4165</v>
      </c>
      <c r="I1515" s="16" t="s">
        <v>4629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customHeight="1">
      <c r="A1516">
        <v>5080</v>
      </c>
      <c r="B1516">
        <f>IF(表1[[#This Row],[不调整offset]]="x",IFERROR(VLOOKUP(表1[[#This Row],[8:image]],常量!J:N,4,FALSE),0),0)</f>
        <v>0</v>
      </c>
      <c r="C1516">
        <f>IF(表1[[#This Row],[不调整offset]]="x",IFERROR(VLOOKUP(表1[[#This Row],[8:image]],常量!J:N,5,FALSE),0),0)</f>
        <v>0</v>
      </c>
      <c r="E1516" t="s">
        <v>2587</v>
      </c>
      <c r="F1516">
        <v>6</v>
      </c>
      <c r="G1516" s="8" t="s">
        <v>1179</v>
      </c>
      <c r="H1516" s="16" t="s">
        <v>4166</v>
      </c>
      <c r="I1516" s="16" t="s">
        <v>4630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customHeight="1">
      <c r="A1517">
        <v>5081</v>
      </c>
      <c r="B1517">
        <f>IF(表1[[#This Row],[不调整offset]]="x",IFERROR(VLOOKUP(表1[[#This Row],[8:image]],常量!J:N,4,FALSE),0),0)</f>
        <v>0</v>
      </c>
      <c r="C1517">
        <f>IF(表1[[#This Row],[不调整offset]]="x",IFERROR(VLOOKUP(表1[[#This Row],[8:image]],常量!J:N,5,FALSE),0),0)</f>
        <v>0</v>
      </c>
      <c r="E1517" t="s">
        <v>2587</v>
      </c>
      <c r="F1517">
        <v>6</v>
      </c>
      <c r="G1517" s="8" t="s">
        <v>1180</v>
      </c>
      <c r="H1517" s="16" t="s">
        <v>4167</v>
      </c>
      <c r="I1517" s="16" t="s">
        <v>4631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customHeight="1">
      <c r="A1518">
        <v>5082</v>
      </c>
      <c r="B1518">
        <f>IF(表1[[#This Row],[不调整offset]]="x",IFERROR(VLOOKUP(表1[[#This Row],[8:image]],常量!J:N,4,FALSE),0),0)</f>
        <v>0</v>
      </c>
      <c r="C1518">
        <f>IF(表1[[#This Row],[不调整offset]]="x",IFERROR(VLOOKUP(表1[[#This Row],[8:image]],常量!J:N,5,FALSE),0),0)</f>
        <v>0</v>
      </c>
      <c r="E1518" t="s">
        <v>2587</v>
      </c>
      <c r="F1518">
        <v>6</v>
      </c>
      <c r="G1518" s="8" t="s">
        <v>1181</v>
      </c>
      <c r="H1518" s="16" t="s">
        <v>4168</v>
      </c>
      <c r="I1518" s="16" t="s">
        <v>4632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customHeight="1">
      <c r="A1519">
        <v>5083</v>
      </c>
      <c r="B1519">
        <f>IF(表1[[#This Row],[不调整offset]]="x",IFERROR(VLOOKUP(表1[[#This Row],[8:image]],常量!J:N,4,FALSE),0),0)</f>
        <v>0</v>
      </c>
      <c r="C1519">
        <f>IF(表1[[#This Row],[不调整offset]]="x",IFERROR(VLOOKUP(表1[[#This Row],[8:image]],常量!J:N,5,FALSE),0),0)</f>
        <v>0</v>
      </c>
      <c r="E1519" t="s">
        <v>2587</v>
      </c>
      <c r="F1519">
        <v>6</v>
      </c>
      <c r="G1519" s="8" t="s">
        <v>1182</v>
      </c>
      <c r="H1519" s="16" t="s">
        <v>4169</v>
      </c>
      <c r="I1519" s="16" t="s">
        <v>4633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customHeight="1">
      <c r="A1520">
        <v>5084</v>
      </c>
      <c r="B1520">
        <f>IF(表1[[#This Row],[不调整offset]]="x",IFERROR(VLOOKUP(表1[[#This Row],[8:image]],常量!J:N,4,FALSE),0),0)</f>
        <v>0</v>
      </c>
      <c r="C1520">
        <f>IF(表1[[#This Row],[不调整offset]]="x",IFERROR(VLOOKUP(表1[[#This Row],[8:image]],常量!J:N,5,FALSE),0),0)</f>
        <v>0</v>
      </c>
      <c r="E1520" t="s">
        <v>2587</v>
      </c>
      <c r="F1520">
        <v>6</v>
      </c>
      <c r="G1520" s="8" t="s">
        <v>1183</v>
      </c>
      <c r="H1520" s="16" t="s">
        <v>4170</v>
      </c>
      <c r="I1520" s="16" t="s">
        <v>4634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customHeight="1">
      <c r="A1521">
        <v>5085</v>
      </c>
      <c r="B1521">
        <f>IF(表1[[#This Row],[不调整offset]]="x",IFERROR(VLOOKUP(表1[[#This Row],[8:image]],常量!J:N,4,FALSE),0),0)</f>
        <v>0</v>
      </c>
      <c r="C1521">
        <f>IF(表1[[#This Row],[不调整offset]]="x",IFERROR(VLOOKUP(表1[[#This Row],[8:image]],常量!J:N,5,FALSE),0),0)</f>
        <v>0</v>
      </c>
      <c r="E1521" t="s">
        <v>2587</v>
      </c>
      <c r="F1521">
        <v>6</v>
      </c>
      <c r="G1521" s="8" t="s">
        <v>1184</v>
      </c>
      <c r="H1521" s="16" t="s">
        <v>4171</v>
      </c>
      <c r="I1521" s="16" t="s">
        <v>4635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customHeight="1">
      <c r="A1522">
        <v>5086</v>
      </c>
      <c r="B1522">
        <f>IF(表1[[#This Row],[不调整offset]]="x",IFERROR(VLOOKUP(表1[[#This Row],[8:image]],常量!J:N,4,FALSE),0),0)</f>
        <v>0</v>
      </c>
      <c r="C1522">
        <f>IF(表1[[#This Row],[不调整offset]]="x",IFERROR(VLOOKUP(表1[[#This Row],[8:image]],常量!J:N,5,FALSE),0),0)</f>
        <v>0</v>
      </c>
      <c r="E1522" t="s">
        <v>2587</v>
      </c>
      <c r="F1522">
        <v>6</v>
      </c>
      <c r="G1522" s="8" t="s">
        <v>1185</v>
      </c>
      <c r="H1522" s="16" t="s">
        <v>4172</v>
      </c>
      <c r="I1522" s="16" t="s">
        <v>4636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customHeight="1">
      <c r="A1523">
        <v>5087</v>
      </c>
      <c r="B1523">
        <f>IF(表1[[#This Row],[不调整offset]]="x",IFERROR(VLOOKUP(表1[[#This Row],[8:image]],常量!J:N,4,FALSE),0),0)</f>
        <v>0</v>
      </c>
      <c r="C1523">
        <f>IF(表1[[#This Row],[不调整offset]]="x",IFERROR(VLOOKUP(表1[[#This Row],[8:image]],常量!J:N,5,FALSE),0),0)</f>
        <v>0</v>
      </c>
      <c r="E1523" t="s">
        <v>2587</v>
      </c>
      <c r="F1523">
        <v>6</v>
      </c>
      <c r="G1523" s="8" t="s">
        <v>1175</v>
      </c>
      <c r="H1523" s="16" t="s">
        <v>4173</v>
      </c>
      <c r="I1523" s="16" t="s">
        <v>4637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customHeight="1">
      <c r="A1524">
        <v>5088</v>
      </c>
      <c r="B1524">
        <f>IF(表1[[#This Row],[不调整offset]]="x",IFERROR(VLOOKUP(表1[[#This Row],[8:image]],常量!J:N,4,FALSE),0),0)</f>
        <v>0</v>
      </c>
      <c r="C1524">
        <f>IF(表1[[#This Row],[不调整offset]]="x",IFERROR(VLOOKUP(表1[[#This Row],[8:image]],常量!J:N,5,FALSE),0),0)</f>
        <v>0</v>
      </c>
      <c r="E1524" t="s">
        <v>2587</v>
      </c>
      <c r="F1524">
        <v>6</v>
      </c>
      <c r="G1524" s="8" t="s">
        <v>63</v>
      </c>
      <c r="H1524" s="16" t="s">
        <v>4174</v>
      </c>
      <c r="I1524" s="16" t="s">
        <v>4638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customHeight="1">
      <c r="A1525">
        <v>5089</v>
      </c>
      <c r="B1525">
        <f>IF(表1[[#This Row],[不调整offset]]="x",IFERROR(VLOOKUP(表1[[#This Row],[8:image]],常量!J:N,4,FALSE),0),0)</f>
        <v>0</v>
      </c>
      <c r="C1525">
        <f>IF(表1[[#This Row],[不调整offset]]="x",IFERROR(VLOOKUP(表1[[#This Row],[8:image]],常量!J:N,5,FALSE),0),0)</f>
        <v>0</v>
      </c>
      <c r="E1525" t="s">
        <v>2587</v>
      </c>
      <c r="F1525">
        <v>6</v>
      </c>
      <c r="G1525" s="8" t="s">
        <v>1186</v>
      </c>
      <c r="H1525" s="16" t="s">
        <v>4175</v>
      </c>
      <c r="I1525" s="16" t="s">
        <v>4639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customHeight="1">
      <c r="A1526">
        <v>5090</v>
      </c>
      <c r="B1526">
        <f>IF(表1[[#This Row],[不调整offset]]="x",IFERROR(VLOOKUP(表1[[#This Row],[8:image]],常量!J:N,4,FALSE),0),0)</f>
        <v>0</v>
      </c>
      <c r="C1526">
        <f>IF(表1[[#This Row],[不调整offset]]="x",IFERROR(VLOOKUP(表1[[#This Row],[8:image]],常量!J:N,5,FALSE),0),0)</f>
        <v>0</v>
      </c>
      <c r="E1526" t="s">
        <v>2587</v>
      </c>
      <c r="F1526">
        <v>6</v>
      </c>
      <c r="G1526" s="8" t="s">
        <v>1187</v>
      </c>
      <c r="H1526" s="16" t="s">
        <v>4176</v>
      </c>
      <c r="I1526" s="16" t="s">
        <v>4640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customHeight="1">
      <c r="A1527">
        <v>5091</v>
      </c>
      <c r="B1527">
        <f>IF(表1[[#This Row],[不调整offset]]="x",IFERROR(VLOOKUP(表1[[#This Row],[8:image]],常量!J:N,4,FALSE),0),0)</f>
        <v>0</v>
      </c>
      <c r="C1527">
        <f>IF(表1[[#This Row],[不调整offset]]="x",IFERROR(VLOOKUP(表1[[#This Row],[8:image]],常量!J:N,5,FALSE),0),0)</f>
        <v>0</v>
      </c>
      <c r="E1527" t="s">
        <v>2587</v>
      </c>
      <c r="F1527">
        <v>6</v>
      </c>
      <c r="G1527" s="8" t="s">
        <v>1188</v>
      </c>
      <c r="H1527" s="16" t="s">
        <v>4177</v>
      </c>
      <c r="I1527" s="16" t="s">
        <v>4641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customHeight="1">
      <c r="A1528">
        <v>5092</v>
      </c>
      <c r="B1528">
        <f>IF(表1[[#This Row],[不调整offset]]="x",IFERROR(VLOOKUP(表1[[#This Row],[8:image]],常量!J:N,4,FALSE),0),0)</f>
        <v>0</v>
      </c>
      <c r="C1528">
        <f>IF(表1[[#This Row],[不调整offset]]="x",IFERROR(VLOOKUP(表1[[#This Row],[8:image]],常量!J:N,5,FALSE),0),0)</f>
        <v>0</v>
      </c>
      <c r="E1528" t="s">
        <v>2587</v>
      </c>
      <c r="F1528">
        <v>6</v>
      </c>
      <c r="G1528" s="8" t="s">
        <v>1189</v>
      </c>
      <c r="H1528" s="16" t="s">
        <v>4178</v>
      </c>
      <c r="I1528" s="16" t="s">
        <v>4642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customHeight="1">
      <c r="A1529">
        <v>5093</v>
      </c>
      <c r="B1529">
        <f>IF(表1[[#This Row],[不调整offset]]="x",IFERROR(VLOOKUP(表1[[#This Row],[8:image]],常量!J:N,4,FALSE),0),0)</f>
        <v>0</v>
      </c>
      <c r="C1529">
        <f>IF(表1[[#This Row],[不调整offset]]="x",IFERROR(VLOOKUP(表1[[#This Row],[8:image]],常量!J:N,5,FALSE),0),0)</f>
        <v>0</v>
      </c>
      <c r="E1529" t="s">
        <v>2587</v>
      </c>
      <c r="F1529">
        <v>6</v>
      </c>
      <c r="G1529" s="8" t="s">
        <v>1190</v>
      </c>
      <c r="H1529" s="16" t="s">
        <v>4179</v>
      </c>
      <c r="I1529" s="16" t="s">
        <v>4643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customHeight="1">
      <c r="A1530">
        <v>5094</v>
      </c>
      <c r="B1530">
        <f>IF(表1[[#This Row],[不调整offset]]="x",IFERROR(VLOOKUP(表1[[#This Row],[8:image]],常量!J:N,4,FALSE),0),0)</f>
        <v>0</v>
      </c>
      <c r="C1530">
        <f>IF(表1[[#This Row],[不调整offset]]="x",IFERROR(VLOOKUP(表1[[#This Row],[8:image]],常量!J:N,5,FALSE),0),0)</f>
        <v>0</v>
      </c>
      <c r="E1530" t="s">
        <v>2587</v>
      </c>
      <c r="F1530">
        <v>6</v>
      </c>
      <c r="G1530" s="8" t="s">
        <v>1191</v>
      </c>
      <c r="H1530" s="16" t="s">
        <v>4180</v>
      </c>
      <c r="I1530" s="16" t="s">
        <v>4644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customHeight="1">
      <c r="A1531">
        <v>5095</v>
      </c>
      <c r="B1531">
        <f>IF(表1[[#This Row],[不调整offset]]="x",IFERROR(VLOOKUP(表1[[#This Row],[8:image]],常量!J:N,4,FALSE),0),0)</f>
        <v>0</v>
      </c>
      <c r="C1531">
        <f>IF(表1[[#This Row],[不调整offset]]="x",IFERROR(VLOOKUP(表1[[#This Row],[8:image]],常量!J:N,5,FALSE),0),0)</f>
        <v>0</v>
      </c>
      <c r="E1531" t="s">
        <v>2587</v>
      </c>
      <c r="F1531">
        <v>6</v>
      </c>
      <c r="G1531" s="8" t="s">
        <v>1192</v>
      </c>
      <c r="H1531" s="16" t="s">
        <v>4181</v>
      </c>
      <c r="I1531" s="16" t="s">
        <v>4645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customHeight="1">
      <c r="A1532">
        <v>5096</v>
      </c>
      <c r="B1532">
        <f>IF(表1[[#This Row],[不调整offset]]="x",IFERROR(VLOOKUP(表1[[#This Row],[8:image]],常量!J:N,4,FALSE),0),0)</f>
        <v>0</v>
      </c>
      <c r="C1532">
        <f>IF(表1[[#This Row],[不调整offset]]="x",IFERROR(VLOOKUP(表1[[#This Row],[8:image]],常量!J:N,5,FALSE),0),0)</f>
        <v>0</v>
      </c>
      <c r="E1532" t="s">
        <v>2587</v>
      </c>
      <c r="F1532">
        <v>6</v>
      </c>
      <c r="G1532" s="8" t="s">
        <v>1193</v>
      </c>
      <c r="H1532" s="16" t="s">
        <v>4182</v>
      </c>
      <c r="I1532" s="16" t="s">
        <v>4646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customHeight="1">
      <c r="A1533">
        <v>5097</v>
      </c>
      <c r="B1533">
        <f>IF(表1[[#This Row],[不调整offset]]="x",IFERROR(VLOOKUP(表1[[#This Row],[8:image]],常量!J:N,4,FALSE),0),0)</f>
        <v>0</v>
      </c>
      <c r="C1533">
        <f>IF(表1[[#This Row],[不调整offset]]="x",IFERROR(VLOOKUP(表1[[#This Row],[8:image]],常量!J:N,5,FALSE),0),0)</f>
        <v>0</v>
      </c>
      <c r="E1533" t="s">
        <v>2587</v>
      </c>
      <c r="F1533">
        <v>6</v>
      </c>
      <c r="G1533" s="8" t="s">
        <v>337</v>
      </c>
      <c r="H1533" s="16" t="s">
        <v>4183</v>
      </c>
      <c r="I1533" s="16" t="s">
        <v>4647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customHeight="1">
      <c r="A1534">
        <v>5098</v>
      </c>
      <c r="B1534">
        <f>IF(表1[[#This Row],[不调整offset]]="x",IFERROR(VLOOKUP(表1[[#This Row],[8:image]],常量!J:N,4,FALSE),0),0)</f>
        <v>0</v>
      </c>
      <c r="C1534" s="20">
        <v>-3</v>
      </c>
      <c r="E1534">
        <v>1</v>
      </c>
      <c r="F1534" s="20">
        <v>8</v>
      </c>
      <c r="G1534" s="18" t="s">
        <v>1194</v>
      </c>
      <c r="H1534" s="17" t="s">
        <v>4657</v>
      </c>
      <c r="I1534" s="17" t="s">
        <v>4648</v>
      </c>
      <c r="J1534" t="str">
        <f>IF(LEN(VLOOKUP(表1[[#This Row],[id]],数据引用!A:C,3,FALSE))&gt;0,VLOOKUP(表1[[#This Row],[id]],数据引用!A:C,3,FALSE),"")</f>
        <v>UP + DOWN</v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 DOWN&lt;/text&gt;&lt;text transform="matrix(1 0 0 1 0 10.3205)" style="fill:#FFFFFF; font-family:'FZXS12--GB1-0'; font-size:12;"&gt;UP + DOWN&lt;/text&gt;&lt;/svg&gt;</v>
      </c>
      <c r="P1534" s="5" t="s">
        <v>1282</v>
      </c>
    </row>
    <row r="1535" spans="1:16" ht="14.25" customHeight="1">
      <c r="A1535">
        <v>5099</v>
      </c>
      <c r="B1535">
        <f>IF(表1[[#This Row],[不调整offset]]="x",IFERROR(VLOOKUP(表1[[#This Row],[8:image]],常量!J:N,4,FALSE),0),0)</f>
        <v>0</v>
      </c>
      <c r="C1535" s="20">
        <v>-3</v>
      </c>
      <c r="E1535">
        <v>1</v>
      </c>
      <c r="F1535" s="20">
        <v>8</v>
      </c>
      <c r="G1535" s="18" t="s">
        <v>1195</v>
      </c>
      <c r="H1535" s="17" t="s">
        <v>4184</v>
      </c>
      <c r="I1535" s="17" t="s">
        <v>4649</v>
      </c>
      <c r="J1535" t="str">
        <f>IF(LEN(VLOOKUP(表1[[#This Row],[id]],数据引用!A:C,3,FALSE))&gt;0,VLOOKUP(表1[[#This Row],[id]],数据引用!A:C,3,FALSE),"")</f>
        <v>LEFT +</v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 +&lt;/text&gt;&lt;text transform="matrix(1 0 0 1 0 10.3205)" style="fill:#FFFFFF; font-family:'FZXS12--GB1-0'; font-size:12;"&gt;LEFT +&lt;/text&gt;&lt;/svg&gt;</v>
      </c>
      <c r="P1535" s="5" t="s">
        <v>1282</v>
      </c>
    </row>
    <row r="1536" spans="1:16" ht="14.25" customHeight="1">
      <c r="A1536">
        <v>5100</v>
      </c>
      <c r="B1536">
        <f>IF(表1[[#This Row],[不调整offset]]="x",IFERROR(VLOOKUP(表1[[#This Row],[8:image]],常量!J:N,4,FALSE),0),0)</f>
        <v>0</v>
      </c>
      <c r="C1536" s="20">
        <v>-3</v>
      </c>
      <c r="E1536">
        <v>1</v>
      </c>
      <c r="F1536" s="20">
        <v>8</v>
      </c>
      <c r="G1536" s="18" t="s">
        <v>728</v>
      </c>
      <c r="H1536" s="17" t="s">
        <v>4185</v>
      </c>
      <c r="I1536" s="17" t="s">
        <v>4650</v>
      </c>
      <c r="J1536" t="str">
        <f>IF(LEN(VLOOKUP(表1[[#This Row],[id]],数据引用!A:C,3,FALSE))&gt;0,VLOOKUP(表1[[#This Row],[id]],数据引用!A:C,3,FALSE),"")</f>
        <v>RIGHT</v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font-size:12;"&gt;RIGHT&lt;/text&gt;&lt;text transform="matrix(1 0 0 1 0 10.3205)" style="fill:#FFFFFF; font-family:'FZXS12--GB1-0'; font-size:12;"&gt;RIGHT&lt;/text&gt;&lt;/svg&gt;</v>
      </c>
      <c r="P1536" s="5" t="s">
        <v>1282</v>
      </c>
    </row>
    <row r="1537" spans="1:16" ht="14.25" customHeight="1">
      <c r="A1537">
        <v>5101</v>
      </c>
      <c r="B1537">
        <f>IF(表1[[#This Row],[不调整offset]]="x",IFERROR(VLOOKUP(表1[[#This Row],[8:image]],常量!J:N,4,FALSE),0),0)</f>
        <v>0</v>
      </c>
      <c r="C1537" s="20">
        <v>-3</v>
      </c>
      <c r="E1537">
        <v>1</v>
      </c>
      <c r="F1537" s="20">
        <v>8</v>
      </c>
      <c r="G1537" s="18" t="s">
        <v>1196</v>
      </c>
      <c r="H1537" s="17" t="s">
        <v>4186</v>
      </c>
      <c r="I1537" s="17" t="s">
        <v>4651</v>
      </c>
      <c r="J1537" t="str">
        <f>IF(LEN(VLOOKUP(表1[[#This Row],[id]],数据引用!A:C,3,FALSE))&gt;0,VLOOKUP(表1[[#This Row],[id]],数据引用!A:C,3,FALSE),"")</f>
        <v>UP +</v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+&lt;/text&gt;&lt;text transform="matrix(1 0 0 1 0 10.3205)" style="fill:#FFFFFF; font-family:'FZXS12--GB1-0'; font-size:12;"&gt;UP +&lt;/text&gt;&lt;/svg&gt;</v>
      </c>
      <c r="P1537" s="5" t="s">
        <v>1282</v>
      </c>
    </row>
    <row r="1538" spans="1:16" ht="14.25" customHeight="1">
      <c r="A1538">
        <v>5102</v>
      </c>
      <c r="B1538">
        <f>IF(表1[[#This Row],[不调整offset]]="x",IFERROR(VLOOKUP(表1[[#This Row],[8:image]],常量!J:N,4,FALSE),0),0)</f>
        <v>0</v>
      </c>
      <c r="C1538" s="20">
        <v>-3</v>
      </c>
      <c r="E1538">
        <v>1</v>
      </c>
      <c r="F1538" s="20">
        <v>8</v>
      </c>
      <c r="G1538" s="18" t="s">
        <v>729</v>
      </c>
      <c r="H1538" s="17" t="s">
        <v>4187</v>
      </c>
      <c r="I1538" s="17" t="s">
        <v>4652</v>
      </c>
      <c r="J1538" t="str">
        <f>IF(LEN(VLOOKUP(表1[[#This Row],[id]],数据引用!A:C,3,FALSE))&gt;0,VLOOKUP(表1[[#This Row],[id]],数据引用!A:C,3,FALSE),"")</f>
        <v>DOWN</v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font-size:12;"&gt;DOWN&lt;/text&gt;&lt;text transform="matrix(1 0 0 1 0 10.3205)" style="fill:#FFFFFF; font-family:'FZXS12--GB1-0'; font-size:12;"&gt;DOWN&lt;/text&gt;&lt;/svg&gt;</v>
      </c>
      <c r="P1538" s="5" t="s">
        <v>1282</v>
      </c>
    </row>
    <row r="1539" spans="1:16" ht="14.25" customHeight="1">
      <c r="A1539">
        <v>5103</v>
      </c>
      <c r="B1539">
        <f>IF(表1[[#This Row],[不调整offset]]="x",IFERROR(VLOOKUP(表1[[#This Row],[8:image]],常量!J:N,4,FALSE),0),0)</f>
        <v>0</v>
      </c>
      <c r="C1539" s="20">
        <v>-3</v>
      </c>
      <c r="E1539">
        <v>1</v>
      </c>
      <c r="F1539" s="20">
        <v>8</v>
      </c>
      <c r="G1539" s="18" t="s">
        <v>730</v>
      </c>
      <c r="H1539" s="17" t="s">
        <v>4188</v>
      </c>
      <c r="I1539" s="17" t="s">
        <v>4653</v>
      </c>
      <c r="J1539" t="str">
        <f>IF(LEN(VLOOKUP(表1[[#This Row],[id]],数据引用!A:C,3,FALSE))&gt;0,VLOOKUP(表1[[#This Row],[id]],数据引用!A:C,3,FALSE),"")</f>
        <v>LEFT</v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font-size:12;"&gt;LEFT&lt;/text&gt;&lt;text transform="matrix(1 0 0 1 0 10.3205)" style="fill:#FFFFFF; font-family:'FZXS12--GB1-0'; font-size:12;"&gt;LEFT&lt;/text&gt;&lt;/svg&gt;</v>
      </c>
      <c r="P1539" s="5" t="s">
        <v>1282</v>
      </c>
    </row>
    <row r="1540" spans="1:16" ht="14.25" customHeight="1">
      <c r="A1540">
        <v>5104</v>
      </c>
      <c r="B1540">
        <f>IF(表1[[#This Row],[不调整offset]]="x",IFERROR(VLOOKUP(表1[[#This Row],[8:image]],常量!J:N,4,FALSE),0),0)</f>
        <v>0</v>
      </c>
      <c r="C1540" s="20">
        <v>-3</v>
      </c>
      <c r="E1540">
        <v>1</v>
      </c>
      <c r="F1540" s="20">
        <v>8</v>
      </c>
      <c r="G1540" s="18" t="s">
        <v>1197</v>
      </c>
      <c r="H1540" s="17" t="s">
        <v>4189</v>
      </c>
      <c r="I1540" s="17" t="s">
        <v>4654</v>
      </c>
      <c r="J1540" t="str">
        <f>IF(LEN(VLOOKUP(表1[[#This Row],[id]],数据引用!A:C,3,FALSE))&gt;0,VLOOKUP(表1[[#This Row],[id]],数据引用!A:C,3,FALSE),"")</f>
        <v>DOWN +</v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 +&lt;/text&gt;&lt;text transform="matrix(1 0 0 1 0 10.3205)" style="fill:#FFFFFF; font-family:'FZXS12--GB1-0'; font-size:12;"&gt;DOWN +&lt;/text&gt;&lt;/svg&gt;</v>
      </c>
      <c r="P1540" s="5" t="s">
        <v>1282</v>
      </c>
    </row>
    <row r="1541" spans="1:16" ht="14.25" customHeight="1">
      <c r="A1541">
        <v>5203</v>
      </c>
      <c r="B1541">
        <f>IF(表1[[#This Row],[不调整offset]]="x",IFERROR(VLOOKUP(表1[[#This Row],[8:image]],常量!J:N,4,FALSE),0),0)</f>
        <v>0</v>
      </c>
      <c r="C1541">
        <f>IF(表1[[#This Row],[不调整offset]]="x",IFERROR(VLOOKUP(表1[[#This Row],[8:image]],常量!J:N,5,FALSE),0),0)</f>
        <v>0</v>
      </c>
      <c r="E1541">
        <v>1</v>
      </c>
      <c r="F1541">
        <v>12</v>
      </c>
      <c r="G1541" s="8" t="s">
        <v>1111</v>
      </c>
      <c r="H1541" s="16" t="s">
        <v>4190</v>
      </c>
      <c r="I1541" s="19"/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IF(表1[[#This Row],[不调整offset]]="x",IFERROR(VLOOKUP(表1[[#This Row],[8:image]],常量!J:N,4,FALSE),0),0)</f>
        <v>0</v>
      </c>
      <c r="C1542">
        <f>IF(表1[[#This Row],[不调整offset]]="x",IFERROR(VLOOKUP(表1[[#This Row],[8:image]],常量!J:N,5,FALSE),0),0)</f>
        <v>0</v>
      </c>
      <c r="E1542">
        <v>1</v>
      </c>
      <c r="F1542">
        <v>12</v>
      </c>
      <c r="G1542" s="8" t="s">
        <v>1112</v>
      </c>
      <c r="H1542" s="16" t="s">
        <v>4191</v>
      </c>
      <c r="I1542" s="19"/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IF(表1[[#This Row],[不调整offset]]="x",IFERROR(VLOOKUP(表1[[#This Row],[8:image]],常量!J:N,4,FALSE),0),0)</f>
        <v>0</v>
      </c>
      <c r="C1543">
        <f>IF(表1[[#This Row],[不调整offset]]="x",IFERROR(VLOOKUP(表1[[#This Row],[8:image]],常量!J:N,5,FALSE),0),0)</f>
        <v>0</v>
      </c>
      <c r="E1543">
        <v>1</v>
      </c>
      <c r="F1543">
        <v>12</v>
      </c>
      <c r="G1543" s="8" t="s">
        <v>1113</v>
      </c>
      <c r="H1543" s="16" t="s">
        <v>4192</v>
      </c>
      <c r="I1543" s="19"/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IF(表1[[#This Row],[不调整offset]]="x",IFERROR(VLOOKUP(表1[[#This Row],[8:image]],常量!J:N,4,FALSE),0),0)</f>
        <v>0</v>
      </c>
      <c r="C1544">
        <f>IF(表1[[#This Row],[不调整offset]]="x",IFERROR(VLOOKUP(表1[[#This Row],[8:image]],常量!J:N,5,FALSE),0),0)</f>
        <v>0</v>
      </c>
      <c r="E1544">
        <v>1</v>
      </c>
      <c r="F1544">
        <v>12</v>
      </c>
      <c r="G1544" s="8" t="s">
        <v>1114</v>
      </c>
      <c r="H1544" s="16" t="s">
        <v>4193</v>
      </c>
      <c r="I1544" s="19"/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IF(表1[[#This Row],[不调整offset]]="x",IFERROR(VLOOKUP(表1[[#This Row],[8:image]],常量!J:N,4,FALSE),0),0)</f>
        <v>0</v>
      </c>
      <c r="C1545">
        <f>IF(表1[[#This Row],[不调整offset]]="x",IFERROR(VLOOKUP(表1[[#This Row],[8:image]],常量!J:N,5,FALSE),0),0)</f>
        <v>0</v>
      </c>
      <c r="E1545">
        <v>1</v>
      </c>
      <c r="F1545">
        <v>12</v>
      </c>
      <c r="G1545" s="8" t="s">
        <v>1115</v>
      </c>
      <c r="H1545" s="16" t="s">
        <v>4194</v>
      </c>
      <c r="I1545" s="19"/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IF(表1[[#This Row],[不调整offset]]="x",IFERROR(VLOOKUP(表1[[#This Row],[8:image]],常量!J:N,4,FALSE),0),0)</f>
        <v>0</v>
      </c>
      <c r="C1546">
        <f>IF(表1[[#This Row],[不调整offset]]="x",IFERROR(VLOOKUP(表1[[#This Row],[8:image]],常量!J:N,5,FALSE),0),0)</f>
        <v>0</v>
      </c>
      <c r="E1546">
        <v>1</v>
      </c>
      <c r="F1546">
        <v>12</v>
      </c>
      <c r="G1546" s="8" t="s">
        <v>1116</v>
      </c>
      <c r="H1546" s="16" t="s">
        <v>4195</v>
      </c>
      <c r="I1546" s="19"/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IF(表1[[#This Row],[不调整offset]]="x",IFERROR(VLOOKUP(表1[[#This Row],[8:image]],常量!J:N,4,FALSE),0),0)</f>
        <v>0</v>
      </c>
      <c r="C1547">
        <f>IF(表1[[#This Row],[不调整offset]]="x",IFERROR(VLOOKUP(表1[[#This Row],[8:image]],常量!J:N,5,FALSE),0),0)</f>
        <v>0</v>
      </c>
      <c r="E1547">
        <v>1</v>
      </c>
      <c r="F1547">
        <v>12</v>
      </c>
      <c r="G1547" s="8" t="s">
        <v>1117</v>
      </c>
      <c r="H1547" s="16" t="s">
        <v>4196</v>
      </c>
      <c r="I1547" s="19"/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IF(表1[[#This Row],[不调整offset]]="x",IFERROR(VLOOKUP(表1[[#This Row],[8:image]],常量!J:N,4,FALSE),0),0)</f>
        <v>0</v>
      </c>
      <c r="C1548">
        <f>IF(表1[[#This Row],[不调整offset]]="x",IFERROR(VLOOKUP(表1[[#This Row],[8:image]],常量!J:N,5,FALSE),0),0)</f>
        <v>0</v>
      </c>
      <c r="E1548">
        <v>1</v>
      </c>
      <c r="F1548">
        <v>12</v>
      </c>
      <c r="G1548" s="8" t="s">
        <v>1118</v>
      </c>
      <c r="H1548" s="16" t="s">
        <v>4197</v>
      </c>
      <c r="I1548" s="19"/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IF(表1[[#This Row],[不调整offset]]="x",IFERROR(VLOOKUP(表1[[#This Row],[8:image]],常量!J:N,4,FALSE),0),0)</f>
        <v>0</v>
      </c>
      <c r="C1549">
        <f>IF(表1[[#This Row],[不调整offset]]="x",IFERROR(VLOOKUP(表1[[#This Row],[8:image]],常量!J:N,5,FALSE),0),0)</f>
        <v>0</v>
      </c>
      <c r="E1549">
        <v>1</v>
      </c>
      <c r="F1549">
        <v>12</v>
      </c>
      <c r="G1549" s="8" t="s">
        <v>1119</v>
      </c>
      <c r="H1549" s="16" t="s">
        <v>4198</v>
      </c>
      <c r="I1549" s="19"/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IF(表1[[#This Row],[不调整offset]]="x",IFERROR(VLOOKUP(表1[[#This Row],[8:image]],常量!J:N,4,FALSE),0),0)</f>
        <v>0</v>
      </c>
      <c r="C1550">
        <f>IF(表1[[#This Row],[不调整offset]]="x",IFERROR(VLOOKUP(表1[[#This Row],[8:image]],常量!J:N,5,FALSE),0),0)</f>
        <v>0</v>
      </c>
      <c r="E1550">
        <v>1</v>
      </c>
      <c r="F1550">
        <v>12</v>
      </c>
      <c r="G1550" s="8" t="s">
        <v>1120</v>
      </c>
      <c r="H1550" s="16" t="s">
        <v>4199</v>
      </c>
      <c r="I1550" s="19"/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IF(表1[[#This Row],[不调整offset]]="x",IFERROR(VLOOKUP(表1[[#This Row],[8:image]],常量!J:N,4,FALSE),0),0)</f>
        <v>0</v>
      </c>
      <c r="C1551">
        <f>IF(表1[[#This Row],[不调整offset]]="x",IFERROR(VLOOKUP(表1[[#This Row],[8:image]],常量!J:N,5,FALSE),0),0)</f>
        <v>0</v>
      </c>
      <c r="E1551">
        <v>1</v>
      </c>
      <c r="F1551">
        <v>12</v>
      </c>
      <c r="G1551" s="8" t="s">
        <v>1121</v>
      </c>
      <c r="H1551" s="16" t="s">
        <v>4200</v>
      </c>
      <c r="I1551" s="19"/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IF(表1[[#This Row],[不调整offset]]="x",IFERROR(VLOOKUP(表1[[#This Row],[8:image]],常量!J:N,4,FALSE),0),0)</f>
        <v>0</v>
      </c>
      <c r="C1552">
        <f>IF(表1[[#This Row],[不调整offset]]="x",IFERROR(VLOOKUP(表1[[#This Row],[8:image]],常量!J:N,5,FALSE),0),0)</f>
        <v>0</v>
      </c>
      <c r="E1552">
        <v>1</v>
      </c>
      <c r="F1552">
        <v>12</v>
      </c>
      <c r="G1552" s="8" t="s">
        <v>730</v>
      </c>
      <c r="H1552" s="16" t="s">
        <v>4201</v>
      </c>
      <c r="I1552" s="19"/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IF(表1[[#This Row],[不调整offset]]="x",IFERROR(VLOOKUP(表1[[#This Row],[8:image]],常量!J:N,4,FALSE),0),0)</f>
        <v>0</v>
      </c>
      <c r="C1553">
        <f>IF(表1[[#This Row],[不调整offset]]="x",IFERROR(VLOOKUP(表1[[#This Row],[8:image]],常量!J:N,5,FALSE),0),0)</f>
        <v>0</v>
      </c>
      <c r="E1553">
        <v>1</v>
      </c>
      <c r="F1553">
        <v>12</v>
      </c>
      <c r="G1553" s="8" t="s">
        <v>727</v>
      </c>
      <c r="H1553" s="16" t="s">
        <v>4202</v>
      </c>
      <c r="I1553" s="19"/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IF(表1[[#This Row],[不调整offset]]="x",IFERROR(VLOOKUP(表1[[#This Row],[8:image]],常量!J:N,4,FALSE),0),0)</f>
        <v>0</v>
      </c>
      <c r="C1554">
        <f>IF(表1[[#This Row],[不调整offset]]="x",IFERROR(VLOOKUP(表1[[#This Row],[8:image]],常量!J:N,5,FALSE),0),0)</f>
        <v>0</v>
      </c>
      <c r="E1554">
        <v>1</v>
      </c>
      <c r="F1554">
        <v>12</v>
      </c>
      <c r="G1554" s="8" t="s">
        <v>728</v>
      </c>
      <c r="H1554" s="16" t="s">
        <v>4203</v>
      </c>
      <c r="I1554" s="19"/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IF(表1[[#This Row],[不调整offset]]="x",IFERROR(VLOOKUP(表1[[#This Row],[8:image]],常量!J:N,4,FALSE),0),0)</f>
        <v>0</v>
      </c>
      <c r="C1555">
        <f>IF(表1[[#This Row],[不调整offset]]="x",IFERROR(VLOOKUP(表1[[#This Row],[8:image]],常量!J:N,5,FALSE),0),0)</f>
        <v>0</v>
      </c>
      <c r="E1555">
        <v>1</v>
      </c>
      <c r="F1555">
        <v>12</v>
      </c>
      <c r="G1555" s="8" t="s">
        <v>729</v>
      </c>
      <c r="H1555" s="16" t="s">
        <v>4204</v>
      </c>
      <c r="I1555" s="19"/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IF(表1[[#This Row],[不调整offset]]="x",IFERROR(VLOOKUP(表1[[#This Row],[8:image]],常量!J:N,4,FALSE),0),0)</f>
        <v>0</v>
      </c>
      <c r="C1556">
        <f>IF(表1[[#This Row],[不调整offset]]="x",IFERROR(VLOOKUP(表1[[#This Row],[8:image]],常量!J:N,5,FALSE),0),0)</f>
        <v>0</v>
      </c>
      <c r="E1556">
        <v>1</v>
      </c>
      <c r="F1556">
        <v>12</v>
      </c>
      <c r="G1556" s="8" t="s">
        <v>1122</v>
      </c>
      <c r="H1556" s="16" t="s">
        <v>4205</v>
      </c>
      <c r="I1556" s="19"/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IF(表1[[#This Row],[不调整offset]]="x",IFERROR(VLOOKUP(表1[[#This Row],[8:image]],常量!J:N,4,FALSE),0),0)</f>
        <v>0</v>
      </c>
      <c r="C1557">
        <f>IF(表1[[#This Row],[不调整offset]]="x",IFERROR(VLOOKUP(表1[[#This Row],[8:image]],常量!J:N,5,FALSE),0),0)</f>
        <v>0</v>
      </c>
      <c r="E1557">
        <v>1</v>
      </c>
      <c r="F1557">
        <v>12</v>
      </c>
      <c r="G1557" s="8" t="s">
        <v>1123</v>
      </c>
      <c r="H1557" s="16" t="s">
        <v>4206</v>
      </c>
      <c r="I1557" s="19"/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IF(表1[[#This Row],[不调整offset]]="x",IFERROR(VLOOKUP(表1[[#This Row],[8:image]],常量!J:N,4,FALSE),0),0)</f>
        <v>0</v>
      </c>
      <c r="C1558">
        <f>IF(表1[[#This Row],[不调整offset]]="x",IFERROR(VLOOKUP(表1[[#This Row],[8:image]],常量!J:N,5,FALSE),0),0)</f>
        <v>0</v>
      </c>
      <c r="E1558">
        <v>1</v>
      </c>
      <c r="F1558">
        <v>12</v>
      </c>
      <c r="G1558" s="8" t="s">
        <v>1124</v>
      </c>
      <c r="H1558" s="16" t="s">
        <v>4207</v>
      </c>
      <c r="I1558" s="19"/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IF(表1[[#This Row],[不调整offset]]="x",IFERROR(VLOOKUP(表1[[#This Row],[8:image]],常量!J:N,4,FALSE),0),0)</f>
        <v>0</v>
      </c>
      <c r="C1559">
        <f>IF(表1[[#This Row],[不调整offset]]="x",IFERROR(VLOOKUP(表1[[#This Row],[8:image]],常量!J:N,5,FALSE),0),0)</f>
        <v>0</v>
      </c>
      <c r="E1559">
        <v>1</v>
      </c>
      <c r="F1559">
        <v>12</v>
      </c>
      <c r="G1559" s="8" t="s">
        <v>1125</v>
      </c>
      <c r="H1559" s="16" t="s">
        <v>4208</v>
      </c>
      <c r="I1559" s="19"/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IF(表1[[#This Row],[不调整offset]]="x",IFERROR(VLOOKUP(表1[[#This Row],[8:image]],常量!J:N,4,FALSE),0),0)</f>
        <v>0</v>
      </c>
      <c r="C1560">
        <f>IF(表1[[#This Row],[不调整offset]]="x",IFERROR(VLOOKUP(表1[[#This Row],[8:image]],常量!J:N,5,FALSE),0),0)</f>
        <v>0</v>
      </c>
      <c r="E1560">
        <v>1</v>
      </c>
      <c r="F1560">
        <v>12</v>
      </c>
      <c r="G1560" s="8" t="s">
        <v>1126</v>
      </c>
      <c r="H1560" s="16" t="s">
        <v>4209</v>
      </c>
      <c r="I1560" s="19"/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IF(表1[[#This Row],[不调整offset]]="x",IFERROR(VLOOKUP(表1[[#This Row],[8:image]],常量!J:N,4,FALSE),0),0)</f>
        <v>0</v>
      </c>
      <c r="C1561">
        <f>IF(表1[[#This Row],[不调整offset]]="x",IFERROR(VLOOKUP(表1[[#This Row],[8:image]],常量!J:N,5,FALSE),0),0)</f>
        <v>0</v>
      </c>
      <c r="E1561">
        <v>1</v>
      </c>
      <c r="F1561">
        <v>12</v>
      </c>
      <c r="G1561" s="8" t="s">
        <v>1127</v>
      </c>
      <c r="H1561" s="16" t="s">
        <v>4210</v>
      </c>
      <c r="I1561" s="19"/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IF(表1[[#This Row],[不调整offset]]="x",IFERROR(VLOOKUP(表1[[#This Row],[8:image]],常量!J:N,4,FALSE),0),0)</f>
        <v>0</v>
      </c>
      <c r="C1562">
        <f>IF(表1[[#This Row],[不调整offset]]="x",IFERROR(VLOOKUP(表1[[#This Row],[8:image]],常量!J:N,5,FALSE),0),0)</f>
        <v>0</v>
      </c>
      <c r="E1562">
        <v>1</v>
      </c>
      <c r="F1562">
        <v>12</v>
      </c>
      <c r="G1562" s="8" t="s">
        <v>1128</v>
      </c>
      <c r="H1562" s="16" t="s">
        <v>4211</v>
      </c>
      <c r="I1562" s="19"/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IF(表1[[#This Row],[不调整offset]]="x",IFERROR(VLOOKUP(表1[[#This Row],[8:image]],常量!J:N,4,FALSE),0),0)</f>
        <v>0</v>
      </c>
      <c r="C1563">
        <f>IF(表1[[#This Row],[不调整offset]]="x",IFERROR(VLOOKUP(表1[[#This Row],[8:image]],常量!J:N,5,FALSE),0),0)</f>
        <v>0</v>
      </c>
      <c r="E1563">
        <v>1</v>
      </c>
      <c r="F1563">
        <v>12</v>
      </c>
      <c r="G1563" s="8" t="s">
        <v>1129</v>
      </c>
      <c r="H1563" s="16" t="s">
        <v>4212</v>
      </c>
      <c r="I1563" s="19"/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IF(表1[[#This Row],[不调整offset]]="x",IFERROR(VLOOKUP(表1[[#This Row],[8:image]],常量!J:N,4,FALSE),0),0)</f>
        <v>0</v>
      </c>
      <c r="C1564">
        <f>IF(表1[[#This Row],[不调整offset]]="x",IFERROR(VLOOKUP(表1[[#This Row],[8:image]],常量!J:N,5,FALSE),0),0)</f>
        <v>0</v>
      </c>
      <c r="E1564">
        <v>1</v>
      </c>
      <c r="F1564">
        <v>12</v>
      </c>
      <c r="G1564" s="8" t="s">
        <v>1130</v>
      </c>
      <c r="H1564" s="16" t="s">
        <v>4213</v>
      </c>
      <c r="I1564" s="19"/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IF(表1[[#This Row],[不调整offset]]="x",IFERROR(VLOOKUP(表1[[#This Row],[8:image]],常量!J:N,4,FALSE),0),0)</f>
        <v>0</v>
      </c>
      <c r="C1565">
        <f>IF(表1[[#This Row],[不调整offset]]="x",IFERROR(VLOOKUP(表1[[#This Row],[8:image]],常量!J:N,5,FALSE),0),0)</f>
        <v>0</v>
      </c>
      <c r="E1565">
        <v>1</v>
      </c>
      <c r="F1565">
        <v>12</v>
      </c>
      <c r="G1565" s="8" t="s">
        <v>1131</v>
      </c>
      <c r="H1565" s="16" t="s">
        <v>4214</v>
      </c>
      <c r="I1565" s="19"/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IF(表1[[#This Row],[不调整offset]]="x",IFERROR(VLOOKUP(表1[[#This Row],[8:image]],常量!J:N,4,FALSE),0),0)</f>
        <v>0</v>
      </c>
      <c r="C1566">
        <f>IF(表1[[#This Row],[不调整offset]]="x",IFERROR(VLOOKUP(表1[[#This Row],[8:image]],常量!J:N,5,FALSE),0),0)</f>
        <v>0</v>
      </c>
      <c r="E1566">
        <v>1</v>
      </c>
      <c r="F1566">
        <v>12</v>
      </c>
      <c r="G1566" s="8" t="s">
        <v>1132</v>
      </c>
      <c r="H1566" s="16" t="s">
        <v>4215</v>
      </c>
      <c r="I1566" s="19"/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IF(表1[[#This Row],[不调整offset]]="x",IFERROR(VLOOKUP(表1[[#This Row],[8:image]],常量!J:N,4,FALSE),0),0)</f>
        <v>0</v>
      </c>
      <c r="C1567">
        <f>IF(表1[[#This Row],[不调整offset]]="x",IFERROR(VLOOKUP(表1[[#This Row],[8:image]],常量!J:N,5,FALSE),0),0)</f>
        <v>0</v>
      </c>
      <c r="E1567">
        <v>1</v>
      </c>
      <c r="F1567">
        <v>12</v>
      </c>
      <c r="G1567" s="8" t="s">
        <v>1133</v>
      </c>
      <c r="H1567" s="16" t="s">
        <v>4216</v>
      </c>
      <c r="I1567" s="19"/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IF(表1[[#This Row],[不调整offset]]="x",IFERROR(VLOOKUP(表1[[#This Row],[8:image]],常量!J:N,4,FALSE),0),0)</f>
        <v>0</v>
      </c>
      <c r="C1568">
        <f>IF(表1[[#This Row],[不调整offset]]="x",IFERROR(VLOOKUP(表1[[#This Row],[8:image]],常量!J:N,5,FALSE),0),0)</f>
        <v>0</v>
      </c>
      <c r="E1568">
        <v>1</v>
      </c>
      <c r="F1568">
        <v>12</v>
      </c>
      <c r="G1568" s="8" t="s">
        <v>1134</v>
      </c>
      <c r="H1568" s="16" t="s">
        <v>4217</v>
      </c>
      <c r="I1568" s="19"/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IF(表1[[#This Row],[不调整offset]]="x",IFERROR(VLOOKUP(表1[[#This Row],[8:image]],常量!J:N,4,FALSE),0),0)</f>
        <v>0</v>
      </c>
      <c r="C1569">
        <f>IF(表1[[#This Row],[不调整offset]]="x",IFERROR(VLOOKUP(表1[[#This Row],[8:image]],常量!J:N,5,FALSE),0),0)</f>
        <v>0</v>
      </c>
      <c r="E1569">
        <v>1</v>
      </c>
      <c r="F1569">
        <v>12</v>
      </c>
      <c r="G1569" s="8" t="s">
        <v>1135</v>
      </c>
      <c r="H1569" s="16" t="s">
        <v>4218</v>
      </c>
      <c r="I1569" s="19"/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IF(表1[[#This Row],[不调整offset]]="x",IFERROR(VLOOKUP(表1[[#This Row],[8:image]],常量!J:N,4,FALSE),0),0)</f>
        <v>0</v>
      </c>
      <c r="C1570">
        <f>IF(表1[[#This Row],[不调整offset]]="x",IFERROR(VLOOKUP(表1[[#This Row],[8:image]],常量!J:N,5,FALSE),0),0)</f>
        <v>0</v>
      </c>
      <c r="E1570">
        <v>1</v>
      </c>
      <c r="F1570">
        <v>12</v>
      </c>
      <c r="G1570" s="8" t="s">
        <v>1136</v>
      </c>
      <c r="H1570" s="16" t="s">
        <v>4219</v>
      </c>
      <c r="I1570" s="19"/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IF(表1[[#This Row],[不调整offset]]="x",IFERROR(VLOOKUP(表1[[#This Row],[8:image]],常量!J:N,4,FALSE),0),0)</f>
        <v>0</v>
      </c>
      <c r="C1571">
        <f>IF(表1[[#This Row],[不调整offset]]="x",IFERROR(VLOOKUP(表1[[#This Row],[8:image]],常量!J:N,5,FALSE),0),0)</f>
        <v>0</v>
      </c>
      <c r="E1571">
        <v>1</v>
      </c>
      <c r="F1571">
        <v>12</v>
      </c>
      <c r="G1571" s="8" t="s">
        <v>1137</v>
      </c>
      <c r="H1571" s="16" t="s">
        <v>4220</v>
      </c>
      <c r="I1571" s="19"/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IF(表1[[#This Row],[不调整offset]]="x",IFERROR(VLOOKUP(表1[[#This Row],[8:image]],常量!J:N,4,FALSE),0),0)</f>
        <v>0</v>
      </c>
      <c r="C1572">
        <f>IF(表1[[#This Row],[不调整offset]]="x",IFERROR(VLOOKUP(表1[[#This Row],[8:image]],常量!J:N,5,FALSE),0),0)</f>
        <v>0</v>
      </c>
      <c r="E1572">
        <v>1</v>
      </c>
      <c r="F1572">
        <v>12</v>
      </c>
      <c r="G1572" s="8" t="s">
        <v>1138</v>
      </c>
      <c r="H1572" s="16" t="s">
        <v>4221</v>
      </c>
      <c r="I1572" s="19"/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IF(表1[[#This Row],[不调整offset]]="x",IFERROR(VLOOKUP(表1[[#This Row],[8:image]],常量!J:N,4,FALSE),0),0)</f>
        <v>0</v>
      </c>
      <c r="C1573">
        <f>IF(表1[[#This Row],[不调整offset]]="x",IFERROR(VLOOKUP(表1[[#This Row],[8:image]],常量!J:N,5,FALSE),0),0)</f>
        <v>0</v>
      </c>
      <c r="E1573">
        <v>1</v>
      </c>
      <c r="F1573">
        <v>12</v>
      </c>
      <c r="G1573" s="8" t="s">
        <v>1139</v>
      </c>
      <c r="H1573" s="16" t="s">
        <v>4222</v>
      </c>
      <c r="I1573" s="19"/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IF(表1[[#This Row],[不调整offset]]="x",IFERROR(VLOOKUP(表1[[#This Row],[8:image]],常量!J:N,4,FALSE),0),0)</f>
        <v>0</v>
      </c>
      <c r="C1574">
        <f>IF(表1[[#This Row],[不调整offset]]="x",IFERROR(VLOOKUP(表1[[#This Row],[8:image]],常量!J:N,5,FALSE),0),0)</f>
        <v>0</v>
      </c>
      <c r="E1574">
        <v>1</v>
      </c>
      <c r="F1574">
        <v>12</v>
      </c>
      <c r="G1574" s="8" t="s">
        <v>1140</v>
      </c>
      <c r="H1574" s="16" t="s">
        <v>4223</v>
      </c>
      <c r="I1574" s="19"/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IF(表1[[#This Row],[不调整offset]]="x",IFERROR(VLOOKUP(表1[[#This Row],[8:image]],常量!J:N,4,FALSE),0),0)</f>
        <v>0</v>
      </c>
      <c r="C1575">
        <f>IF(表1[[#This Row],[不调整offset]]="x",IFERROR(VLOOKUP(表1[[#This Row],[8:image]],常量!J:N,5,FALSE),0),0)</f>
        <v>0</v>
      </c>
      <c r="E1575">
        <v>1</v>
      </c>
      <c r="F1575">
        <v>12</v>
      </c>
      <c r="G1575" s="8" t="s">
        <v>1141</v>
      </c>
      <c r="H1575" s="16" t="s">
        <v>4224</v>
      </c>
      <c r="I1575" s="19"/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IF(表1[[#This Row],[不调整offset]]="x",IFERROR(VLOOKUP(表1[[#This Row],[8:image]],常量!J:N,4,FALSE),0),0)</f>
        <v>0</v>
      </c>
      <c r="C1576">
        <f>IF(表1[[#This Row],[不调整offset]]="x",IFERROR(VLOOKUP(表1[[#This Row],[8:image]],常量!J:N,5,FALSE),0),0)</f>
        <v>0</v>
      </c>
      <c r="E1576">
        <v>1</v>
      </c>
      <c r="F1576">
        <v>12</v>
      </c>
      <c r="G1576" s="8" t="s">
        <v>1142</v>
      </c>
      <c r="H1576" s="16" t="s">
        <v>4225</v>
      </c>
      <c r="I1576" s="19"/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IF(表1[[#This Row],[不调整offset]]="x",IFERROR(VLOOKUP(表1[[#This Row],[8:image]],常量!J:N,4,FALSE),0),0)</f>
        <v>0</v>
      </c>
      <c r="C1577">
        <f>IF(表1[[#This Row],[不调整offset]]="x",IFERROR(VLOOKUP(表1[[#This Row],[8:image]],常量!J:N,5,FALSE),0),0)</f>
        <v>0</v>
      </c>
      <c r="E1577">
        <v>1</v>
      </c>
      <c r="F1577">
        <v>12</v>
      </c>
      <c r="G1577" s="8" t="s">
        <v>1143</v>
      </c>
      <c r="H1577" s="16" t="s">
        <v>4226</v>
      </c>
      <c r="I1577" s="19"/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IF(表1[[#This Row],[不调整offset]]="x",IFERROR(VLOOKUP(表1[[#This Row],[8:image]],常量!J:N,4,FALSE),0),0)</f>
        <v>0</v>
      </c>
      <c r="C1578">
        <f>IF(表1[[#This Row],[不调整offset]]="x",IFERROR(VLOOKUP(表1[[#This Row],[8:image]],常量!J:N,5,FALSE),0),0)</f>
        <v>0</v>
      </c>
      <c r="E1578">
        <v>1</v>
      </c>
      <c r="F1578">
        <v>12</v>
      </c>
      <c r="G1578" s="8" t="s">
        <v>1144</v>
      </c>
      <c r="H1578" s="16" t="s">
        <v>4227</v>
      </c>
      <c r="I1578" s="19"/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IF(表1[[#This Row],[不调整offset]]="x",IFERROR(VLOOKUP(表1[[#This Row],[8:image]],常量!J:N,4,FALSE),0),0)</f>
        <v>0</v>
      </c>
      <c r="C1579">
        <f>IF(表1[[#This Row],[不调整offset]]="x",IFERROR(VLOOKUP(表1[[#This Row],[8:image]],常量!J:N,5,FALSE),0),0)</f>
        <v>0</v>
      </c>
      <c r="E1579">
        <v>1</v>
      </c>
      <c r="F1579">
        <v>12</v>
      </c>
      <c r="G1579" s="8" t="s">
        <v>1145</v>
      </c>
      <c r="H1579" s="16" t="s">
        <v>4228</v>
      </c>
      <c r="I1579" s="19"/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IF(表1[[#This Row],[不调整offset]]="x",IFERROR(VLOOKUP(表1[[#This Row],[8:image]],常量!J:N,4,FALSE),0),0)</f>
        <v>0</v>
      </c>
      <c r="C1580">
        <f>IF(表1[[#This Row],[不调整offset]]="x",IFERROR(VLOOKUP(表1[[#This Row],[8:image]],常量!J:N,5,FALSE),0),0)</f>
        <v>0</v>
      </c>
      <c r="E1580">
        <v>1</v>
      </c>
      <c r="F1580">
        <v>12</v>
      </c>
      <c r="G1580" s="8" t="s">
        <v>1146</v>
      </c>
      <c r="H1580" s="16" t="s">
        <v>4229</v>
      </c>
      <c r="I1580" s="19"/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IF(表1[[#This Row],[不调整offset]]="x",IFERROR(VLOOKUP(表1[[#This Row],[8:image]],常量!J:N,4,FALSE),0),0)</f>
        <v>0</v>
      </c>
      <c r="C1581">
        <f>IF(表1[[#This Row],[不调整offset]]="x",IFERROR(VLOOKUP(表1[[#This Row],[8:image]],常量!J:N,5,FALSE),0),0)</f>
        <v>0</v>
      </c>
      <c r="E1581">
        <v>1</v>
      </c>
      <c r="F1581">
        <v>12</v>
      </c>
      <c r="G1581" s="8" t="s">
        <v>1147</v>
      </c>
      <c r="H1581" s="16" t="s">
        <v>4230</v>
      </c>
      <c r="I1581" s="19"/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IF(表1[[#This Row],[不调整offset]]="x",IFERROR(VLOOKUP(表1[[#This Row],[8:image]],常量!J:N,4,FALSE),0),0)</f>
        <v>0</v>
      </c>
      <c r="C1582">
        <f>IF(表1[[#This Row],[不调整offset]]="x",IFERROR(VLOOKUP(表1[[#This Row],[8:image]],常量!J:N,5,FALSE),0),0)</f>
        <v>0</v>
      </c>
      <c r="E1582">
        <v>1</v>
      </c>
      <c r="F1582">
        <v>12</v>
      </c>
      <c r="G1582" s="8" t="s">
        <v>1148</v>
      </c>
      <c r="H1582" s="16" t="s">
        <v>4231</v>
      </c>
      <c r="I1582" s="19"/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IF(表1[[#This Row],[不调整offset]]="x",IFERROR(VLOOKUP(表1[[#This Row],[8:image]],常量!J:N,4,FALSE),0),0)</f>
        <v>0</v>
      </c>
      <c r="C1583">
        <f>IF(表1[[#This Row],[不调整offset]]="x",IFERROR(VLOOKUP(表1[[#This Row],[8:image]],常量!J:N,5,FALSE),0),0)</f>
        <v>0</v>
      </c>
      <c r="E1583">
        <v>1</v>
      </c>
      <c r="F1583">
        <v>12</v>
      </c>
      <c r="G1583" s="8" t="s">
        <v>1149</v>
      </c>
      <c r="H1583" s="16" t="s">
        <v>4232</v>
      </c>
      <c r="I1583" s="19"/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IF(表1[[#This Row],[不调整offset]]="x",IFERROR(VLOOKUP(表1[[#This Row],[8:image]],常量!J:N,4,FALSE),0),0)</f>
        <v>0</v>
      </c>
      <c r="C1584">
        <f>IF(表1[[#This Row],[不调整offset]]="x",IFERROR(VLOOKUP(表1[[#This Row],[8:image]],常量!J:N,5,FALSE),0),0)</f>
        <v>0</v>
      </c>
      <c r="E1584">
        <v>1</v>
      </c>
      <c r="F1584">
        <v>12</v>
      </c>
      <c r="G1584" s="8" t="s">
        <v>1150</v>
      </c>
      <c r="H1584" s="16" t="s">
        <v>4233</v>
      </c>
      <c r="I1584" s="19"/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IF(表1[[#This Row],[不调整offset]]="x",IFERROR(VLOOKUP(表1[[#This Row],[8:image]],常量!J:N,4,FALSE),0),0)</f>
        <v>0</v>
      </c>
      <c r="C1585">
        <f>IF(表1[[#This Row],[不调整offset]]="x",IFERROR(VLOOKUP(表1[[#This Row],[8:image]],常量!J:N,5,FALSE),0),0)</f>
        <v>0</v>
      </c>
      <c r="E1585">
        <v>1</v>
      </c>
      <c r="F1585">
        <v>12</v>
      </c>
      <c r="G1585" s="8" t="s">
        <v>1151</v>
      </c>
      <c r="H1585" s="16" t="s">
        <v>4234</v>
      </c>
      <c r="I1585" s="19"/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IF(表1[[#This Row],[不调整offset]]="x",IFERROR(VLOOKUP(表1[[#This Row],[8:image]],常量!J:N,4,FALSE),0),0)</f>
        <v>0</v>
      </c>
      <c r="C1586">
        <f>IF(表1[[#This Row],[不调整offset]]="x",IFERROR(VLOOKUP(表1[[#This Row],[8:image]],常量!J:N,5,FALSE),0),0)</f>
        <v>0</v>
      </c>
      <c r="E1586">
        <v>1</v>
      </c>
      <c r="F1586">
        <v>12</v>
      </c>
      <c r="G1586" s="8" t="s">
        <v>1152</v>
      </c>
      <c r="H1586" s="16" t="s">
        <v>4235</v>
      </c>
      <c r="I1586" s="19"/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IF(表1[[#This Row],[不调整offset]]="x",IFERROR(VLOOKUP(表1[[#This Row],[8:image]],常量!J:N,4,FALSE),0),0)</f>
        <v>0</v>
      </c>
      <c r="C1587">
        <f>IF(表1[[#This Row],[不调整offset]]="x",IFERROR(VLOOKUP(表1[[#This Row],[8:image]],常量!J:N,5,FALSE),0),0)</f>
        <v>0</v>
      </c>
      <c r="E1587">
        <v>1</v>
      </c>
      <c r="F1587">
        <v>12</v>
      </c>
      <c r="G1587" s="8" t="s">
        <v>1153</v>
      </c>
      <c r="H1587" s="16" t="s">
        <v>4236</v>
      </c>
      <c r="I1587" s="19"/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IF(表1[[#This Row],[不调整offset]]="x",IFERROR(VLOOKUP(表1[[#This Row],[8:image]],常量!J:N,4,FALSE),0),0)</f>
        <v>0</v>
      </c>
      <c r="C1588">
        <f>IF(表1[[#This Row],[不调整offset]]="x",IFERROR(VLOOKUP(表1[[#This Row],[8:image]],常量!J:N,5,FALSE),0),0)</f>
        <v>0</v>
      </c>
      <c r="E1588">
        <v>1</v>
      </c>
      <c r="F1588">
        <v>12</v>
      </c>
      <c r="G1588" s="8" t="s">
        <v>1154</v>
      </c>
      <c r="H1588" s="16" t="s">
        <v>4237</v>
      </c>
      <c r="I1588" s="19"/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IF(表1[[#This Row],[不调整offset]]="x",IFERROR(VLOOKUP(表1[[#This Row],[8:image]],常量!J:N,4,FALSE),0),0)</f>
        <v>0</v>
      </c>
      <c r="C1589">
        <f>IF(表1[[#This Row],[不调整offset]]="x",IFERROR(VLOOKUP(表1[[#This Row],[8:image]],常量!J:N,5,FALSE),0),0)</f>
        <v>0</v>
      </c>
      <c r="E1589">
        <v>1</v>
      </c>
      <c r="F1589">
        <v>12</v>
      </c>
      <c r="G1589" s="8" t="s">
        <v>1155</v>
      </c>
      <c r="H1589" s="16" t="s">
        <v>4238</v>
      </c>
      <c r="I1589" s="19"/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IF(表1[[#This Row],[不调整offset]]="x",IFERROR(VLOOKUP(表1[[#This Row],[8:image]],常量!J:N,4,FALSE),0),0)</f>
        <v>0</v>
      </c>
      <c r="C1590">
        <f>IF(表1[[#This Row],[不调整offset]]="x",IFERROR(VLOOKUP(表1[[#This Row],[8:image]],常量!J:N,5,FALSE),0),0)</f>
        <v>0</v>
      </c>
      <c r="E1590">
        <v>1</v>
      </c>
      <c r="F1590">
        <v>12</v>
      </c>
      <c r="G1590" s="8" t="s">
        <v>1156</v>
      </c>
      <c r="H1590" s="16" t="s">
        <v>4239</v>
      </c>
      <c r="I1590" s="19"/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IF(表1[[#This Row],[不调整offset]]="x",IFERROR(VLOOKUP(表1[[#This Row],[8:image]],常量!J:N,4,FALSE),0),0)</f>
        <v>0</v>
      </c>
      <c r="C1591">
        <f>IF(表1[[#This Row],[不调整offset]]="x",IFERROR(VLOOKUP(表1[[#This Row],[8:image]],常量!J:N,5,FALSE),0),0)</f>
        <v>0</v>
      </c>
      <c r="E1591">
        <v>1</v>
      </c>
      <c r="F1591">
        <v>12</v>
      </c>
      <c r="G1591" s="8" t="s">
        <v>1157</v>
      </c>
      <c r="H1591" s="16" t="s">
        <v>4240</v>
      </c>
      <c r="I1591" s="19"/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IF(表1[[#This Row],[不调整offset]]="x",IFERROR(VLOOKUP(表1[[#This Row],[8:image]],常量!J:N,4,FALSE),0),0)</f>
        <v>0</v>
      </c>
      <c r="C1592">
        <f>IF(表1[[#This Row],[不调整offset]]="x",IFERROR(VLOOKUP(表1[[#This Row],[8:image]],常量!J:N,5,FALSE),0),0)</f>
        <v>0</v>
      </c>
      <c r="E1592">
        <v>1</v>
      </c>
      <c r="F1592">
        <v>12</v>
      </c>
      <c r="G1592" s="8" t="s">
        <v>1158</v>
      </c>
      <c r="H1592" s="16" t="s">
        <v>4241</v>
      </c>
      <c r="I1592" s="19"/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IF(表1[[#This Row],[不调整offset]]="x",IFERROR(VLOOKUP(表1[[#This Row],[8:image]],常量!J:N,4,FALSE),0),0)</f>
        <v>0</v>
      </c>
      <c r="C1593">
        <f>IF(表1[[#This Row],[不调整offset]]="x",IFERROR(VLOOKUP(表1[[#This Row],[8:image]],常量!J:N,5,FALSE),0),0)</f>
        <v>0</v>
      </c>
      <c r="E1593">
        <v>1</v>
      </c>
      <c r="F1593">
        <v>12</v>
      </c>
      <c r="G1593" s="8" t="s">
        <v>729</v>
      </c>
      <c r="H1593" s="16" t="s">
        <v>4242</v>
      </c>
      <c r="I1593" s="19"/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IF(表1[[#This Row],[不调整offset]]="x",IFERROR(VLOOKUP(表1[[#This Row],[8:image]],常量!J:N,4,FALSE),0),0)</f>
        <v>0</v>
      </c>
      <c r="C1594">
        <f>IF(表1[[#This Row],[不调整offset]]="x",IFERROR(VLOOKUP(表1[[#This Row],[8:image]],常量!J:N,5,FALSE),0),0)</f>
        <v>0</v>
      </c>
      <c r="E1594">
        <v>1</v>
      </c>
      <c r="F1594">
        <v>12</v>
      </c>
      <c r="G1594" s="8" t="s">
        <v>727</v>
      </c>
      <c r="H1594" s="16" t="s">
        <v>4243</v>
      </c>
      <c r="I1594" s="19"/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IF(表1[[#This Row],[不调整offset]]="x",IFERROR(VLOOKUP(表1[[#This Row],[8:image]],常量!J:N,4,FALSE),0),0)</f>
        <v>0</v>
      </c>
      <c r="C1595">
        <f>IF(表1[[#This Row],[不调整offset]]="x",IFERROR(VLOOKUP(表1[[#This Row],[8:image]],常量!J:N,5,FALSE),0),0)</f>
        <v>0</v>
      </c>
      <c r="E1595">
        <v>1</v>
      </c>
      <c r="F1595">
        <v>12</v>
      </c>
      <c r="G1595" s="8" t="s">
        <v>730</v>
      </c>
      <c r="H1595" s="16" t="s">
        <v>4244</v>
      </c>
      <c r="I1595" s="19"/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IF(表1[[#This Row],[不调整offset]]="x",IFERROR(VLOOKUP(表1[[#This Row],[8:image]],常量!J:N,4,FALSE),0),0)</f>
        <v>0</v>
      </c>
      <c r="C1596">
        <f>IF(表1[[#This Row],[不调整offset]]="x",IFERROR(VLOOKUP(表1[[#This Row],[8:image]],常量!J:N,5,FALSE),0),0)</f>
        <v>0</v>
      </c>
      <c r="E1596">
        <v>1</v>
      </c>
      <c r="F1596">
        <v>12</v>
      </c>
      <c r="G1596" s="8" t="s">
        <v>728</v>
      </c>
      <c r="H1596" s="16" t="s">
        <v>4245</v>
      </c>
      <c r="I1596" s="19"/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IF(表1[[#This Row],[不调整offset]]="x",IFERROR(VLOOKUP(表1[[#This Row],[8:image]],常量!J:N,4,FALSE),0),0)</f>
        <v>0</v>
      </c>
      <c r="C1597">
        <f>IF(表1[[#This Row],[不调整offset]]="x",IFERROR(VLOOKUP(表1[[#This Row],[8:image]],常量!J:N,5,FALSE),0),0)</f>
        <v>0</v>
      </c>
      <c r="E1597">
        <v>1</v>
      </c>
      <c r="F1597">
        <v>12</v>
      </c>
      <c r="G1597" s="8" t="s">
        <v>1159</v>
      </c>
      <c r="H1597" s="16" t="s">
        <v>4246</v>
      </c>
      <c r="I1597" s="19"/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IF(表1[[#This Row],[不调整offset]]="x",IFERROR(VLOOKUP(表1[[#This Row],[8:image]],常量!J:N,4,FALSE),0),0)</f>
        <v>0</v>
      </c>
      <c r="C1598">
        <f>IF(表1[[#This Row],[不调整offset]]="x",IFERROR(VLOOKUP(表1[[#This Row],[8:image]],常量!J:N,5,FALSE),0),0)</f>
        <v>0</v>
      </c>
      <c r="E1598">
        <v>1</v>
      </c>
      <c r="F1598">
        <v>12</v>
      </c>
      <c r="G1598" s="8" t="s">
        <v>1160</v>
      </c>
      <c r="H1598" s="16" t="s">
        <v>4247</v>
      </c>
      <c r="I1598" s="19"/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IF(表1[[#This Row],[不调整offset]]="x",IFERROR(VLOOKUP(表1[[#This Row],[8:image]],常量!J:N,4,FALSE),0),0)</f>
        <v>0</v>
      </c>
      <c r="C1599">
        <f>IF(表1[[#This Row],[不调整offset]]="x",IFERROR(VLOOKUP(表1[[#This Row],[8:image]],常量!J:N,5,FALSE),0),0)</f>
        <v>0</v>
      </c>
      <c r="E1599">
        <v>1</v>
      </c>
      <c r="F1599">
        <v>12</v>
      </c>
      <c r="G1599" s="8" t="s">
        <v>1161</v>
      </c>
      <c r="H1599" s="16" t="s">
        <v>4248</v>
      </c>
      <c r="I1599" s="19"/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IF(表1[[#This Row],[不调整offset]]="x",IFERROR(VLOOKUP(表1[[#This Row],[8:image]],常量!J:N,4,FALSE),0),0)</f>
        <v>0</v>
      </c>
      <c r="C1600">
        <f>IF(表1[[#This Row],[不调整offset]]="x",IFERROR(VLOOKUP(表1[[#This Row],[8:image]],常量!J:N,5,FALSE),0),0)</f>
        <v>0</v>
      </c>
      <c r="E1600">
        <v>1</v>
      </c>
      <c r="F1600">
        <v>12</v>
      </c>
      <c r="G1600" s="8" t="s">
        <v>1162</v>
      </c>
      <c r="H1600" s="16" t="s">
        <v>4249</v>
      </c>
      <c r="I1600" s="19"/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IF(表1[[#This Row],[不调整offset]]="x",IFERROR(VLOOKUP(表1[[#This Row],[8:image]],常量!J:N,4,FALSE),0),0)</f>
        <v>0</v>
      </c>
      <c r="C1601">
        <f>IF(表1[[#This Row],[不调整offset]]="x",IFERROR(VLOOKUP(表1[[#This Row],[8:image]],常量!J:N,5,FALSE),0),0)</f>
        <v>0</v>
      </c>
      <c r="E1601">
        <v>1</v>
      </c>
      <c r="F1601">
        <v>12</v>
      </c>
      <c r="G1601" s="8" t="s">
        <v>1163</v>
      </c>
      <c r="H1601" s="16" t="s">
        <v>4250</v>
      </c>
      <c r="I1601" s="19"/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IF(表1[[#This Row],[不调整offset]]="x",IFERROR(VLOOKUP(表1[[#This Row],[8:image]],常量!J:N,4,FALSE),0),0)</f>
        <v>0</v>
      </c>
      <c r="C1602">
        <f>IF(表1[[#This Row],[不调整offset]]="x",IFERROR(VLOOKUP(表1[[#This Row],[8:image]],常量!J:N,5,FALSE),0),0)</f>
        <v>0</v>
      </c>
      <c r="E1602">
        <v>1</v>
      </c>
      <c r="F1602">
        <v>12</v>
      </c>
      <c r="G1602" s="8" t="s">
        <v>1164</v>
      </c>
      <c r="H1602" s="16" t="s">
        <v>4251</v>
      </c>
      <c r="I1602" s="19"/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IF(表1[[#This Row],[不调整offset]]="x",IFERROR(VLOOKUP(表1[[#This Row],[8:image]],常量!J:N,4,FALSE),0),0)</f>
        <v>0</v>
      </c>
      <c r="C1603">
        <f>IF(表1[[#This Row],[不调整offset]]="x",IFERROR(VLOOKUP(表1[[#This Row],[8:image]],常量!J:N,5,FALSE),0),0)</f>
        <v>0</v>
      </c>
      <c r="E1603">
        <v>1</v>
      </c>
      <c r="F1603">
        <v>12</v>
      </c>
      <c r="G1603" s="8" t="s">
        <v>1165</v>
      </c>
      <c r="H1603" s="16" t="s">
        <v>4252</v>
      </c>
      <c r="I1603" s="19"/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IF(表1[[#This Row],[不调整offset]]="x",IFERROR(VLOOKUP(表1[[#This Row],[8:image]],常量!J:N,4,FALSE),0),0)</f>
        <v>0</v>
      </c>
      <c r="C1604">
        <f>IF(表1[[#This Row],[不调整offset]]="x",IFERROR(VLOOKUP(表1[[#This Row],[8:image]],常量!J:N,5,FALSE),0),0)</f>
        <v>0</v>
      </c>
      <c r="E1604">
        <v>1</v>
      </c>
      <c r="F1604">
        <v>12</v>
      </c>
      <c r="G1604" s="8" t="s">
        <v>1166</v>
      </c>
      <c r="H1604" s="16" t="s">
        <v>4253</v>
      </c>
      <c r="I1604" s="19"/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IF(表1[[#This Row],[不调整offset]]="x",IFERROR(VLOOKUP(表1[[#This Row],[8:image]],常量!J:N,4,FALSE),0),0)</f>
        <v>0</v>
      </c>
      <c r="C1605">
        <f>IF(表1[[#This Row],[不调整offset]]="x",IFERROR(VLOOKUP(表1[[#This Row],[8:image]],常量!J:N,5,FALSE),0),0)</f>
        <v>0</v>
      </c>
      <c r="E1605">
        <v>1</v>
      </c>
      <c r="F1605">
        <v>12</v>
      </c>
      <c r="G1605" s="8" t="s">
        <v>1167</v>
      </c>
      <c r="H1605" s="16" t="s">
        <v>4254</v>
      </c>
      <c r="I1605" s="19"/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IF(表1[[#This Row],[不调整offset]]="x",IFERROR(VLOOKUP(表1[[#This Row],[8:image]],常量!J:N,4,FALSE),0),0)</f>
        <v>0</v>
      </c>
      <c r="C1606">
        <f>IF(表1[[#This Row],[不调整offset]]="x",IFERROR(VLOOKUP(表1[[#This Row],[8:image]],常量!J:N,5,FALSE),0),0)</f>
        <v>0</v>
      </c>
      <c r="E1606">
        <v>1</v>
      </c>
      <c r="F1606">
        <v>12</v>
      </c>
      <c r="G1606" s="8" t="s">
        <v>1168</v>
      </c>
      <c r="H1606" s="16" t="s">
        <v>4255</v>
      </c>
      <c r="I1606" s="19"/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IF(表1[[#This Row],[不调整offset]]="x",IFERROR(VLOOKUP(表1[[#This Row],[8:image]],常量!J:N,4,FALSE),0),0)</f>
        <v>0</v>
      </c>
      <c r="C1607">
        <f>IF(表1[[#This Row],[不调整offset]]="x",IFERROR(VLOOKUP(表1[[#This Row],[8:image]],常量!J:N,5,FALSE),0),0)</f>
        <v>0</v>
      </c>
      <c r="E1607">
        <v>1</v>
      </c>
      <c r="F1607">
        <v>12</v>
      </c>
      <c r="G1607" s="8" t="s">
        <v>1169</v>
      </c>
      <c r="H1607" s="16" t="s">
        <v>4256</v>
      </c>
      <c r="I1607" s="19"/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IF(表1[[#This Row],[不调整offset]]="x",IFERROR(VLOOKUP(表1[[#This Row],[8:image]],常量!J:N,4,FALSE),0),0)</f>
        <v>0</v>
      </c>
      <c r="C1608">
        <f>IF(表1[[#This Row],[不调整offset]]="x",IFERROR(VLOOKUP(表1[[#This Row],[8:image]],常量!J:N,5,FALSE),0),0)</f>
        <v>0</v>
      </c>
      <c r="E1608">
        <v>1</v>
      </c>
      <c r="F1608">
        <v>12</v>
      </c>
      <c r="G1608" s="8" t="s">
        <v>1170</v>
      </c>
      <c r="H1608" s="16" t="s">
        <v>4257</v>
      </c>
      <c r="I1608" s="19"/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IF(表1[[#This Row],[不调整offset]]="x",IFERROR(VLOOKUP(表1[[#This Row],[8:image]],常量!J:N,4,FALSE),0),0)</f>
        <v>0</v>
      </c>
      <c r="C1609">
        <f>IF(表1[[#This Row],[不调整offset]]="x",IFERROR(VLOOKUP(表1[[#This Row],[8:image]],常量!J:N,5,FALSE),0),0)</f>
        <v>0</v>
      </c>
      <c r="E1609">
        <v>1</v>
      </c>
      <c r="F1609">
        <v>12</v>
      </c>
      <c r="G1609" s="8" t="s">
        <v>1171</v>
      </c>
      <c r="H1609" s="16" t="s">
        <v>4258</v>
      </c>
      <c r="I1609" s="19"/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IF(表1[[#This Row],[不调整offset]]="x",IFERROR(VLOOKUP(表1[[#This Row],[8:image]],常量!J:N,4,FALSE),0),0)</f>
        <v>0</v>
      </c>
      <c r="C1610">
        <f>IF(表1[[#This Row],[不调整offset]]="x",IFERROR(VLOOKUP(表1[[#This Row],[8:image]],常量!J:N,5,FALSE),0),0)</f>
        <v>0</v>
      </c>
      <c r="E1610">
        <v>1</v>
      </c>
      <c r="F1610">
        <v>12</v>
      </c>
      <c r="G1610" s="8" t="s">
        <v>1172</v>
      </c>
      <c r="H1610" s="16" t="s">
        <v>4259</v>
      </c>
      <c r="I1610" s="19"/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IF(表1[[#This Row],[不调整offset]]="x",IFERROR(VLOOKUP(表1[[#This Row],[8:image]],常量!J:N,4,FALSE),0),0)</f>
        <v>0</v>
      </c>
      <c r="C1611">
        <f>IF(表1[[#This Row],[不调整offset]]="x",IFERROR(VLOOKUP(表1[[#This Row],[8:image]],常量!J:N,5,FALSE),0),0)</f>
        <v>0</v>
      </c>
      <c r="E1611">
        <v>1</v>
      </c>
      <c r="F1611">
        <v>12</v>
      </c>
      <c r="G1611" s="8" t="s">
        <v>1173</v>
      </c>
      <c r="H1611" s="16" t="s">
        <v>4260</v>
      </c>
      <c r="I1611" s="19"/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IF(表1[[#This Row],[不调整offset]]="x",IFERROR(VLOOKUP(表1[[#This Row],[8:image]],常量!J:N,4,FALSE),0),0)</f>
        <v>0</v>
      </c>
      <c r="C1612">
        <f>IF(表1[[#This Row],[不调整offset]]="x",IFERROR(VLOOKUP(表1[[#This Row],[8:image]],常量!J:N,5,FALSE),0),0)</f>
        <v>0</v>
      </c>
      <c r="E1612">
        <v>1</v>
      </c>
      <c r="F1612">
        <v>12</v>
      </c>
      <c r="G1612" s="8" t="s">
        <v>1174</v>
      </c>
      <c r="H1612" s="16" t="s">
        <v>4261</v>
      </c>
      <c r="I1612" s="19"/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IF(表1[[#This Row],[不调整offset]]="x",IFERROR(VLOOKUP(表1[[#This Row],[8:image]],常量!J:N,4,FALSE),0),0)</f>
        <v>0</v>
      </c>
      <c r="C1613">
        <f>IF(表1[[#This Row],[不调整offset]]="x",IFERROR(VLOOKUP(表1[[#This Row],[8:image]],常量!J:N,5,FALSE),0),0)</f>
        <v>0</v>
      </c>
      <c r="E1613">
        <v>1</v>
      </c>
      <c r="F1613">
        <v>12</v>
      </c>
      <c r="G1613" s="8" t="s">
        <v>1175</v>
      </c>
      <c r="H1613" s="16" t="s">
        <v>4262</v>
      </c>
      <c r="I1613" s="19"/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IF(表1[[#This Row],[不调整offset]]="x",IFERROR(VLOOKUP(表1[[#This Row],[8:image]],常量!J:N,4,FALSE),0),0)</f>
        <v>0</v>
      </c>
      <c r="C1614">
        <f>IF(表1[[#This Row],[不调整offset]]="x",IFERROR(VLOOKUP(表1[[#This Row],[8:image]],常量!J:N,5,FALSE),0),0)</f>
        <v>0</v>
      </c>
      <c r="E1614">
        <v>1</v>
      </c>
      <c r="F1614">
        <v>12</v>
      </c>
      <c r="G1614" s="8" t="s">
        <v>839</v>
      </c>
      <c r="H1614" s="16" t="s">
        <v>4263</v>
      </c>
      <c r="I1614" s="19"/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f>IF(表1[[#This Row],[不调整offset]]="x",IFERROR(VLOOKUP(表1[[#This Row],[8:image]],常量!J:N,4,FALSE),0),0)</f>
        <v>0</v>
      </c>
      <c r="C1615">
        <f>IF(表1[[#This Row],[不调整offset]]="x",IFERROR(VLOOKUP(表1[[#This Row],[8:image]],常量!J:N,5,FALSE),0),0)</f>
        <v>0</v>
      </c>
      <c r="E1615">
        <v>1</v>
      </c>
      <c r="F1615">
        <v>12</v>
      </c>
      <c r="G1615" s="8" t="s">
        <v>1176</v>
      </c>
      <c r="H1615" s="16" t="s">
        <v>4264</v>
      </c>
      <c r="I1615" s="19"/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IF(表1[[#This Row],[不调整offset]]="x",IFERROR(VLOOKUP(表1[[#This Row],[8:image]],常量!J:N,4,FALSE),0),0)</f>
        <v>0</v>
      </c>
      <c r="C1616">
        <f>IF(表1[[#This Row],[不调整offset]]="x",IFERROR(VLOOKUP(表1[[#This Row],[8:image]],常量!J:N,5,FALSE),0),0)</f>
        <v>0</v>
      </c>
      <c r="E1616">
        <v>1</v>
      </c>
      <c r="F1616">
        <v>12</v>
      </c>
      <c r="G1616" s="8" t="s">
        <v>1177</v>
      </c>
      <c r="H1616" s="16" t="s">
        <v>4265</v>
      </c>
      <c r="I1616" s="19"/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IF(表1[[#This Row],[不调整offset]]="x",IFERROR(VLOOKUP(表1[[#This Row],[8:image]],常量!J:N,4,FALSE),0),0)</f>
        <v>0</v>
      </c>
      <c r="C1617">
        <f>IF(表1[[#This Row],[不调整offset]]="x",IFERROR(VLOOKUP(表1[[#This Row],[8:image]],常量!J:N,5,FALSE),0),0)</f>
        <v>0</v>
      </c>
      <c r="E1617">
        <v>1</v>
      </c>
      <c r="F1617">
        <v>12</v>
      </c>
      <c r="G1617" s="8" t="s">
        <v>1178</v>
      </c>
      <c r="H1617" s="16" t="s">
        <v>4266</v>
      </c>
      <c r="I1617" s="19"/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IF(表1[[#This Row],[不调整offset]]="x",IFERROR(VLOOKUP(表1[[#This Row],[8:image]],常量!J:N,4,FALSE),0),0)</f>
        <v>0</v>
      </c>
      <c r="C1618">
        <f>IF(表1[[#This Row],[不调整offset]]="x",IFERROR(VLOOKUP(表1[[#This Row],[8:image]],常量!J:N,5,FALSE),0),0)</f>
        <v>0</v>
      </c>
      <c r="E1618">
        <v>1</v>
      </c>
      <c r="F1618">
        <v>12</v>
      </c>
      <c r="G1618" s="8" t="s">
        <v>1179</v>
      </c>
      <c r="H1618" s="16" t="s">
        <v>4267</v>
      </c>
      <c r="I1618" s="19"/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IF(表1[[#This Row],[不调整offset]]="x",IFERROR(VLOOKUP(表1[[#This Row],[8:image]],常量!J:N,4,FALSE),0),0)</f>
        <v>0</v>
      </c>
      <c r="C1619">
        <f>IF(表1[[#This Row],[不调整offset]]="x",IFERROR(VLOOKUP(表1[[#This Row],[8:image]],常量!J:N,5,FALSE),0),0)</f>
        <v>0</v>
      </c>
      <c r="E1619">
        <v>1</v>
      </c>
      <c r="F1619">
        <v>12</v>
      </c>
      <c r="G1619" s="8" t="s">
        <v>1180</v>
      </c>
      <c r="H1619" s="16" t="s">
        <v>4268</v>
      </c>
      <c r="I1619" s="19"/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IF(表1[[#This Row],[不调整offset]]="x",IFERROR(VLOOKUP(表1[[#This Row],[8:image]],常量!J:N,4,FALSE),0),0)</f>
        <v>0</v>
      </c>
      <c r="C1620">
        <f>IF(表1[[#This Row],[不调整offset]]="x",IFERROR(VLOOKUP(表1[[#This Row],[8:image]],常量!J:N,5,FALSE),0),0)</f>
        <v>0</v>
      </c>
      <c r="E1620">
        <v>1</v>
      </c>
      <c r="F1620">
        <v>12</v>
      </c>
      <c r="G1620" s="8" t="s">
        <v>1181</v>
      </c>
      <c r="H1620" s="16" t="s">
        <v>4269</v>
      </c>
      <c r="I1620" s="19"/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IF(表1[[#This Row],[不调整offset]]="x",IFERROR(VLOOKUP(表1[[#This Row],[8:image]],常量!J:N,4,FALSE),0),0)</f>
        <v>0</v>
      </c>
      <c r="C1621">
        <f>IF(表1[[#This Row],[不调整offset]]="x",IFERROR(VLOOKUP(表1[[#This Row],[8:image]],常量!J:N,5,FALSE),0),0)</f>
        <v>0</v>
      </c>
      <c r="E1621">
        <v>1</v>
      </c>
      <c r="F1621">
        <v>12</v>
      </c>
      <c r="G1621" s="8" t="s">
        <v>1182</v>
      </c>
      <c r="H1621" s="16" t="s">
        <v>4270</v>
      </c>
      <c r="I1621" s="19"/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IF(表1[[#This Row],[不调整offset]]="x",IFERROR(VLOOKUP(表1[[#This Row],[8:image]],常量!J:N,4,FALSE),0),0)</f>
        <v>0</v>
      </c>
      <c r="C1622">
        <f>IF(表1[[#This Row],[不调整offset]]="x",IFERROR(VLOOKUP(表1[[#This Row],[8:image]],常量!J:N,5,FALSE),0),0)</f>
        <v>0</v>
      </c>
      <c r="E1622">
        <v>1</v>
      </c>
      <c r="F1622">
        <v>12</v>
      </c>
      <c r="G1622" s="8" t="s">
        <v>1183</v>
      </c>
      <c r="H1622" s="16" t="s">
        <v>4271</v>
      </c>
      <c r="I1622" s="19"/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IF(表1[[#This Row],[不调整offset]]="x",IFERROR(VLOOKUP(表1[[#This Row],[8:image]],常量!J:N,4,FALSE),0),0)</f>
        <v>0</v>
      </c>
      <c r="C1623">
        <f>IF(表1[[#This Row],[不调整offset]]="x",IFERROR(VLOOKUP(表1[[#This Row],[8:image]],常量!J:N,5,FALSE),0),0)</f>
        <v>0</v>
      </c>
      <c r="E1623">
        <v>1</v>
      </c>
      <c r="F1623">
        <v>12</v>
      </c>
      <c r="G1623" s="8" t="s">
        <v>1184</v>
      </c>
      <c r="H1623" s="16" t="s">
        <v>4272</v>
      </c>
      <c r="I1623" s="19"/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IF(表1[[#This Row],[不调整offset]]="x",IFERROR(VLOOKUP(表1[[#This Row],[8:image]],常量!J:N,4,FALSE),0),0)</f>
        <v>0</v>
      </c>
      <c r="C1624">
        <f>IF(表1[[#This Row],[不调整offset]]="x",IFERROR(VLOOKUP(表1[[#This Row],[8:image]],常量!J:N,5,FALSE),0),0)</f>
        <v>0</v>
      </c>
      <c r="E1624">
        <v>1</v>
      </c>
      <c r="F1624">
        <v>12</v>
      </c>
      <c r="G1624" s="8" t="s">
        <v>1185</v>
      </c>
      <c r="H1624" s="16" t="s">
        <v>4273</v>
      </c>
      <c r="I1624" s="19"/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IF(表1[[#This Row],[不调整offset]]="x",IFERROR(VLOOKUP(表1[[#This Row],[8:image]],常量!J:N,4,FALSE),0),0)</f>
        <v>0</v>
      </c>
      <c r="C1625">
        <f>IF(表1[[#This Row],[不调整offset]]="x",IFERROR(VLOOKUP(表1[[#This Row],[8:image]],常量!J:N,5,FALSE),0),0)</f>
        <v>0</v>
      </c>
      <c r="E1625">
        <v>1</v>
      </c>
      <c r="F1625">
        <v>12</v>
      </c>
      <c r="G1625" s="8" t="s">
        <v>1175</v>
      </c>
      <c r="H1625" s="16" t="s">
        <v>4274</v>
      </c>
      <c r="I1625" s="19"/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IF(表1[[#This Row],[不调整offset]]="x",IFERROR(VLOOKUP(表1[[#This Row],[8:image]],常量!J:N,4,FALSE),0),0)</f>
        <v>0</v>
      </c>
      <c r="C1626">
        <f>IF(表1[[#This Row],[不调整offset]]="x",IFERROR(VLOOKUP(表1[[#This Row],[8:image]],常量!J:N,5,FALSE),0),0)</f>
        <v>0</v>
      </c>
      <c r="E1626">
        <v>1</v>
      </c>
      <c r="F1626">
        <v>12</v>
      </c>
      <c r="G1626" s="8" t="s">
        <v>63</v>
      </c>
      <c r="H1626" s="16" t="s">
        <v>4275</v>
      </c>
      <c r="I1626" s="19"/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f>IF(表1[[#This Row],[不调整offset]]="x",IFERROR(VLOOKUP(表1[[#This Row],[8:image]],常量!J:N,4,FALSE),0),0)</f>
        <v>0</v>
      </c>
      <c r="C1627">
        <f>IF(表1[[#This Row],[不调整offset]]="x",IFERROR(VLOOKUP(表1[[#This Row],[8:image]],常量!J:N,5,FALSE),0),0)</f>
        <v>0</v>
      </c>
      <c r="E1627">
        <v>1</v>
      </c>
      <c r="F1627">
        <v>12</v>
      </c>
      <c r="G1627" s="8" t="s">
        <v>1186</v>
      </c>
      <c r="H1627" s="16" t="s">
        <v>4276</v>
      </c>
      <c r="I1627" s="19"/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IF(表1[[#This Row],[不调整offset]]="x",IFERROR(VLOOKUP(表1[[#This Row],[8:image]],常量!J:N,4,FALSE),0),0)</f>
        <v>0</v>
      </c>
      <c r="C1628">
        <f>IF(表1[[#This Row],[不调整offset]]="x",IFERROR(VLOOKUP(表1[[#This Row],[8:image]],常量!J:N,5,FALSE),0),0)</f>
        <v>0</v>
      </c>
      <c r="E1628">
        <v>1</v>
      </c>
      <c r="F1628">
        <v>12</v>
      </c>
      <c r="G1628" s="8" t="s">
        <v>1187</v>
      </c>
      <c r="H1628" s="16" t="s">
        <v>4277</v>
      </c>
      <c r="I1628" s="19"/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IF(表1[[#This Row],[不调整offset]]="x",IFERROR(VLOOKUP(表1[[#This Row],[8:image]],常量!J:N,4,FALSE),0),0)</f>
        <v>0</v>
      </c>
      <c r="C1629">
        <f>IF(表1[[#This Row],[不调整offset]]="x",IFERROR(VLOOKUP(表1[[#This Row],[8:image]],常量!J:N,5,FALSE),0),0)</f>
        <v>0</v>
      </c>
      <c r="E1629">
        <v>1</v>
      </c>
      <c r="F1629">
        <v>12</v>
      </c>
      <c r="G1629" s="8" t="s">
        <v>1188</v>
      </c>
      <c r="H1629" s="16" t="s">
        <v>4278</v>
      </c>
      <c r="I1629" s="19"/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IF(表1[[#This Row],[不调整offset]]="x",IFERROR(VLOOKUP(表1[[#This Row],[8:image]],常量!J:N,4,FALSE),0),0)</f>
        <v>0</v>
      </c>
      <c r="C1630">
        <f>IF(表1[[#This Row],[不调整offset]]="x",IFERROR(VLOOKUP(表1[[#This Row],[8:image]],常量!J:N,5,FALSE),0),0)</f>
        <v>0</v>
      </c>
      <c r="E1630">
        <v>1</v>
      </c>
      <c r="F1630">
        <v>12</v>
      </c>
      <c r="G1630" s="8" t="s">
        <v>1189</v>
      </c>
      <c r="H1630" s="16" t="s">
        <v>4279</v>
      </c>
      <c r="I1630" s="19"/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IF(表1[[#This Row],[不调整offset]]="x",IFERROR(VLOOKUP(表1[[#This Row],[8:image]],常量!J:N,4,FALSE),0),0)</f>
        <v>0</v>
      </c>
      <c r="C1631">
        <f>IF(表1[[#This Row],[不调整offset]]="x",IFERROR(VLOOKUP(表1[[#This Row],[8:image]],常量!J:N,5,FALSE),0),0)</f>
        <v>0</v>
      </c>
      <c r="E1631">
        <v>1</v>
      </c>
      <c r="F1631">
        <v>12</v>
      </c>
      <c r="G1631" s="8" t="s">
        <v>1190</v>
      </c>
      <c r="H1631" s="16" t="s">
        <v>4280</v>
      </c>
      <c r="I1631" s="19"/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IF(表1[[#This Row],[不调整offset]]="x",IFERROR(VLOOKUP(表1[[#This Row],[8:image]],常量!J:N,4,FALSE),0),0)</f>
        <v>0</v>
      </c>
      <c r="C1632">
        <f>IF(表1[[#This Row],[不调整offset]]="x",IFERROR(VLOOKUP(表1[[#This Row],[8:image]],常量!J:N,5,FALSE),0),0)</f>
        <v>0</v>
      </c>
      <c r="E1632">
        <v>1</v>
      </c>
      <c r="F1632">
        <v>12</v>
      </c>
      <c r="G1632" s="8" t="s">
        <v>1191</v>
      </c>
      <c r="H1632" s="16" t="s">
        <v>4281</v>
      </c>
      <c r="I1632" s="19"/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IF(表1[[#This Row],[不调整offset]]="x",IFERROR(VLOOKUP(表1[[#This Row],[8:image]],常量!J:N,4,FALSE),0),0)</f>
        <v>0</v>
      </c>
      <c r="C1633">
        <f>IF(表1[[#This Row],[不调整offset]]="x",IFERROR(VLOOKUP(表1[[#This Row],[8:image]],常量!J:N,5,FALSE),0),0)</f>
        <v>0</v>
      </c>
      <c r="E1633">
        <v>1</v>
      </c>
      <c r="F1633">
        <v>12</v>
      </c>
      <c r="G1633" s="8" t="s">
        <v>1192</v>
      </c>
      <c r="H1633" s="16" t="s">
        <v>4282</v>
      </c>
      <c r="I1633" s="19"/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IF(表1[[#This Row],[不调整offset]]="x",IFERROR(VLOOKUP(表1[[#This Row],[8:image]],常量!J:N,4,FALSE),0),0)</f>
        <v>0</v>
      </c>
      <c r="C1634">
        <f>IF(表1[[#This Row],[不调整offset]]="x",IFERROR(VLOOKUP(表1[[#This Row],[8:image]],常量!J:N,5,FALSE),0),0)</f>
        <v>0</v>
      </c>
      <c r="E1634">
        <v>1</v>
      </c>
      <c r="F1634">
        <v>12</v>
      </c>
      <c r="G1634" s="8" t="s">
        <v>1193</v>
      </c>
      <c r="H1634" s="16" t="s">
        <v>4283</v>
      </c>
      <c r="I1634" s="19"/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IF(表1[[#This Row],[不调整offset]]="x",IFERROR(VLOOKUP(表1[[#This Row],[8:image]],常量!J:N,4,FALSE),0),0)</f>
        <v>0</v>
      </c>
      <c r="C1635">
        <f>IF(表1[[#This Row],[不调整offset]]="x",IFERROR(VLOOKUP(表1[[#This Row],[8:image]],常量!J:N,5,FALSE),0),0)</f>
        <v>0</v>
      </c>
      <c r="E1635">
        <v>1</v>
      </c>
      <c r="F1635">
        <v>12</v>
      </c>
      <c r="G1635" s="8" t="s">
        <v>337</v>
      </c>
      <c r="H1635" s="16" t="s">
        <v>4284</v>
      </c>
      <c r="I1635" s="19"/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IF(表1[[#This Row],[不调整offset]]="x",IFERROR(VLOOKUP(表1[[#This Row],[8:image]],常量!J:N,4,FALSE),0),0)</f>
        <v>0</v>
      </c>
      <c r="C1636">
        <f>IF(表1[[#This Row],[不调整offset]]="x",IFERROR(VLOOKUP(表1[[#This Row],[8:image]],常量!J:N,5,FALSE),0),0)</f>
        <v>0</v>
      </c>
      <c r="E1636">
        <v>1</v>
      </c>
      <c r="F1636">
        <v>12</v>
      </c>
      <c r="G1636" s="8" t="s">
        <v>1194</v>
      </c>
      <c r="H1636" s="17" t="s">
        <v>4285</v>
      </c>
      <c r="I1636" s="19"/>
      <c r="J1636" t="str">
        <f>IF(LEN(VLOOKUP(表1[[#This Row],[id]],数据引用!A:C,3,FALSE))&gt;0,VLOOKUP(表1[[#This Row],[id]],数据引用!A:C,3,FALSE),"")</f>
        <v>↑ + ↓</v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  <row r="1637" spans="1:16" ht="14.25" customHeight="1">
      <c r="A1637" t="s">
        <v>2199</v>
      </c>
      <c r="B1637" s="5">
        <f>IF(表1[[#This Row],[不调整offset]]="x",IFERROR(VLOOKUP(表1[[#This Row],[8:image]],常量!J:N,4,FALSE),0),0)</f>
        <v>0</v>
      </c>
      <c r="C1637" s="5">
        <f>IF(表1[[#This Row],[不调整offset]]="x",IFERROR(VLOOKUP(表1[[#This Row],[8:image]],常量!J:N,5,FALSE),0),0)</f>
        <v>0</v>
      </c>
      <c r="E1637" s="5" t="s">
        <v>2588</v>
      </c>
      <c r="F1637">
        <v>12</v>
      </c>
      <c r="G1637" s="1" t="s">
        <v>2194</v>
      </c>
      <c r="H1637" s="17" t="s">
        <v>2109</v>
      </c>
      <c r="I1637" s="19"/>
      <c r="J1637" s="5" t="str">
        <f>IF(LEN(VLOOKUP(表1[[#This Row],[id]],数据引用!A:C,3,FALSE))&gt;0,VLOOKUP(表1[[#This Row],[id]],数据引用!A:C,3,FALSE),"")</f>
        <v/>
      </c>
      <c r="K1637" t="s">
        <v>2192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7" s="5"/>
      <c r="P1637" s="5"/>
    </row>
    <row r="1638" spans="1:16" ht="14.25" customHeight="1">
      <c r="A1638" t="s">
        <v>2200</v>
      </c>
      <c r="B1638" s="5">
        <f>IF(表1[[#This Row],[不调整offset]]="x",IFERROR(VLOOKUP(表1[[#This Row],[8:image]],常量!J:N,4,FALSE),0),0)</f>
        <v>0</v>
      </c>
      <c r="C1638" s="5">
        <f>IF(表1[[#This Row],[不调整offset]]="x",IFERROR(VLOOKUP(表1[[#This Row],[8:image]],常量!J:N,5,FALSE),0),0)</f>
        <v>0</v>
      </c>
      <c r="E1638" s="5" t="s">
        <v>2588</v>
      </c>
      <c r="F1638">
        <v>12</v>
      </c>
      <c r="G1638" s="1" t="s">
        <v>2196</v>
      </c>
      <c r="H1638" s="17" t="s">
        <v>2110</v>
      </c>
      <c r="I1638" s="19"/>
      <c r="J1638" s="5" t="str">
        <f>IF(LEN(VLOOKUP(表1[[#This Row],[id]],数据引用!A:C,3,FALSE))&gt;0,VLOOKUP(表1[[#This Row],[id]],数据引用!A:C,3,FALSE),"")</f>
        <v/>
      </c>
      <c r="K1638" t="s">
        <v>2192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8" s="5"/>
      <c r="P1638" s="5"/>
    </row>
    <row r="1639" spans="1:16" ht="14.25" customHeight="1">
      <c r="A1639" t="s">
        <v>2201</v>
      </c>
      <c r="B1639" s="5">
        <f>IF(表1[[#This Row],[不调整offset]]="x",IFERROR(VLOOKUP(表1[[#This Row],[8:image]],常量!J:N,4,FALSE),0),0)</f>
        <v>0</v>
      </c>
      <c r="C1639" s="5">
        <f>IF(表1[[#This Row],[不调整offset]]="x",IFERROR(VLOOKUP(表1[[#This Row],[8:image]],常量!J:N,5,FALSE),0),0)</f>
        <v>0</v>
      </c>
      <c r="E1639" s="5" t="s">
        <v>2588</v>
      </c>
      <c r="F1639">
        <v>12</v>
      </c>
      <c r="G1639" s="1" t="s">
        <v>2198</v>
      </c>
      <c r="H1639" s="17" t="s">
        <v>2111</v>
      </c>
      <c r="I1639" s="19"/>
      <c r="J1639" s="5" t="str">
        <f>IF(LEN(VLOOKUP(表1[[#This Row],[id]],数据引用!A:C,3,FALSE))&gt;0,VLOOKUP(表1[[#This Row],[id]],数据引用!A:C,3,FALSE),"")</f>
        <v/>
      </c>
      <c r="K1639" t="s">
        <v>2192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9" s="5"/>
      <c r="P1639" s="5"/>
    </row>
    <row r="1640" spans="1:16" ht="14.25" customHeight="1">
      <c r="A1640" t="s">
        <v>2202</v>
      </c>
      <c r="B1640" s="5">
        <f>IF(表1[[#This Row],[不调整offset]]="x",IFERROR(VLOOKUP(表1[[#This Row],[8:image]],常量!J:N,4,FALSE),0),0)</f>
        <v>0</v>
      </c>
      <c r="C1640" s="5">
        <f>IF(表1[[#This Row],[不调整offset]]="x",IFERROR(VLOOKUP(表1[[#This Row],[8:image]],常量!J:N,5,FALSE),0),0)</f>
        <v>0</v>
      </c>
      <c r="E1640" s="5" t="s">
        <v>2588</v>
      </c>
      <c r="F1640">
        <v>12</v>
      </c>
      <c r="G1640" s="1" t="s">
        <v>2283</v>
      </c>
      <c r="H1640" s="17" t="s">
        <v>2112</v>
      </c>
      <c r="I1640" s="19"/>
      <c r="J1640" s="5" t="str">
        <f>IF(LEN(VLOOKUP(表1[[#This Row],[id]],数据引用!A:C,3,FALSE))&gt;0,VLOOKUP(表1[[#This Row],[id]],数据引用!A:C,3,FALSE),"")</f>
        <v/>
      </c>
      <c r="K1640" t="s">
        <v>2192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0" s="5"/>
      <c r="P1640" s="5"/>
    </row>
    <row r="1641" spans="1:16" ht="14.25" customHeight="1">
      <c r="A1641" t="s">
        <v>2203</v>
      </c>
      <c r="B1641" s="5">
        <f>IF(表1[[#This Row],[不调整offset]]="x",IFERROR(VLOOKUP(表1[[#This Row],[8:image]],常量!J:N,4,FALSE),0),0)</f>
        <v>0</v>
      </c>
      <c r="C1641" s="5">
        <f>IF(表1[[#This Row],[不调整offset]]="x",IFERROR(VLOOKUP(表1[[#This Row],[8:image]],常量!J:N,5,FALSE),0),0)</f>
        <v>0</v>
      </c>
      <c r="E1641" s="5" t="s">
        <v>2588</v>
      </c>
      <c r="F1641">
        <v>12</v>
      </c>
      <c r="G1641" s="1" t="s">
        <v>2285</v>
      </c>
      <c r="H1641" s="17" t="s">
        <v>2113</v>
      </c>
      <c r="I1641" s="19"/>
      <c r="J1641" s="5" t="str">
        <f>IF(LEN(VLOOKUP(表1[[#This Row],[id]],数据引用!A:C,3,FALSE))&gt;0,VLOOKUP(表1[[#This Row],[id]],数据引用!A:C,3,FALSE),"")</f>
        <v/>
      </c>
      <c r="K1641" t="s">
        <v>2192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1" s="5"/>
      <c r="P1641" s="5"/>
    </row>
    <row r="1642" spans="1:16" ht="14.25" customHeight="1">
      <c r="A1642" t="s">
        <v>2204</v>
      </c>
      <c r="B1642" s="5">
        <f>IF(表1[[#This Row],[不调整offset]]="x",IFERROR(VLOOKUP(表1[[#This Row],[8:image]],常量!J:N,4,FALSE),0),0)</f>
        <v>0</v>
      </c>
      <c r="C1642" s="5">
        <f>IF(表1[[#This Row],[不调整offset]]="x",IFERROR(VLOOKUP(表1[[#This Row],[8:image]],常量!J:N,5,FALSE),0),0)</f>
        <v>0</v>
      </c>
      <c r="E1642" s="5" t="s">
        <v>2588</v>
      </c>
      <c r="F1642">
        <v>12</v>
      </c>
      <c r="G1642" s="1" t="s">
        <v>2287</v>
      </c>
      <c r="H1642" s="17" t="s">
        <v>2114</v>
      </c>
      <c r="I1642" s="19"/>
      <c r="J1642" s="5" t="str">
        <f>IF(LEN(VLOOKUP(表1[[#This Row],[id]],数据引用!A:C,3,FALSE))&gt;0,VLOOKUP(表1[[#This Row],[id]],数据引用!A:C,3,FALSE),"")</f>
        <v/>
      </c>
      <c r="K1642" t="s">
        <v>2192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2" s="5"/>
      <c r="P1642" s="5"/>
    </row>
    <row r="1643" spans="1:16" ht="14.25" customHeight="1">
      <c r="A1643" t="s">
        <v>2205</v>
      </c>
      <c r="B1643" s="5">
        <f>IF(表1[[#This Row],[不调整offset]]="x",IFERROR(VLOOKUP(表1[[#This Row],[8:image]],常量!J:N,4,FALSE),0),0)</f>
        <v>0</v>
      </c>
      <c r="C1643" s="5">
        <f>IF(表1[[#This Row],[不调整offset]]="x",IFERROR(VLOOKUP(表1[[#This Row],[8:image]],常量!J:N,5,FALSE),0),0)</f>
        <v>0</v>
      </c>
      <c r="E1643" s="5" t="s">
        <v>2588</v>
      </c>
      <c r="F1643">
        <v>12</v>
      </c>
      <c r="G1643" s="1" t="s">
        <v>2289</v>
      </c>
      <c r="H1643" s="17" t="s">
        <v>2115</v>
      </c>
      <c r="I1643" s="19"/>
      <c r="J1643" s="5" t="str">
        <f>IF(LEN(VLOOKUP(表1[[#This Row],[id]],数据引用!A:C,3,FALSE))&gt;0,VLOOKUP(表1[[#This Row],[id]],数据引用!A:C,3,FALSE),"")</f>
        <v/>
      </c>
      <c r="K1643" t="s">
        <v>2192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3" s="5"/>
      <c r="P1643" s="5"/>
    </row>
    <row r="1644" spans="1:16" ht="14.25" customHeight="1">
      <c r="A1644" t="s">
        <v>2206</v>
      </c>
      <c r="B1644" s="5">
        <f>IF(表1[[#This Row],[不调整offset]]="x",IFERROR(VLOOKUP(表1[[#This Row],[8:image]],常量!J:N,4,FALSE),0),0)</f>
        <v>0</v>
      </c>
      <c r="C1644" s="5">
        <f>IF(表1[[#This Row],[不调整offset]]="x",IFERROR(VLOOKUP(表1[[#This Row],[8:image]],常量!J:N,5,FALSE),0),0)</f>
        <v>0</v>
      </c>
      <c r="E1644" s="5" t="s">
        <v>2588</v>
      </c>
      <c r="F1644">
        <v>12</v>
      </c>
      <c r="G1644" s="1" t="s">
        <v>2291</v>
      </c>
      <c r="H1644" s="17" t="s">
        <v>2116</v>
      </c>
      <c r="I1644" s="19"/>
      <c r="J1644" s="5" t="str">
        <f>IF(LEN(VLOOKUP(表1[[#This Row],[id]],数据引用!A:C,3,FALSE))&gt;0,VLOOKUP(表1[[#This Row],[id]],数据引用!A:C,3,FALSE),"")</f>
        <v/>
      </c>
      <c r="K1644" t="s">
        <v>2192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4" s="5"/>
      <c r="P1644" s="5"/>
    </row>
    <row r="1645" spans="1:16" ht="14.25" customHeight="1">
      <c r="A1645" t="s">
        <v>2207</v>
      </c>
      <c r="B1645" s="5">
        <f>IF(表1[[#This Row],[不调整offset]]="x",IFERROR(VLOOKUP(表1[[#This Row],[8:image]],常量!J:N,4,FALSE),0),0)</f>
        <v>0</v>
      </c>
      <c r="C1645" s="5">
        <f>IF(表1[[#This Row],[不调整offset]]="x",IFERROR(VLOOKUP(表1[[#This Row],[8:image]],常量!J:N,5,FALSE),0),0)</f>
        <v>0</v>
      </c>
      <c r="E1645" s="5" t="s">
        <v>2588</v>
      </c>
      <c r="F1645">
        <v>12</v>
      </c>
      <c r="G1645" s="1" t="s">
        <v>2293</v>
      </c>
      <c r="H1645" s="17" t="s">
        <v>2117</v>
      </c>
      <c r="I1645" s="19"/>
      <c r="J1645" s="5" t="str">
        <f>IF(LEN(VLOOKUP(表1[[#This Row],[id]],数据引用!A:C,3,FALSE))&gt;0,VLOOKUP(表1[[#This Row],[id]],数据引用!A:C,3,FALSE),"")</f>
        <v/>
      </c>
      <c r="K1645" t="s">
        <v>2192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5" s="5"/>
      <c r="P1645" s="5"/>
    </row>
    <row r="1646" spans="1:16" ht="14.25" customHeight="1">
      <c r="A1646" t="s">
        <v>2208</v>
      </c>
      <c r="B1646" s="5">
        <f>IF(表1[[#This Row],[不调整offset]]="x",IFERROR(VLOOKUP(表1[[#This Row],[8:image]],常量!J:N,4,FALSE),0),0)</f>
        <v>0</v>
      </c>
      <c r="C1646" s="5">
        <f>IF(表1[[#This Row],[不调整offset]]="x",IFERROR(VLOOKUP(表1[[#This Row],[8:image]],常量!J:N,5,FALSE),0),0)</f>
        <v>0</v>
      </c>
      <c r="E1646" s="5" t="s">
        <v>2588</v>
      </c>
      <c r="F1646">
        <v>12</v>
      </c>
      <c r="G1646" s="1" t="s">
        <v>2295</v>
      </c>
      <c r="H1646" s="17" t="s">
        <v>2118</v>
      </c>
      <c r="I1646" s="19"/>
      <c r="J1646" s="5" t="str">
        <f>IF(LEN(VLOOKUP(表1[[#This Row],[id]],数据引用!A:C,3,FALSE))&gt;0,VLOOKUP(表1[[#This Row],[id]],数据引用!A:C,3,FALSE),"")</f>
        <v/>
      </c>
      <c r="K1646" t="s">
        <v>2192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6" s="5"/>
      <c r="P1646" s="5"/>
    </row>
    <row r="1647" spans="1:16" ht="14.25" customHeight="1">
      <c r="A1647" t="s">
        <v>2209</v>
      </c>
      <c r="B1647" s="5">
        <f>IF(表1[[#This Row],[不调整offset]]="x",IFERROR(VLOOKUP(表1[[#This Row],[8:image]],常量!J:N,4,FALSE),0),0)</f>
        <v>0</v>
      </c>
      <c r="C1647" s="5">
        <f>IF(表1[[#This Row],[不调整offset]]="x",IFERROR(VLOOKUP(表1[[#This Row],[8:image]],常量!J:N,5,FALSE),0),0)</f>
        <v>0</v>
      </c>
      <c r="E1647" s="5" t="s">
        <v>2588</v>
      </c>
      <c r="F1647">
        <v>12</v>
      </c>
      <c r="G1647" s="1" t="s">
        <v>2297</v>
      </c>
      <c r="H1647" s="17" t="s">
        <v>2119</v>
      </c>
      <c r="I1647" s="19"/>
      <c r="J1647" s="5" t="str">
        <f>IF(LEN(VLOOKUP(表1[[#This Row],[id]],数据引用!A:C,3,FALSE))&gt;0,VLOOKUP(表1[[#This Row],[id]],数据引用!A:C,3,FALSE),"")</f>
        <v/>
      </c>
      <c r="K1647" t="s">
        <v>2192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7" s="5"/>
      <c r="P1647" s="5"/>
    </row>
    <row r="1648" spans="1:16" ht="14.25" customHeight="1">
      <c r="A1648" t="s">
        <v>2210</v>
      </c>
      <c r="B1648" s="5">
        <f>IF(表1[[#This Row],[不调整offset]]="x",IFERROR(VLOOKUP(表1[[#This Row],[8:image]],常量!J:N,4,FALSE),0),0)</f>
        <v>0</v>
      </c>
      <c r="C1648" s="5">
        <f>IF(表1[[#This Row],[不调整offset]]="x",IFERROR(VLOOKUP(表1[[#This Row],[8:image]],常量!J:N,5,FALSE),0),0)</f>
        <v>0</v>
      </c>
      <c r="E1648" s="5" t="s">
        <v>2588</v>
      </c>
      <c r="F1648">
        <v>12</v>
      </c>
      <c r="G1648" s="1" t="s">
        <v>2299</v>
      </c>
      <c r="H1648" s="17" t="s">
        <v>2120</v>
      </c>
      <c r="I1648" s="19"/>
      <c r="J1648" s="5" t="str">
        <f>IF(LEN(VLOOKUP(表1[[#This Row],[id]],数据引用!A:C,3,FALSE))&gt;0,VLOOKUP(表1[[#This Row],[id]],数据引用!A:C,3,FALSE),"")</f>
        <v/>
      </c>
      <c r="K1648" t="s">
        <v>2192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8" s="5"/>
      <c r="P1648" s="5"/>
    </row>
    <row r="1649" spans="1:16" ht="14.25" customHeight="1">
      <c r="A1649" t="s">
        <v>2211</v>
      </c>
      <c r="B1649" s="5">
        <f>IF(表1[[#This Row],[不调整offset]]="x",IFERROR(VLOOKUP(表1[[#This Row],[8:image]],常量!J:N,4,FALSE),0),0)</f>
        <v>0</v>
      </c>
      <c r="C1649" s="5">
        <f>IF(表1[[#This Row],[不调整offset]]="x",IFERROR(VLOOKUP(表1[[#This Row],[8:image]],常量!J:N,5,FALSE),0),0)</f>
        <v>0</v>
      </c>
      <c r="E1649" s="5" t="s">
        <v>2588</v>
      </c>
      <c r="F1649">
        <v>12</v>
      </c>
      <c r="G1649" s="1" t="s">
        <v>2301</v>
      </c>
      <c r="H1649" s="17" t="s">
        <v>2121</v>
      </c>
      <c r="I1649" s="19"/>
      <c r="J1649" s="5" t="str">
        <f>IF(LEN(VLOOKUP(表1[[#This Row],[id]],数据引用!A:C,3,FALSE))&gt;0,VLOOKUP(表1[[#This Row],[id]],数据引用!A:C,3,FALSE),"")</f>
        <v/>
      </c>
      <c r="K1649" t="s">
        <v>2192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9" s="5"/>
      <c r="P1649" s="5"/>
    </row>
    <row r="1650" spans="1:16" ht="14.25" customHeight="1">
      <c r="A1650" t="s">
        <v>2212</v>
      </c>
      <c r="B1650" s="5">
        <f>IF(表1[[#This Row],[不调整offset]]="x",IFERROR(VLOOKUP(表1[[#This Row],[8:image]],常量!J:N,4,FALSE),0),0)</f>
        <v>0</v>
      </c>
      <c r="C1650" s="5">
        <f>IF(表1[[#This Row],[不调整offset]]="x",IFERROR(VLOOKUP(表1[[#This Row],[8:image]],常量!J:N,5,FALSE),0),0)</f>
        <v>0</v>
      </c>
      <c r="E1650" s="5" t="s">
        <v>2588</v>
      </c>
      <c r="F1650">
        <v>12</v>
      </c>
      <c r="G1650" s="1" t="s">
        <v>2303</v>
      </c>
      <c r="H1650" s="17" t="s">
        <v>2122</v>
      </c>
      <c r="I1650" s="19"/>
      <c r="J1650" s="5" t="str">
        <f>IF(LEN(VLOOKUP(表1[[#This Row],[id]],数据引用!A:C,3,FALSE))&gt;0,VLOOKUP(表1[[#This Row],[id]],数据引用!A:C,3,FALSE),"")</f>
        <v/>
      </c>
      <c r="K1650" t="s">
        <v>2192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0" s="5"/>
      <c r="P1650" s="5"/>
    </row>
    <row r="1651" spans="1:16" ht="14.25" customHeight="1">
      <c r="A1651" t="s">
        <v>2213</v>
      </c>
      <c r="B1651" s="5">
        <f>IF(表1[[#This Row],[不调整offset]]="x",IFERROR(VLOOKUP(表1[[#This Row],[8:image]],常量!J:N,4,FALSE),0),0)</f>
        <v>0</v>
      </c>
      <c r="C1651" s="5">
        <f>IF(表1[[#This Row],[不调整offset]]="x",IFERROR(VLOOKUP(表1[[#This Row],[8:image]],常量!J:N,5,FALSE),0),0)</f>
        <v>0</v>
      </c>
      <c r="E1651" s="5" t="s">
        <v>2588</v>
      </c>
      <c r="F1651">
        <v>12</v>
      </c>
      <c r="G1651" s="1" t="s">
        <v>2305</v>
      </c>
      <c r="H1651" s="17" t="s">
        <v>2123</v>
      </c>
      <c r="I1651" s="19"/>
      <c r="J1651" s="5" t="str">
        <f>IF(LEN(VLOOKUP(表1[[#This Row],[id]],数据引用!A:C,3,FALSE))&gt;0,VLOOKUP(表1[[#This Row],[id]],数据引用!A:C,3,FALSE),"")</f>
        <v/>
      </c>
      <c r="K1651" t="s">
        <v>2192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1" s="5"/>
      <c r="P1651" s="5"/>
    </row>
    <row r="1652" spans="1:16" ht="14.25" customHeight="1">
      <c r="A1652" t="s">
        <v>2214</v>
      </c>
      <c r="B1652" s="5">
        <f>IF(表1[[#This Row],[不调整offset]]="x",IFERROR(VLOOKUP(表1[[#This Row],[8:image]],常量!J:N,4,FALSE),0),0)</f>
        <v>0</v>
      </c>
      <c r="C1652" s="5">
        <f>IF(表1[[#This Row],[不调整offset]]="x",IFERROR(VLOOKUP(表1[[#This Row],[8:image]],常量!J:N,5,FALSE),0),0)</f>
        <v>0</v>
      </c>
      <c r="E1652" s="5" t="s">
        <v>2588</v>
      </c>
      <c r="F1652">
        <v>12</v>
      </c>
      <c r="G1652" s="1" t="s">
        <v>2307</v>
      </c>
      <c r="H1652" s="17" t="s">
        <v>2124</v>
      </c>
      <c r="I1652" s="19"/>
      <c r="J1652" s="5" t="str">
        <f>IF(LEN(VLOOKUP(表1[[#This Row],[id]],数据引用!A:C,3,FALSE))&gt;0,VLOOKUP(表1[[#This Row],[id]],数据引用!A:C,3,FALSE),"")</f>
        <v/>
      </c>
      <c r="K1652" t="s">
        <v>2192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2" s="5"/>
      <c r="P1652" s="5"/>
    </row>
    <row r="1653" spans="1:16" ht="14.25" customHeight="1">
      <c r="A1653" t="s">
        <v>2215</v>
      </c>
      <c r="B1653" s="5">
        <f>IF(表1[[#This Row],[不调整offset]]="x",IFERROR(VLOOKUP(表1[[#This Row],[8:image]],常量!J:N,4,FALSE),0),0)</f>
        <v>0</v>
      </c>
      <c r="C1653" s="5">
        <f>IF(表1[[#This Row],[不调整offset]]="x",IFERROR(VLOOKUP(表1[[#This Row],[8:image]],常量!J:N,5,FALSE),0),0)</f>
        <v>0</v>
      </c>
      <c r="E1653" s="5" t="s">
        <v>2588</v>
      </c>
      <c r="F1653">
        <v>12</v>
      </c>
      <c r="G1653" s="1" t="s">
        <v>2309</v>
      </c>
      <c r="H1653" s="17" t="s">
        <v>2125</v>
      </c>
      <c r="I1653" s="19"/>
      <c r="J1653" s="5" t="str">
        <f>IF(LEN(VLOOKUP(表1[[#This Row],[id]],数据引用!A:C,3,FALSE))&gt;0,VLOOKUP(表1[[#This Row],[id]],数据引用!A:C,3,FALSE),"")</f>
        <v/>
      </c>
      <c r="K1653" t="s">
        <v>2192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3" s="5"/>
      <c r="P1653" s="5"/>
    </row>
    <row r="1654" spans="1:16" ht="14.25" customHeight="1">
      <c r="A1654" t="s">
        <v>2216</v>
      </c>
      <c r="B1654" s="5">
        <f>IF(表1[[#This Row],[不调整offset]]="x",IFERROR(VLOOKUP(表1[[#This Row],[8:image]],常量!J:N,4,FALSE),0),0)</f>
        <v>0</v>
      </c>
      <c r="C1654" s="5">
        <f>IF(表1[[#This Row],[不调整offset]]="x",IFERROR(VLOOKUP(表1[[#This Row],[8:image]],常量!J:N,5,FALSE),0),0)</f>
        <v>0</v>
      </c>
      <c r="E1654" s="5" t="s">
        <v>2588</v>
      </c>
      <c r="F1654">
        <v>12</v>
      </c>
      <c r="G1654" s="1" t="s">
        <v>2313</v>
      </c>
      <c r="H1654" s="17" t="s">
        <v>2126</v>
      </c>
      <c r="I1654" s="19"/>
      <c r="J1654" s="5" t="str">
        <f>IF(LEN(VLOOKUP(表1[[#This Row],[id]],数据引用!A:C,3,FALSE))&gt;0,VLOOKUP(表1[[#This Row],[id]],数据引用!A:C,3,FALSE),"")</f>
        <v/>
      </c>
      <c r="K1654" t="s">
        <v>2192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4" s="5"/>
      <c r="P1654" s="5"/>
    </row>
    <row r="1655" spans="1:16" ht="14.25" customHeight="1">
      <c r="A1655" t="s">
        <v>2217</v>
      </c>
      <c r="B1655" s="5">
        <f>IF(表1[[#This Row],[不调整offset]]="x",IFERROR(VLOOKUP(表1[[#This Row],[8:image]],常量!J:N,4,FALSE),0),0)</f>
        <v>0</v>
      </c>
      <c r="C1655" s="5">
        <f>IF(表1[[#This Row],[不调整offset]]="x",IFERROR(VLOOKUP(表1[[#This Row],[8:image]],常量!J:N,5,FALSE),0),0)</f>
        <v>0</v>
      </c>
      <c r="E1655" s="5" t="s">
        <v>2588</v>
      </c>
      <c r="F1655">
        <v>12</v>
      </c>
      <c r="G1655" s="1" t="s">
        <v>2311</v>
      </c>
      <c r="H1655" s="17" t="s">
        <v>2127</v>
      </c>
      <c r="I1655" s="19"/>
      <c r="J1655" s="5" t="str">
        <f>IF(LEN(VLOOKUP(表1[[#This Row],[id]],数据引用!A:C,3,FALSE))&gt;0,VLOOKUP(表1[[#This Row],[id]],数据引用!A:C,3,FALSE),"")</f>
        <v/>
      </c>
      <c r="K1655" t="s">
        <v>2192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5" s="5"/>
      <c r="P1655" s="5"/>
    </row>
    <row r="1656" spans="1:16" ht="14.25" customHeight="1">
      <c r="A1656" t="s">
        <v>2218</v>
      </c>
      <c r="B1656" s="5">
        <f>IF(表1[[#This Row],[不调整offset]]="x",IFERROR(VLOOKUP(表1[[#This Row],[8:image]],常量!J:N,4,FALSE),0),0)</f>
        <v>0</v>
      </c>
      <c r="C1656" s="5">
        <f>IF(表1[[#This Row],[不调整offset]]="x",IFERROR(VLOOKUP(表1[[#This Row],[8:image]],常量!J:N,5,FALSE),0),0)</f>
        <v>0</v>
      </c>
      <c r="E1656" s="5" t="s">
        <v>2588</v>
      </c>
      <c r="F1656">
        <v>12</v>
      </c>
      <c r="G1656" s="1" t="s">
        <v>2315</v>
      </c>
      <c r="H1656" s="17" t="s">
        <v>2128</v>
      </c>
      <c r="I1656" s="19"/>
      <c r="J1656" s="5" t="str">
        <f>IF(LEN(VLOOKUP(表1[[#This Row],[id]],数据引用!A:C,3,FALSE))&gt;0,VLOOKUP(表1[[#This Row],[id]],数据引用!A:C,3,FALSE),"")</f>
        <v/>
      </c>
      <c r="K1656" t="s">
        <v>2192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6" s="5"/>
      <c r="P1656" s="5"/>
    </row>
    <row r="1657" spans="1:16" ht="14.25" customHeight="1">
      <c r="A1657" t="s">
        <v>2219</v>
      </c>
      <c r="B1657" s="5">
        <f>IF(表1[[#This Row],[不调整offset]]="x",IFERROR(VLOOKUP(表1[[#This Row],[8:image]],常量!J:N,4,FALSE),0),0)</f>
        <v>0</v>
      </c>
      <c r="C1657" s="5">
        <f>IF(表1[[#This Row],[不调整offset]]="x",IFERROR(VLOOKUP(表1[[#This Row],[8:image]],常量!J:N,5,FALSE),0),0)</f>
        <v>0</v>
      </c>
      <c r="E1657" s="5" t="s">
        <v>2588</v>
      </c>
      <c r="F1657">
        <v>12</v>
      </c>
      <c r="G1657" s="1" t="s">
        <v>2317</v>
      </c>
      <c r="H1657" s="17" t="s">
        <v>2129</v>
      </c>
      <c r="I1657" s="19"/>
      <c r="J1657" s="5" t="str">
        <f>IF(LEN(VLOOKUP(表1[[#This Row],[id]],数据引用!A:C,3,FALSE))&gt;0,VLOOKUP(表1[[#This Row],[id]],数据引用!A:C,3,FALSE),"")</f>
        <v/>
      </c>
      <c r="K1657" t="s">
        <v>2192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7" s="5"/>
      <c r="P1657" s="5"/>
    </row>
    <row r="1658" spans="1:16" ht="14.25" customHeight="1">
      <c r="A1658" t="s">
        <v>2220</v>
      </c>
      <c r="B1658" s="5">
        <f>IF(表1[[#This Row],[不调整offset]]="x",IFERROR(VLOOKUP(表1[[#This Row],[8:image]],常量!J:N,4,FALSE),0),0)</f>
        <v>0</v>
      </c>
      <c r="C1658" s="5">
        <f>IF(表1[[#This Row],[不调整offset]]="x",IFERROR(VLOOKUP(表1[[#This Row],[8:image]],常量!J:N,5,FALSE),0),0)</f>
        <v>0</v>
      </c>
      <c r="E1658" s="5" t="s">
        <v>2588</v>
      </c>
      <c r="F1658">
        <v>12</v>
      </c>
      <c r="G1658" s="1" t="s">
        <v>2319</v>
      </c>
      <c r="H1658" s="17" t="s">
        <v>2130</v>
      </c>
      <c r="I1658" s="19"/>
      <c r="J1658" s="5" t="str">
        <f>IF(LEN(VLOOKUP(表1[[#This Row],[id]],数据引用!A:C,3,FALSE))&gt;0,VLOOKUP(表1[[#This Row],[id]],数据引用!A:C,3,FALSE),"")</f>
        <v>他们说我还太年轻。</v>
      </c>
      <c r="K1658" t="s">
        <v>2192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t="14.25" customHeight="1">
      <c r="A1659" t="s">
        <v>2221</v>
      </c>
      <c r="B1659" s="5">
        <f>IF(表1[[#This Row],[不调整offset]]="x",IFERROR(VLOOKUP(表1[[#This Row],[8:image]],常量!J:N,4,FALSE),0),0)</f>
        <v>0</v>
      </c>
      <c r="C1659" s="5">
        <f>IF(表1[[#This Row],[不调整offset]]="x",IFERROR(VLOOKUP(表1[[#This Row],[8:image]],常量!J:N,5,FALSE),0),0)</f>
        <v>0</v>
      </c>
      <c r="E1659" s="5" t="s">
        <v>2588</v>
      </c>
      <c r="F1659">
        <v>12</v>
      </c>
      <c r="G1659" s="1" t="s">
        <v>2321</v>
      </c>
      <c r="H1659" s="17" t="s">
        <v>2131</v>
      </c>
      <c r="I1659" s="19"/>
      <c r="J1659" s="5" t="str">
        <f>IF(LEN(VLOOKUP(表1[[#This Row],[id]],数据引用!A:C,3,FALSE))&gt;0,VLOOKUP(表1[[#This Row],[id]],数据引用!A:C,3,FALSE),"")</f>
        <v>他们说我还需要锻炼。</v>
      </c>
      <c r="K1659" t="s">
        <v>2192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t="14.25" customHeight="1">
      <c r="A1660" t="s">
        <v>2222</v>
      </c>
      <c r="B1660" s="5">
        <f>IF(表1[[#This Row],[不调整offset]]="x",IFERROR(VLOOKUP(表1[[#This Row],[8:image]],常量!J:N,4,FALSE),0),0)</f>
        <v>0</v>
      </c>
      <c r="C1660" s="5">
        <f>IF(表1[[#This Row],[不调整offset]]="x",IFERROR(VLOOKUP(表1[[#This Row],[8:image]],常量!J:N,5,FALSE),0),0)</f>
        <v>0</v>
      </c>
      <c r="E1660" s="5" t="s">
        <v>2588</v>
      </c>
      <c r="F1660">
        <v>12</v>
      </c>
      <c r="G1660" s="1" t="s">
        <v>2323</v>
      </c>
      <c r="H1660" s="17" t="s">
        <v>2132</v>
      </c>
      <c r="I1660" s="19"/>
      <c r="J1660" s="5" t="str">
        <f>IF(LEN(VLOOKUP(表1[[#This Row],[id]],数据引用!A:C,3,FALSE))&gt;0,VLOOKUP(表1[[#This Row],[id]],数据引用!A:C,3,FALSE),"")</f>
        <v>我告诉他们下地狱吧！</v>
      </c>
      <c r="K1660" t="s">
        <v>2192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t="14.25" customHeight="1">
      <c r="A1661" t="s">
        <v>2223</v>
      </c>
      <c r="B1661" s="5">
        <f>IF(表1[[#This Row],[不调整offset]]="x",IFERROR(VLOOKUP(表1[[#This Row],[8:image]],常量!J:N,4,FALSE),0),0)</f>
        <v>0</v>
      </c>
      <c r="C1661" s="5">
        <f>IF(表1[[#This Row],[不调整offset]]="x",IFERROR(VLOOKUP(表1[[#This Row],[8:image]],常量!J:N,5,FALSE),0),0)</f>
        <v>0</v>
      </c>
      <c r="E1661" s="5" t="s">
        <v>2588</v>
      </c>
      <c r="F1661">
        <v>12</v>
      </c>
      <c r="G1661" s="1" t="s">
        <v>2325</v>
      </c>
      <c r="H1661" s="17" t="s">
        <v>2133</v>
      </c>
      <c r="I1661" s="19"/>
      <c r="J1661" s="5" t="str">
        <f>IF(LEN(VLOOKUP(表1[[#This Row],[id]],数据引用!A:C,3,FALSE))&gt;0,VLOOKUP(表1[[#This Row],[id]],数据引用!A:C,3,FALSE),"")</f>
        <v>太讽刺了…</v>
      </c>
      <c r="K1661" t="s">
        <v>2192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t="14.25" customHeight="1">
      <c r="A1662" t="s">
        <v>2224</v>
      </c>
      <c r="B1662" s="5">
        <f>IF(表1[[#This Row],[不调整offset]]="x",IFERROR(VLOOKUP(表1[[#This Row],[8:image]],常量!J:N,4,FALSE),0),0)</f>
        <v>0</v>
      </c>
      <c r="C1662" s="5">
        <f>IF(表1[[#This Row],[不调整offset]]="x",IFERROR(VLOOKUP(表1[[#This Row],[8:image]],常量!J:N,5,FALSE),0),0)</f>
        <v>0</v>
      </c>
      <c r="E1662" s="5" t="s">
        <v>2588</v>
      </c>
      <c r="F1662">
        <v>12</v>
      </c>
      <c r="G1662" s="1" t="s">
        <v>2327</v>
      </c>
      <c r="H1662" s="17" t="s">
        <v>2134</v>
      </c>
      <c r="I1662" s="19"/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2192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t="14.25" customHeight="1">
      <c r="A1663" t="s">
        <v>2225</v>
      </c>
      <c r="B1663" s="5">
        <f>IF(表1[[#This Row],[不调整offset]]="x",IFERROR(VLOOKUP(表1[[#This Row],[8:image]],常量!J:N,4,FALSE),0),0)</f>
        <v>0</v>
      </c>
      <c r="C1663" s="5">
        <f>IF(表1[[#This Row],[不调整offset]]="x",IFERROR(VLOOKUP(表1[[#This Row],[8:image]],常量!J:N,5,FALSE),0),0)</f>
        <v>0</v>
      </c>
      <c r="E1663" s="5" t="s">
        <v>2588</v>
      </c>
      <c r="F1663">
        <v>12</v>
      </c>
      <c r="G1663" s="1" t="s">
        <v>2329</v>
      </c>
      <c r="H1663" s="17" t="s">
        <v>2135</v>
      </c>
      <c r="I1663" s="19"/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2192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t="14.25" customHeight="1">
      <c r="A1664" t="s">
        <v>2226</v>
      </c>
      <c r="B1664" s="5">
        <f>IF(表1[[#This Row],[不调整offset]]="x",IFERROR(VLOOKUP(表1[[#This Row],[8:image]],常量!J:N,4,FALSE),0),0)</f>
        <v>0</v>
      </c>
      <c r="C1664" s="5">
        <f>IF(表1[[#This Row],[不调整offset]]="x",IFERROR(VLOOKUP(表1[[#This Row],[8:image]],常量!J:N,5,FALSE),0),0)</f>
        <v>0</v>
      </c>
      <c r="E1664" s="5" t="s">
        <v>2588</v>
      </c>
      <c r="F1664">
        <v>12</v>
      </c>
      <c r="G1664" s="1" t="s">
        <v>2331</v>
      </c>
      <c r="H1664" s="17" t="s">
        <v>2136</v>
      </c>
      <c r="I1664" s="19"/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2192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t="14.25" customHeight="1">
      <c r="A1665" t="s">
        <v>2227</v>
      </c>
      <c r="B1665" s="5">
        <f>IF(表1[[#This Row],[不调整offset]]="x",IFERROR(VLOOKUP(表1[[#This Row],[8:image]],常量!J:N,4,FALSE),0),0)</f>
        <v>0</v>
      </c>
      <c r="C1665" s="5">
        <f>IF(表1[[#This Row],[不调整offset]]="x",IFERROR(VLOOKUP(表1[[#This Row],[8:image]],常量!J:N,5,FALSE),0),0)</f>
        <v>0</v>
      </c>
      <c r="E1665" s="5" t="s">
        <v>2588</v>
      </c>
      <c r="F1665">
        <v>12</v>
      </c>
      <c r="G1665" s="1" t="s">
        <v>2333</v>
      </c>
      <c r="H1665" s="17" t="s">
        <v>2137</v>
      </c>
      <c r="I1665" s="19"/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2192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t="14.25" customHeight="1">
      <c r="A1666" t="s">
        <v>2228</v>
      </c>
      <c r="B1666" s="5">
        <f>IF(表1[[#This Row],[不调整offset]]="x",IFERROR(VLOOKUP(表1[[#This Row],[8:image]],常量!J:N,4,FALSE),0),0)</f>
        <v>0</v>
      </c>
      <c r="C1666" s="5">
        <f>IF(表1[[#This Row],[不调整offset]]="x",IFERROR(VLOOKUP(表1[[#This Row],[8:image]],常量!J:N,5,FALSE),0),0)</f>
        <v>0</v>
      </c>
      <c r="E1666" s="5" t="s">
        <v>2588</v>
      </c>
      <c r="F1666">
        <v>12</v>
      </c>
      <c r="G1666" s="1" t="s">
        <v>2335</v>
      </c>
      <c r="H1666" s="17" t="s">
        <v>2138</v>
      </c>
      <c r="I1666" s="19"/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2192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t="14.25" customHeight="1">
      <c r="A1667" t="s">
        <v>2229</v>
      </c>
      <c r="B1667" s="5">
        <f>IF(表1[[#This Row],[不调整offset]]="x",IFERROR(VLOOKUP(表1[[#This Row],[8:image]],常量!J:N,4,FALSE),0),0)</f>
        <v>0</v>
      </c>
      <c r="C1667" s="5">
        <f>IF(表1[[#This Row],[不调整offset]]="x",IFERROR(VLOOKUP(表1[[#This Row],[8:image]],常量!J:N,5,FALSE),0),0)</f>
        <v>0</v>
      </c>
      <c r="E1667" s="5" t="s">
        <v>2588</v>
      </c>
      <c r="F1667">
        <v>12</v>
      </c>
      <c r="G1667" s="1" t="s">
        <v>2337</v>
      </c>
      <c r="H1667" s="17" t="s">
        <v>2139</v>
      </c>
      <c r="I1667" s="19"/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2192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t="14.25" customHeight="1">
      <c r="A1668" t="s">
        <v>2230</v>
      </c>
      <c r="B1668" s="5">
        <f>IF(表1[[#This Row],[不调整offset]]="x",IFERROR(VLOOKUP(表1[[#This Row],[8:image]],常量!J:N,4,FALSE),0),0)</f>
        <v>0</v>
      </c>
      <c r="C1668" s="5">
        <f>IF(表1[[#This Row],[不调整offset]]="x",IFERROR(VLOOKUP(表1[[#This Row],[8:image]],常量!J:N,5,FALSE),0),0)</f>
        <v>0</v>
      </c>
      <c r="E1668" s="5" t="s">
        <v>2588</v>
      </c>
      <c r="F1668">
        <v>12</v>
      </c>
      <c r="G1668" s="1" t="s">
        <v>2339</v>
      </c>
      <c r="H1668" s="17" t="s">
        <v>2140</v>
      </c>
      <c r="I1668" s="19"/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2192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t="14.25" customHeight="1">
      <c r="A1669" t="s">
        <v>2231</v>
      </c>
      <c r="B1669" s="5">
        <f>IF(表1[[#This Row],[不调整offset]]="x",IFERROR(VLOOKUP(表1[[#This Row],[8:image]],常量!J:N,4,FALSE),0),0)</f>
        <v>0</v>
      </c>
      <c r="C1669" s="5">
        <f>IF(表1[[#This Row],[不调整offset]]="x",IFERROR(VLOOKUP(表1[[#This Row],[8:image]],常量!J:N,5,FALSE),0),0)</f>
        <v>0</v>
      </c>
      <c r="E1669" s="5" t="s">
        <v>2588</v>
      </c>
      <c r="F1669">
        <v>12</v>
      </c>
      <c r="G1669" s="1" t="s">
        <v>2341</v>
      </c>
      <c r="H1669" s="17" t="s">
        <v>2141</v>
      </c>
      <c r="I1669" s="19"/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2192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t="14.25" customHeight="1">
      <c r="A1670" t="s">
        <v>2232</v>
      </c>
      <c r="B1670" s="5">
        <f>IF(表1[[#This Row],[不调整offset]]="x",IFERROR(VLOOKUP(表1[[#This Row],[8:image]],常量!J:N,4,FALSE),0),0)</f>
        <v>0</v>
      </c>
      <c r="C1670" s="5">
        <f>IF(表1[[#This Row],[不调整offset]]="x",IFERROR(VLOOKUP(表1[[#This Row],[8:image]],常量!J:N,5,FALSE),0),0)</f>
        <v>0</v>
      </c>
      <c r="E1670" s="5" t="s">
        <v>2588</v>
      </c>
      <c r="F1670">
        <v>12</v>
      </c>
      <c r="G1670" s="1" t="s">
        <v>2343</v>
      </c>
      <c r="H1670" s="17" t="s">
        <v>2142</v>
      </c>
      <c r="I1670" s="19"/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2192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t="14.25" customHeight="1">
      <c r="A1671" t="s">
        <v>2233</v>
      </c>
      <c r="B1671" s="5">
        <f>IF(表1[[#This Row],[不调整offset]]="x",IFERROR(VLOOKUP(表1[[#This Row],[8:image]],常量!J:N,4,FALSE),0),0)</f>
        <v>0</v>
      </c>
      <c r="C1671" s="5">
        <f>IF(表1[[#This Row],[不调整offset]]="x",IFERROR(VLOOKUP(表1[[#This Row],[8:image]],常量!J:N,5,FALSE),0),0)</f>
        <v>0</v>
      </c>
      <c r="E1671" s="5" t="s">
        <v>2588</v>
      </c>
      <c r="F1671">
        <v>12</v>
      </c>
      <c r="G1671" s="1" t="s">
        <v>2345</v>
      </c>
      <c r="H1671" s="17" t="s">
        <v>2143</v>
      </c>
      <c r="I1671" s="19"/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2192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t="14.25" customHeight="1">
      <c r="A1672" t="s">
        <v>2234</v>
      </c>
      <c r="B1672" s="5">
        <f>IF(表1[[#This Row],[不调整offset]]="x",IFERROR(VLOOKUP(表1[[#This Row],[8:image]],常量!J:N,4,FALSE),0),0)</f>
        <v>0</v>
      </c>
      <c r="C1672" s="5">
        <f>IF(表1[[#This Row],[不调整offset]]="x",IFERROR(VLOOKUP(表1[[#This Row],[8:image]],常量!J:N,5,FALSE),0),0)</f>
        <v>0</v>
      </c>
      <c r="E1672" s="5" t="s">
        <v>2588</v>
      </c>
      <c r="F1672">
        <v>12</v>
      </c>
      <c r="G1672" s="1" t="s">
        <v>2347</v>
      </c>
      <c r="H1672" s="17" t="s">
        <v>2144</v>
      </c>
      <c r="I1672" s="19"/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2192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t="14.25" customHeight="1">
      <c r="A1673" t="s">
        <v>2235</v>
      </c>
      <c r="B1673" s="5">
        <f>IF(表1[[#This Row],[不调整offset]]="x",IFERROR(VLOOKUP(表1[[#This Row],[8:image]],常量!J:N,4,FALSE),0),0)</f>
        <v>0</v>
      </c>
      <c r="C1673" s="5">
        <f>IF(表1[[#This Row],[不调整offset]]="x",IFERROR(VLOOKUP(表1[[#This Row],[8:image]],常量!J:N,5,FALSE),0),0)</f>
        <v>0</v>
      </c>
      <c r="E1673" s="5" t="s">
        <v>2588</v>
      </c>
      <c r="F1673">
        <v>12</v>
      </c>
      <c r="G1673" s="1" t="s">
        <v>2349</v>
      </c>
      <c r="H1673" s="17" t="s">
        <v>2145</v>
      </c>
      <c r="I1673" s="19"/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2192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t="14.25" customHeight="1">
      <c r="A1674" t="s">
        <v>2236</v>
      </c>
      <c r="B1674" s="5">
        <f>IF(表1[[#This Row],[不调整offset]]="x",IFERROR(VLOOKUP(表1[[#This Row],[8:image]],常量!J:N,4,FALSE),0),0)</f>
        <v>0</v>
      </c>
      <c r="C1674" s="5">
        <f>IF(表1[[#This Row],[不调整offset]]="x",IFERROR(VLOOKUP(表1[[#This Row],[8:image]],常量!J:N,5,FALSE),0),0)</f>
        <v>0</v>
      </c>
      <c r="E1674" s="5" t="s">
        <v>2588</v>
      </c>
      <c r="F1674">
        <v>12</v>
      </c>
      <c r="G1674" s="1" t="s">
        <v>2351</v>
      </c>
      <c r="H1674" s="17" t="s">
        <v>2146</v>
      </c>
      <c r="I1674" s="19"/>
      <c r="J1674" s="5" t="str">
        <f>IF(LEN(VLOOKUP(表1[[#This Row],[id]],数据引用!A:C,3,FALSE))&gt;0,VLOOKUP(表1[[#This Row],[id]],数据引用!A:C,3,FALSE),"")</f>
        <v>为什么“金路特勤”看上去这么重要？</v>
      </c>
      <c r="K1674" t="s">
        <v>2192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font-size:12;"&gt;为什么“金路特勤”看上去这么重要？&lt;/text&gt;&lt;text transform="matrix(1 0 0 1 0 10.3205)" style="fill:#FFFFFF; font-family:'FZXS12--GB1-0'; font-size:12;"&gt;为什么“金路特勤”看上去这么重要？&lt;/text&gt;&lt;/svg&gt;</v>
      </c>
      <c r="N1674" s="5"/>
      <c r="P1674" s="5"/>
    </row>
    <row r="1675" spans="1:16" ht="14.25" customHeight="1">
      <c r="A1675" t="s">
        <v>2237</v>
      </c>
      <c r="B1675" s="5">
        <f>IF(表1[[#This Row],[不调整offset]]="x",IFERROR(VLOOKUP(表1[[#This Row],[8:image]],常量!J:N,4,FALSE),0),0)</f>
        <v>0</v>
      </c>
      <c r="C1675" s="5">
        <f>IF(表1[[#This Row],[不调整offset]]="x",IFERROR(VLOOKUP(表1[[#This Row],[8:image]],常量!J:N,5,FALSE),0),0)</f>
        <v>0</v>
      </c>
      <c r="E1675" s="5" t="s">
        <v>2588</v>
      </c>
      <c r="F1675">
        <v>12</v>
      </c>
      <c r="G1675" s="1" t="s">
        <v>2353</v>
      </c>
      <c r="H1675" s="17" t="s">
        <v>2147</v>
      </c>
      <c r="I1675" s="19"/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2192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t="14.25" customHeight="1">
      <c r="A1676" t="s">
        <v>2238</v>
      </c>
      <c r="B1676" s="5">
        <f>IF(表1[[#This Row],[不调整offset]]="x",IFERROR(VLOOKUP(表1[[#This Row],[8:image]],常量!J:N,4,FALSE),0),0)</f>
        <v>0</v>
      </c>
      <c r="C1676" s="5">
        <f>IF(表1[[#This Row],[不调整offset]]="x",IFERROR(VLOOKUP(表1[[#This Row],[8:image]],常量!J:N,5,FALSE),0),0)</f>
        <v>0</v>
      </c>
      <c r="E1676" s="5" t="s">
        <v>2588</v>
      </c>
      <c r="F1676">
        <v>12</v>
      </c>
      <c r="G1676" s="1" t="s">
        <v>2355</v>
      </c>
      <c r="H1676" s="17" t="s">
        <v>2148</v>
      </c>
      <c r="I1676" s="19"/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2192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t="14.25" customHeight="1">
      <c r="A1677" t="s">
        <v>2239</v>
      </c>
      <c r="B1677" s="5">
        <f>IF(表1[[#This Row],[不调整offset]]="x",IFERROR(VLOOKUP(表1[[#This Row],[8:image]],常量!J:N,4,FALSE),0),0)</f>
        <v>0</v>
      </c>
      <c r="C1677" s="5">
        <f>IF(表1[[#This Row],[不调整offset]]="x",IFERROR(VLOOKUP(表1[[#This Row],[8:image]],常量!J:N,5,FALSE),0),0)</f>
        <v>0</v>
      </c>
      <c r="E1677" s="5" t="s">
        <v>2588</v>
      </c>
      <c r="F1677">
        <v>12</v>
      </c>
      <c r="G1677" s="1" t="s">
        <v>2357</v>
      </c>
      <c r="H1677" s="17" t="s">
        <v>2149</v>
      </c>
      <c r="I1677" s="19"/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2192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t="14.25" customHeight="1">
      <c r="A1678" t="s">
        <v>2240</v>
      </c>
      <c r="B1678" s="5">
        <f>IF(表1[[#This Row],[不调整offset]]="x",IFERROR(VLOOKUP(表1[[#This Row],[8:image]],常量!J:N,4,FALSE),0),0)</f>
        <v>0</v>
      </c>
      <c r="C1678" s="5">
        <f>IF(表1[[#This Row],[不调整offset]]="x",IFERROR(VLOOKUP(表1[[#This Row],[8:image]],常量!J:N,5,FALSE),0),0)</f>
        <v>0</v>
      </c>
      <c r="E1678" s="5" t="s">
        <v>2588</v>
      </c>
      <c r="F1678">
        <v>12</v>
      </c>
      <c r="G1678" s="1" t="s">
        <v>2359</v>
      </c>
      <c r="H1678" s="17" t="s">
        <v>2150</v>
      </c>
      <c r="I1678" s="19"/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2192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t="14.25" customHeight="1">
      <c r="A1679" t="s">
        <v>2241</v>
      </c>
      <c r="B1679" s="5">
        <f>IF(表1[[#This Row],[不调整offset]]="x",IFERROR(VLOOKUP(表1[[#This Row],[8:image]],常量!J:N,4,FALSE),0),0)</f>
        <v>0</v>
      </c>
      <c r="C1679" s="5">
        <f>IF(表1[[#This Row],[不调整offset]]="x",IFERROR(VLOOKUP(表1[[#This Row],[8:image]],常量!J:N,5,FALSE),0),0)</f>
        <v>0</v>
      </c>
      <c r="E1679" s="5" t="s">
        <v>2588</v>
      </c>
      <c r="F1679">
        <v>12</v>
      </c>
      <c r="G1679" s="1" t="s">
        <v>2361</v>
      </c>
      <c r="H1679" s="17" t="s">
        <v>2151</v>
      </c>
      <c r="I1679" s="19"/>
      <c r="J1679" s="5" t="str">
        <f>IF(LEN(VLOOKUP(表1[[#This Row],[id]],数据引用!A:C,3,FALSE))&gt;0,VLOOKUP(表1[[#This Row],[id]],数据引用!A:C,3,FALSE),"")</f>
        <v>父亲？！</v>
      </c>
      <c r="K1679" t="s">
        <v>2192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t="14.25" customHeight="1">
      <c r="A1680" t="s">
        <v>2242</v>
      </c>
      <c r="B1680" s="5">
        <f>IF(表1[[#This Row],[不调整offset]]="x",IFERROR(VLOOKUP(表1[[#This Row],[8:image]],常量!J:N,4,FALSE),0),0)</f>
        <v>0</v>
      </c>
      <c r="C1680" s="5">
        <f>IF(表1[[#This Row],[不调整offset]]="x",IFERROR(VLOOKUP(表1[[#This Row],[8:image]],常量!J:N,5,FALSE),0),0)</f>
        <v>0</v>
      </c>
      <c r="E1680" s="5" t="s">
        <v>2588</v>
      </c>
      <c r="F1680">
        <v>12</v>
      </c>
      <c r="G1680" s="1" t="s">
        <v>2363</v>
      </c>
      <c r="H1680" s="17" t="s">
        <v>2152</v>
      </c>
      <c r="I1680" s="19"/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2192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t="14.25" customHeight="1">
      <c r="A1681" t="s">
        <v>2243</v>
      </c>
      <c r="B1681" s="5">
        <f>IF(表1[[#This Row],[不调整offset]]="x",IFERROR(VLOOKUP(表1[[#This Row],[8:image]],常量!J:N,4,FALSE),0),0)</f>
        <v>0</v>
      </c>
      <c r="C1681" s="5">
        <f>IF(表1[[#This Row],[不调整offset]]="x",IFERROR(VLOOKUP(表1[[#This Row],[8:image]],常量!J:N,5,FALSE),0),0)</f>
        <v>0</v>
      </c>
      <c r="E1681" s="5" t="s">
        <v>2588</v>
      </c>
      <c r="F1681">
        <v>12</v>
      </c>
      <c r="G1681" s="1" t="s">
        <v>2365</v>
      </c>
      <c r="H1681" s="17" t="s">
        <v>2153</v>
      </c>
      <c r="I1681" s="19"/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2192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t="14.25" customHeight="1">
      <c r="A1682" t="s">
        <v>2244</v>
      </c>
      <c r="B1682" s="5">
        <f>IF(表1[[#This Row],[不调整offset]]="x",IFERROR(VLOOKUP(表1[[#This Row],[8:image]],常量!J:N,4,FALSE),0),0)</f>
        <v>0</v>
      </c>
      <c r="C1682" s="5">
        <f>IF(表1[[#This Row],[不调整offset]]="x",IFERROR(VLOOKUP(表1[[#This Row],[8:image]],常量!J:N,5,FALSE),0),0)</f>
        <v>0</v>
      </c>
      <c r="E1682" s="5" t="s">
        <v>2588</v>
      </c>
      <c r="F1682">
        <v>12</v>
      </c>
      <c r="G1682" s="1" t="s">
        <v>2367</v>
      </c>
      <c r="H1682" s="17" t="s">
        <v>2154</v>
      </c>
      <c r="I1682" s="19"/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2192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t="14.25" customHeight="1">
      <c r="A1683" t="s">
        <v>2245</v>
      </c>
      <c r="B1683" s="5">
        <f>IF(表1[[#This Row],[不调整offset]]="x",IFERROR(VLOOKUP(表1[[#This Row],[8:image]],常量!J:N,4,FALSE),0),0)</f>
        <v>0</v>
      </c>
      <c r="C1683" s="5">
        <f>IF(表1[[#This Row],[不调整offset]]="x",IFERROR(VLOOKUP(表1[[#This Row],[8:image]],常量!J:N,5,FALSE),0),0)</f>
        <v>0</v>
      </c>
      <c r="E1683" s="5" t="s">
        <v>2588</v>
      </c>
      <c r="F1683">
        <v>12</v>
      </c>
      <c r="G1683" s="1" t="s">
        <v>2369</v>
      </c>
      <c r="H1683" s="17" t="s">
        <v>2155</v>
      </c>
      <c r="I1683" s="19"/>
      <c r="J1683" s="5" t="str">
        <f>IF(LEN(VLOOKUP(表1[[#This Row],[id]],数据引用!A:C,3,FALSE))&gt;0,VLOOKUP(表1[[#This Row],[id]],数据引用!A:C,3,FALSE),"")</f>
        <v/>
      </c>
      <c r="K1683" t="s">
        <v>2192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3" s="5"/>
      <c r="P1683" s="5"/>
    </row>
    <row r="1684" spans="1:16" ht="14.25" customHeight="1">
      <c r="A1684" t="s">
        <v>2246</v>
      </c>
      <c r="B1684" s="5">
        <f>IF(表1[[#This Row],[不调整offset]]="x",IFERROR(VLOOKUP(表1[[#This Row],[8:image]],常量!J:N,4,FALSE),0),0)</f>
        <v>0</v>
      </c>
      <c r="C1684" s="5">
        <f>IF(表1[[#This Row],[不调整offset]]="x",IFERROR(VLOOKUP(表1[[#This Row],[8:image]],常量!J:N,5,FALSE),0),0)</f>
        <v>0</v>
      </c>
      <c r="E1684" s="5" t="s">
        <v>2588</v>
      </c>
      <c r="F1684">
        <v>12</v>
      </c>
      <c r="G1684" s="1" t="s">
        <v>2371</v>
      </c>
      <c r="H1684" s="17" t="s">
        <v>2156</v>
      </c>
      <c r="I1684" s="19"/>
      <c r="J1684" s="5" t="str">
        <f>IF(LEN(VLOOKUP(表1[[#This Row],[id]],数据引用!A:C,3,FALSE))&gt;0,VLOOKUP(表1[[#This Row],[id]],数据引用!A:C,3,FALSE),"")</f>
        <v/>
      </c>
      <c r="K1684" t="s">
        <v>2192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4" s="5"/>
      <c r="P1684" s="5"/>
    </row>
    <row r="1685" spans="1:16" ht="14.25" customHeight="1">
      <c r="A1685" t="s">
        <v>2247</v>
      </c>
      <c r="B1685" s="5">
        <f>IF(表1[[#This Row],[不调整offset]]="x",IFERROR(VLOOKUP(表1[[#This Row],[8:image]],常量!J:N,4,FALSE),0),0)</f>
        <v>0</v>
      </c>
      <c r="C1685" s="5">
        <f>IF(表1[[#This Row],[不调整offset]]="x",IFERROR(VLOOKUP(表1[[#This Row],[8:image]],常量!J:N,5,FALSE),0),0)</f>
        <v>0</v>
      </c>
      <c r="E1685" s="5" t="s">
        <v>2588</v>
      </c>
      <c r="F1685">
        <v>12</v>
      </c>
      <c r="G1685" s="1" t="s">
        <v>2373</v>
      </c>
      <c r="H1685" s="17" t="s">
        <v>2157</v>
      </c>
      <c r="I1685" s="19"/>
      <c r="J1685" s="5" t="str">
        <f>IF(LEN(VLOOKUP(表1[[#This Row],[id]],数据引用!A:C,3,FALSE))&gt;0,VLOOKUP(表1[[#This Row],[id]],数据引用!A:C,3,FALSE),"")</f>
        <v/>
      </c>
      <c r="K1685" t="s">
        <v>2192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5" s="5"/>
      <c r="P1685" s="5"/>
    </row>
    <row r="1686" spans="1:16" ht="14.25" customHeight="1">
      <c r="A1686" t="s">
        <v>2248</v>
      </c>
      <c r="B1686" s="5">
        <f>IF(表1[[#This Row],[不调整offset]]="x",IFERROR(VLOOKUP(表1[[#This Row],[8:image]],常量!J:N,4,FALSE),0),0)</f>
        <v>0</v>
      </c>
      <c r="C1686" s="5">
        <f>IF(表1[[#This Row],[不调整offset]]="x",IFERROR(VLOOKUP(表1[[#This Row],[8:image]],常量!J:N,5,FALSE),0),0)</f>
        <v>0</v>
      </c>
      <c r="E1686" s="5" t="s">
        <v>2588</v>
      </c>
      <c r="F1686">
        <v>12</v>
      </c>
      <c r="G1686" s="1" t="s">
        <v>2375</v>
      </c>
      <c r="H1686" s="17" t="s">
        <v>2158</v>
      </c>
      <c r="I1686" s="19"/>
      <c r="J1686" s="5" t="str">
        <f>IF(LEN(VLOOKUP(表1[[#This Row],[id]],数据引用!A:C,3,FALSE))&gt;0,VLOOKUP(表1[[#This Row],[id]],数据引用!A:C,3,FALSE),"")</f>
        <v/>
      </c>
      <c r="K1686" t="s">
        <v>2192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6" s="5"/>
      <c r="P1686" s="5"/>
    </row>
    <row r="1687" spans="1:16" ht="14.25" customHeight="1">
      <c r="A1687" t="s">
        <v>2249</v>
      </c>
      <c r="B1687" s="5">
        <f>IF(表1[[#This Row],[不调整offset]]="x",IFERROR(VLOOKUP(表1[[#This Row],[8:image]],常量!J:N,4,FALSE),0),0)</f>
        <v>0</v>
      </c>
      <c r="C1687" s="5">
        <f>IF(表1[[#This Row],[不调整offset]]="x",IFERROR(VLOOKUP(表1[[#This Row],[8:image]],常量!J:N,5,FALSE),0),0)</f>
        <v>0</v>
      </c>
      <c r="E1687" s="5" t="s">
        <v>2588</v>
      </c>
      <c r="F1687">
        <v>12</v>
      </c>
      <c r="G1687" s="1" t="s">
        <v>2377</v>
      </c>
      <c r="H1687" s="17" t="s">
        <v>2159</v>
      </c>
      <c r="I1687" s="19"/>
      <c r="J1687" s="5" t="str">
        <f>IF(LEN(VLOOKUP(表1[[#This Row],[id]],数据引用!A:C,3,FALSE))&gt;0,VLOOKUP(表1[[#This Row],[id]],数据引用!A:C,3,FALSE),"")</f>
        <v/>
      </c>
      <c r="K1687" t="s">
        <v>2192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7" s="5"/>
      <c r="P1687" s="5"/>
    </row>
    <row r="1688" spans="1:16" ht="14.25" customHeight="1">
      <c r="A1688" t="s">
        <v>2250</v>
      </c>
      <c r="B1688" s="5">
        <f>IF(表1[[#This Row],[不调整offset]]="x",IFERROR(VLOOKUP(表1[[#This Row],[8:image]],常量!J:N,4,FALSE),0),0)</f>
        <v>0</v>
      </c>
      <c r="C1688" s="5">
        <f>IF(表1[[#This Row],[不调整offset]]="x",IFERROR(VLOOKUP(表1[[#This Row],[8:image]],常量!J:N,5,FALSE),0),0)</f>
        <v>0</v>
      </c>
      <c r="E1688" s="5" t="s">
        <v>2588</v>
      </c>
      <c r="F1688">
        <v>12</v>
      </c>
      <c r="G1688" s="1" t="s">
        <v>2379</v>
      </c>
      <c r="H1688" s="17" t="s">
        <v>2160</v>
      </c>
      <c r="I1688" s="19"/>
      <c r="J1688" s="5" t="str">
        <f>IF(LEN(VLOOKUP(表1[[#This Row],[id]],数据引用!A:C,3,FALSE))&gt;0,VLOOKUP(表1[[#This Row],[id]],数据引用!A:C,3,FALSE),"")</f>
        <v/>
      </c>
      <c r="K1688" t="s">
        <v>2192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8" s="5"/>
      <c r="P1688" s="5"/>
    </row>
    <row r="1689" spans="1:16" ht="14.25" customHeight="1">
      <c r="A1689" t="s">
        <v>2251</v>
      </c>
      <c r="B1689" s="5">
        <f>IF(表1[[#This Row],[不调整offset]]="x",IFERROR(VLOOKUP(表1[[#This Row],[8:image]],常量!J:N,4,FALSE),0),0)</f>
        <v>0</v>
      </c>
      <c r="C1689" s="5">
        <f>IF(表1[[#This Row],[不调整offset]]="x",IFERROR(VLOOKUP(表1[[#This Row],[8:image]],常量!J:N,5,FALSE),0),0)</f>
        <v>0</v>
      </c>
      <c r="E1689" s="5" t="s">
        <v>2588</v>
      </c>
      <c r="F1689">
        <v>12</v>
      </c>
      <c r="G1689" s="1" t="s">
        <v>2381</v>
      </c>
      <c r="H1689" s="17" t="s">
        <v>2161</v>
      </c>
      <c r="I1689" s="19"/>
      <c r="J1689" s="5" t="str">
        <f>IF(LEN(VLOOKUP(表1[[#This Row],[id]],数据引用!A:C,3,FALSE))&gt;0,VLOOKUP(表1[[#This Row],[id]],数据引用!A:C,3,FALSE),"")</f>
        <v/>
      </c>
      <c r="K1689" t="s">
        <v>2192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9" s="5"/>
      <c r="P1689" s="5"/>
    </row>
    <row r="1690" spans="1:16" ht="14.25" customHeight="1">
      <c r="A1690" t="s">
        <v>2252</v>
      </c>
      <c r="B1690" s="5">
        <f>IF(表1[[#This Row],[不调整offset]]="x",IFERROR(VLOOKUP(表1[[#This Row],[8:image]],常量!J:N,4,FALSE),0),0)</f>
        <v>0</v>
      </c>
      <c r="C1690" s="5">
        <f>IF(表1[[#This Row],[不调整offset]]="x",IFERROR(VLOOKUP(表1[[#This Row],[8:image]],常量!J:N,5,FALSE),0),0)</f>
        <v>0</v>
      </c>
      <c r="E1690" s="5" t="s">
        <v>2588</v>
      </c>
      <c r="F1690">
        <v>12</v>
      </c>
      <c r="G1690" s="1" t="s">
        <v>2383</v>
      </c>
      <c r="H1690" s="17" t="s">
        <v>2162</v>
      </c>
      <c r="I1690" s="19"/>
      <c r="J1690" s="5" t="str">
        <f>IF(LEN(VLOOKUP(表1[[#This Row],[id]],数据引用!A:C,3,FALSE))&gt;0,VLOOKUP(表1[[#This Row],[id]],数据引用!A:C,3,FALSE),"")</f>
        <v/>
      </c>
      <c r="K1690" t="s">
        <v>2192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0" s="5"/>
      <c r="P1690" s="5"/>
    </row>
    <row r="1691" spans="1:16" ht="14.25" customHeight="1">
      <c r="A1691" t="s">
        <v>2253</v>
      </c>
      <c r="B1691" s="5">
        <f>IF(表1[[#This Row],[不调整offset]]="x",IFERROR(VLOOKUP(表1[[#This Row],[8:image]],常量!J:N,4,FALSE),0),0)</f>
        <v>0</v>
      </c>
      <c r="C1691" s="5">
        <f>IF(表1[[#This Row],[不调整offset]]="x",IFERROR(VLOOKUP(表1[[#This Row],[8:image]],常量!J:N,5,FALSE),0),0)</f>
        <v>0</v>
      </c>
      <c r="E1691" s="5" t="s">
        <v>2588</v>
      </c>
      <c r="F1691">
        <v>12</v>
      </c>
      <c r="G1691" s="1" t="s">
        <v>2385</v>
      </c>
      <c r="H1691" s="17" t="s">
        <v>2163</v>
      </c>
      <c r="I1691" s="19"/>
      <c r="J1691" s="5" t="str">
        <f>IF(LEN(VLOOKUP(表1[[#This Row],[id]],数据引用!A:C,3,FALSE))&gt;0,VLOOKUP(表1[[#This Row],[id]],数据引用!A:C,3,FALSE),"")</f>
        <v/>
      </c>
      <c r="K1691" t="s">
        <v>2192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1" s="5"/>
      <c r="P1691" s="5"/>
    </row>
    <row r="1692" spans="1:16" ht="14.25" customHeight="1">
      <c r="A1692" t="s">
        <v>2254</v>
      </c>
      <c r="B1692" s="5">
        <f>IF(表1[[#This Row],[不调整offset]]="x",IFERROR(VLOOKUP(表1[[#This Row],[8:image]],常量!J:N,4,FALSE),0),0)</f>
        <v>0</v>
      </c>
      <c r="C1692" s="5">
        <f>IF(表1[[#This Row],[不调整offset]]="x",IFERROR(VLOOKUP(表1[[#This Row],[8:image]],常量!J:N,5,FALSE),0),0)</f>
        <v>0</v>
      </c>
      <c r="E1692" s="5" t="s">
        <v>2588</v>
      </c>
      <c r="F1692">
        <v>12</v>
      </c>
      <c r="G1692" s="1" t="s">
        <v>2387</v>
      </c>
      <c r="H1692" s="17" t="s">
        <v>2164</v>
      </c>
      <c r="I1692" s="19"/>
      <c r="J1692" s="5" t="str">
        <f>IF(LEN(VLOOKUP(表1[[#This Row],[id]],数据引用!A:C,3,FALSE))&gt;0,VLOOKUP(表1[[#This Row],[id]],数据引用!A:C,3,FALSE),"")</f>
        <v/>
      </c>
      <c r="K1692" t="s">
        <v>2192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2" s="5"/>
      <c r="P1692" s="5"/>
    </row>
    <row r="1693" spans="1:16" ht="14.25" customHeight="1">
      <c r="A1693" t="s">
        <v>2255</v>
      </c>
      <c r="B1693" s="5">
        <f>IF(表1[[#This Row],[不调整offset]]="x",IFERROR(VLOOKUP(表1[[#This Row],[8:image]],常量!J:N,4,FALSE),0),0)</f>
        <v>0</v>
      </c>
      <c r="C1693" s="5">
        <f>IF(表1[[#This Row],[不调整offset]]="x",IFERROR(VLOOKUP(表1[[#This Row],[8:image]],常量!J:N,5,FALSE),0),0)</f>
        <v>0</v>
      </c>
      <c r="E1693" s="5" t="s">
        <v>2588</v>
      </c>
      <c r="F1693">
        <v>12</v>
      </c>
      <c r="G1693" s="1" t="s">
        <v>2389</v>
      </c>
      <c r="H1693" s="17" t="s">
        <v>2165</v>
      </c>
      <c r="I1693" s="19"/>
      <c r="J1693" s="5" t="str">
        <f>IF(LEN(VLOOKUP(表1[[#This Row],[id]],数据引用!A:C,3,FALSE))&gt;0,VLOOKUP(表1[[#This Row],[id]],数据引用!A:C,3,FALSE),"")</f>
        <v/>
      </c>
      <c r="K1693" t="s">
        <v>2192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3" s="5"/>
      <c r="P1693" s="5"/>
    </row>
    <row r="1694" spans="1:16" ht="14.25" customHeight="1">
      <c r="A1694" t="s">
        <v>2256</v>
      </c>
      <c r="B1694" s="5">
        <f>IF(表1[[#This Row],[不调整offset]]="x",IFERROR(VLOOKUP(表1[[#This Row],[8:image]],常量!J:N,4,FALSE),0),0)</f>
        <v>0</v>
      </c>
      <c r="C1694" s="5">
        <f>IF(表1[[#This Row],[不调整offset]]="x",IFERROR(VLOOKUP(表1[[#This Row],[8:image]],常量!J:N,5,FALSE),0),0)</f>
        <v>0</v>
      </c>
      <c r="E1694" s="5" t="s">
        <v>2588</v>
      </c>
      <c r="F1694">
        <v>12</v>
      </c>
      <c r="G1694" s="1" t="s">
        <v>2391</v>
      </c>
      <c r="H1694" s="17" t="s">
        <v>2166</v>
      </c>
      <c r="I1694" s="19"/>
      <c r="J1694" s="5" t="str">
        <f>IF(LEN(VLOOKUP(表1[[#This Row],[id]],数据引用!A:C,3,FALSE))&gt;0,VLOOKUP(表1[[#This Row],[id]],数据引用!A:C,3,FALSE),"")</f>
        <v/>
      </c>
      <c r="K1694" t="s">
        <v>2192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4" s="5"/>
      <c r="P1694" s="5"/>
    </row>
    <row r="1695" spans="1:16" ht="14.25" customHeight="1">
      <c r="A1695" t="s">
        <v>2257</v>
      </c>
      <c r="B1695" s="5">
        <f>IF(表1[[#This Row],[不调整offset]]="x",IFERROR(VLOOKUP(表1[[#This Row],[8:image]],常量!J:N,4,FALSE),0),0)</f>
        <v>0</v>
      </c>
      <c r="C1695" s="5">
        <f>IF(表1[[#This Row],[不调整offset]]="x",IFERROR(VLOOKUP(表1[[#This Row],[8:image]],常量!J:N,5,FALSE),0),0)</f>
        <v>0</v>
      </c>
      <c r="E1695" s="5" t="s">
        <v>2588</v>
      </c>
      <c r="F1695">
        <v>12</v>
      </c>
      <c r="G1695" s="1" t="s">
        <v>2393</v>
      </c>
      <c r="H1695" s="17" t="s">
        <v>2167</v>
      </c>
      <c r="I1695" s="19"/>
      <c r="J1695" s="5" t="str">
        <f>IF(LEN(VLOOKUP(表1[[#This Row],[id]],数据引用!A:C,3,FALSE))&gt;0,VLOOKUP(表1[[#This Row],[id]],数据引用!A:C,3,FALSE),"")</f>
        <v/>
      </c>
      <c r="K1695" t="s">
        <v>2192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5" s="5"/>
      <c r="P1695" s="5"/>
    </row>
    <row r="1696" spans="1:16" ht="14.25" customHeight="1">
      <c r="A1696" t="s">
        <v>2258</v>
      </c>
      <c r="B1696" s="5">
        <f>IF(表1[[#This Row],[不调整offset]]="x",IFERROR(VLOOKUP(表1[[#This Row],[8:image]],常量!J:N,4,FALSE),0),0)</f>
        <v>0</v>
      </c>
      <c r="C1696" s="5">
        <f>IF(表1[[#This Row],[不调整offset]]="x",IFERROR(VLOOKUP(表1[[#This Row],[8:image]],常量!J:N,5,FALSE),0),0)</f>
        <v>0</v>
      </c>
      <c r="E1696" s="5" t="s">
        <v>2588</v>
      </c>
      <c r="F1696">
        <v>12</v>
      </c>
      <c r="G1696" s="1" t="s">
        <v>2395</v>
      </c>
      <c r="H1696" s="17" t="s">
        <v>2168</v>
      </c>
      <c r="I1696" s="19"/>
      <c r="J1696" s="5" t="str">
        <f>IF(LEN(VLOOKUP(表1[[#This Row],[id]],数据引用!A:C,3,FALSE))&gt;0,VLOOKUP(表1[[#This Row],[id]],数据引用!A:C,3,FALSE),"")</f>
        <v/>
      </c>
      <c r="K1696" t="s">
        <v>2192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6" s="5"/>
      <c r="P1696" s="5"/>
    </row>
    <row r="1697" spans="1:16" ht="14.25" customHeight="1">
      <c r="A1697" t="s">
        <v>2259</v>
      </c>
      <c r="B1697" s="5">
        <f>IF(表1[[#This Row],[不调整offset]]="x",IFERROR(VLOOKUP(表1[[#This Row],[8:image]],常量!J:N,4,FALSE),0),0)</f>
        <v>0</v>
      </c>
      <c r="C1697" s="5">
        <f>IF(表1[[#This Row],[不调整offset]]="x",IFERROR(VLOOKUP(表1[[#This Row],[8:image]],常量!J:N,5,FALSE),0),0)</f>
        <v>0</v>
      </c>
      <c r="E1697" s="5" t="s">
        <v>2588</v>
      </c>
      <c r="F1697">
        <v>12</v>
      </c>
      <c r="G1697" s="1" t="s">
        <v>2397</v>
      </c>
      <c r="H1697" s="17" t="s">
        <v>2169</v>
      </c>
      <c r="I1697" s="19"/>
      <c r="J1697" s="5" t="str">
        <f>IF(LEN(VLOOKUP(表1[[#This Row],[id]],数据引用!A:C,3,FALSE))&gt;0,VLOOKUP(表1[[#This Row],[id]],数据引用!A:C,3,FALSE),"")</f>
        <v/>
      </c>
      <c r="K1697" t="s">
        <v>2192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7" s="5"/>
      <c r="P1697" s="5"/>
    </row>
    <row r="1698" spans="1:16" ht="14.25" customHeight="1">
      <c r="A1698" t="s">
        <v>2260</v>
      </c>
      <c r="B1698" s="5">
        <f>IF(表1[[#This Row],[不调整offset]]="x",IFERROR(VLOOKUP(表1[[#This Row],[8:image]],常量!J:N,4,FALSE),0),0)</f>
        <v>0</v>
      </c>
      <c r="C1698" s="5">
        <f>IF(表1[[#This Row],[不调整offset]]="x",IFERROR(VLOOKUP(表1[[#This Row],[8:image]],常量!J:N,5,FALSE),0),0)</f>
        <v>0</v>
      </c>
      <c r="E1698" s="5" t="s">
        <v>2588</v>
      </c>
      <c r="F1698">
        <v>12</v>
      </c>
      <c r="G1698" s="1" t="s">
        <v>2399</v>
      </c>
      <c r="H1698" s="17" t="s">
        <v>2170</v>
      </c>
      <c r="I1698" s="19"/>
      <c r="J1698" s="5" t="str">
        <f>IF(LEN(VLOOKUP(表1[[#This Row],[id]],数据引用!A:C,3,FALSE))&gt;0,VLOOKUP(表1[[#This Row],[id]],数据引用!A:C,3,FALSE),"")</f>
        <v/>
      </c>
      <c r="K1698" t="s">
        <v>2192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8" s="5"/>
      <c r="P1698" s="5"/>
    </row>
    <row r="1699" spans="1:16" ht="14.25" customHeight="1">
      <c r="A1699" t="s">
        <v>2261</v>
      </c>
      <c r="B1699" s="5">
        <f>IF(表1[[#This Row],[不调整offset]]="x",IFERROR(VLOOKUP(表1[[#This Row],[8:image]],常量!J:N,4,FALSE),0),0)</f>
        <v>0</v>
      </c>
      <c r="C1699" s="5">
        <f>IF(表1[[#This Row],[不调整offset]]="x",IFERROR(VLOOKUP(表1[[#This Row],[8:image]],常量!J:N,5,FALSE),0),0)</f>
        <v>0</v>
      </c>
      <c r="E1699" s="5" t="s">
        <v>2588</v>
      </c>
      <c r="F1699">
        <v>12</v>
      </c>
      <c r="G1699" s="1" t="s">
        <v>2401</v>
      </c>
      <c r="H1699" s="17" t="s">
        <v>2171</v>
      </c>
      <c r="I1699" s="19"/>
      <c r="J1699" s="5" t="str">
        <f>IF(LEN(VLOOKUP(表1[[#This Row],[id]],数据引用!A:C,3,FALSE))&gt;0,VLOOKUP(表1[[#This Row],[id]],数据引用!A:C,3,FALSE),"")</f>
        <v/>
      </c>
      <c r="K1699" t="s">
        <v>2192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9" s="5"/>
      <c r="P1699" s="5"/>
    </row>
    <row r="1700" spans="1:16" ht="14.25" customHeight="1">
      <c r="A1700" t="s">
        <v>2262</v>
      </c>
      <c r="B1700" s="5">
        <f>IF(表1[[#This Row],[不调整offset]]="x",IFERROR(VLOOKUP(表1[[#This Row],[8:image]],常量!J:N,4,FALSE),0),0)</f>
        <v>0</v>
      </c>
      <c r="C1700" s="5">
        <f>IF(表1[[#This Row],[不调整offset]]="x",IFERROR(VLOOKUP(表1[[#This Row],[8:image]],常量!J:N,5,FALSE),0),0)</f>
        <v>0</v>
      </c>
      <c r="E1700" s="5" t="s">
        <v>2588</v>
      </c>
      <c r="F1700">
        <v>12</v>
      </c>
      <c r="G1700" s="1" t="s">
        <v>2403</v>
      </c>
      <c r="H1700" s="17" t="s">
        <v>2172</v>
      </c>
      <c r="I1700" s="19"/>
      <c r="J1700" s="5" t="str">
        <f>IF(LEN(VLOOKUP(表1[[#This Row],[id]],数据引用!A:C,3,FALSE))&gt;0,VLOOKUP(表1[[#This Row],[id]],数据引用!A:C,3,FALSE),"")</f>
        <v/>
      </c>
      <c r="K1700" t="s">
        <v>2192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0" s="5"/>
      <c r="P1700" s="5"/>
    </row>
    <row r="1701" spans="1:16" ht="14.25" customHeight="1">
      <c r="A1701" t="s">
        <v>2263</v>
      </c>
      <c r="B1701" s="5">
        <f>IF(表1[[#This Row],[不调整offset]]="x",IFERROR(VLOOKUP(表1[[#This Row],[8:image]],常量!J:N,4,FALSE),0),0)</f>
        <v>0</v>
      </c>
      <c r="C1701" s="5">
        <f>IF(表1[[#This Row],[不调整offset]]="x",IFERROR(VLOOKUP(表1[[#This Row],[8:image]],常量!J:N,5,FALSE),0),0)</f>
        <v>0</v>
      </c>
      <c r="E1701" s="5" t="s">
        <v>2588</v>
      </c>
      <c r="F1701">
        <v>12</v>
      </c>
      <c r="G1701" s="1" t="s">
        <v>2405</v>
      </c>
      <c r="H1701" s="17" t="s">
        <v>2173</v>
      </c>
      <c r="I1701" s="19"/>
      <c r="J1701" s="5" t="str">
        <f>IF(LEN(VLOOKUP(表1[[#This Row],[id]],数据引用!A:C,3,FALSE))&gt;0,VLOOKUP(表1[[#This Row],[id]],数据引用!A:C,3,FALSE),"")</f>
        <v/>
      </c>
      <c r="K1701" t="s">
        <v>2192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1" s="5"/>
      <c r="P1701" s="5"/>
    </row>
    <row r="1702" spans="1:16" ht="14.25" customHeight="1">
      <c r="A1702" t="s">
        <v>2264</v>
      </c>
      <c r="B1702" s="5">
        <f>IF(表1[[#This Row],[不调整offset]]="x",IFERROR(VLOOKUP(表1[[#This Row],[8:image]],常量!J:N,4,FALSE),0),0)</f>
        <v>0</v>
      </c>
      <c r="C1702" s="5">
        <f>IF(表1[[#This Row],[不调整offset]]="x",IFERROR(VLOOKUP(表1[[#This Row],[8:image]],常量!J:N,5,FALSE),0),0)</f>
        <v>0</v>
      </c>
      <c r="E1702" s="5" t="s">
        <v>2588</v>
      </c>
      <c r="F1702">
        <v>12</v>
      </c>
      <c r="G1702" s="1" t="s">
        <v>2407</v>
      </c>
      <c r="H1702" s="17" t="s">
        <v>2174</v>
      </c>
      <c r="I1702" s="19"/>
      <c r="J1702" s="5" t="str">
        <f>IF(LEN(VLOOKUP(表1[[#This Row],[id]],数据引用!A:C,3,FALSE))&gt;0,VLOOKUP(表1[[#This Row],[id]],数据引用!A:C,3,FALSE),"")</f>
        <v/>
      </c>
      <c r="K1702" t="s">
        <v>2192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2" s="5"/>
      <c r="P1702" s="5"/>
    </row>
    <row r="1703" spans="1:16" ht="14.25" customHeight="1">
      <c r="A1703" t="s">
        <v>2265</v>
      </c>
      <c r="B1703" s="5">
        <f>IF(表1[[#This Row],[不调整offset]]="x",IFERROR(VLOOKUP(表1[[#This Row],[8:image]],常量!J:N,4,FALSE),0),0)</f>
        <v>0</v>
      </c>
      <c r="C1703" s="5">
        <f>IF(表1[[#This Row],[不调整offset]]="x",IFERROR(VLOOKUP(表1[[#This Row],[8:image]],常量!J:N,5,FALSE),0),0)</f>
        <v>0</v>
      </c>
      <c r="E1703" s="5" t="s">
        <v>2588</v>
      </c>
      <c r="F1703">
        <v>12</v>
      </c>
      <c r="G1703" s="1" t="s">
        <v>2409</v>
      </c>
      <c r="H1703" s="17" t="s">
        <v>2175</v>
      </c>
      <c r="I1703" s="19"/>
      <c r="J1703" s="5" t="str">
        <f>IF(LEN(VLOOKUP(表1[[#This Row],[id]],数据引用!A:C,3,FALSE))&gt;0,VLOOKUP(表1[[#This Row],[id]],数据引用!A:C,3,FALSE),"")</f>
        <v/>
      </c>
      <c r="K1703" t="s">
        <v>2192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3" s="5"/>
      <c r="P1703" s="5"/>
    </row>
    <row r="1704" spans="1:16" ht="14.25" customHeight="1">
      <c r="A1704" t="s">
        <v>2266</v>
      </c>
      <c r="B1704" s="5">
        <f>IF(表1[[#This Row],[不调整offset]]="x",IFERROR(VLOOKUP(表1[[#This Row],[8:image]],常量!J:N,4,FALSE),0),0)</f>
        <v>0</v>
      </c>
      <c r="C1704" s="5">
        <f>IF(表1[[#This Row],[不调整offset]]="x",IFERROR(VLOOKUP(表1[[#This Row],[8:image]],常量!J:N,5,FALSE),0),0)</f>
        <v>0</v>
      </c>
      <c r="E1704" s="5" t="s">
        <v>2588</v>
      </c>
      <c r="F1704">
        <v>12</v>
      </c>
      <c r="G1704" s="1" t="s">
        <v>2411</v>
      </c>
      <c r="H1704" s="17" t="s">
        <v>2176</v>
      </c>
      <c r="I1704" s="19"/>
      <c r="J1704" s="5" t="str">
        <f>IF(LEN(VLOOKUP(表1[[#This Row],[id]],数据引用!A:C,3,FALSE))&gt;0,VLOOKUP(表1[[#This Row],[id]],数据引用!A:C,3,FALSE),"")</f>
        <v/>
      </c>
      <c r="K1704" t="s">
        <v>2192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4" s="5"/>
      <c r="P1704" s="5"/>
    </row>
    <row r="1705" spans="1:16" ht="14.25" customHeight="1">
      <c r="A1705" t="s">
        <v>2267</v>
      </c>
      <c r="B1705" s="5">
        <f>IF(表1[[#This Row],[不调整offset]]="x",IFERROR(VLOOKUP(表1[[#This Row],[8:image]],常量!J:N,4,FALSE),0),0)</f>
        <v>0</v>
      </c>
      <c r="C1705" s="5">
        <f>IF(表1[[#This Row],[不调整offset]]="x",IFERROR(VLOOKUP(表1[[#This Row],[8:image]],常量!J:N,5,FALSE),0),0)</f>
        <v>0</v>
      </c>
      <c r="E1705" s="5" t="s">
        <v>2588</v>
      </c>
      <c r="F1705">
        <v>12</v>
      </c>
      <c r="G1705" s="1" t="s">
        <v>2413</v>
      </c>
      <c r="H1705" s="17" t="s">
        <v>2177</v>
      </c>
      <c r="I1705" s="19"/>
      <c r="J1705" s="5" t="str">
        <f>IF(LEN(VLOOKUP(表1[[#This Row],[id]],数据引用!A:C,3,FALSE))&gt;0,VLOOKUP(表1[[#This Row],[id]],数据引用!A:C,3,FALSE),"")</f>
        <v/>
      </c>
      <c r="K1705" t="s">
        <v>2192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5" s="5"/>
      <c r="P1705" s="5"/>
    </row>
    <row r="1706" spans="1:16" ht="14.25" customHeight="1">
      <c r="A1706" t="s">
        <v>2268</v>
      </c>
      <c r="B1706" s="5">
        <f>IF(表1[[#This Row],[不调整offset]]="x",IFERROR(VLOOKUP(表1[[#This Row],[8:image]],常量!J:N,4,FALSE),0),0)</f>
        <v>0</v>
      </c>
      <c r="C1706" s="5">
        <f>IF(表1[[#This Row],[不调整offset]]="x",IFERROR(VLOOKUP(表1[[#This Row],[8:image]],常量!J:N,5,FALSE),0),0)</f>
        <v>0</v>
      </c>
      <c r="E1706" s="5" t="s">
        <v>2588</v>
      </c>
      <c r="F1706">
        <v>12</v>
      </c>
      <c r="G1706" s="1" t="s">
        <v>2415</v>
      </c>
      <c r="H1706" s="17" t="s">
        <v>2178</v>
      </c>
      <c r="I1706" s="19"/>
      <c r="J1706" s="5" t="str">
        <f>IF(LEN(VLOOKUP(表1[[#This Row],[id]],数据引用!A:C,3,FALSE))&gt;0,VLOOKUP(表1[[#This Row],[id]],数据引用!A:C,3,FALSE),"")</f>
        <v/>
      </c>
      <c r="K1706" t="s">
        <v>2192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6" s="5"/>
      <c r="P1706" s="5"/>
    </row>
    <row r="1707" spans="1:16" ht="14.25" customHeight="1">
      <c r="A1707" t="s">
        <v>2269</v>
      </c>
      <c r="B1707" s="5">
        <f>IF(表1[[#This Row],[不调整offset]]="x",IFERROR(VLOOKUP(表1[[#This Row],[8:image]],常量!J:N,4,FALSE),0),0)</f>
        <v>0</v>
      </c>
      <c r="C1707" s="5">
        <f>IF(表1[[#This Row],[不调整offset]]="x",IFERROR(VLOOKUP(表1[[#This Row],[8:image]],常量!J:N,5,FALSE),0),0)</f>
        <v>0</v>
      </c>
      <c r="E1707" s="5" t="s">
        <v>2588</v>
      </c>
      <c r="F1707">
        <v>12</v>
      </c>
      <c r="G1707" s="1" t="s">
        <v>2417</v>
      </c>
      <c r="H1707" s="17" t="s">
        <v>2179</v>
      </c>
      <c r="I1707" s="19"/>
      <c r="J1707" s="5" t="str">
        <f>IF(LEN(VLOOKUP(表1[[#This Row],[id]],数据引用!A:C,3,FALSE))&gt;0,VLOOKUP(表1[[#This Row],[id]],数据引用!A:C,3,FALSE),"")</f>
        <v/>
      </c>
      <c r="K1707" t="s">
        <v>2192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7" s="5"/>
      <c r="P1707" s="5"/>
    </row>
    <row r="1708" spans="1:16" ht="14.25" customHeight="1">
      <c r="A1708" t="s">
        <v>2270</v>
      </c>
      <c r="B1708" s="5">
        <f>IF(表1[[#This Row],[不调整offset]]="x",IFERROR(VLOOKUP(表1[[#This Row],[8:image]],常量!J:N,4,FALSE),0),0)</f>
        <v>0</v>
      </c>
      <c r="C1708" s="5">
        <f>IF(表1[[#This Row],[不调整offset]]="x",IFERROR(VLOOKUP(表1[[#This Row],[8:image]],常量!J:N,5,FALSE),0),0)</f>
        <v>0</v>
      </c>
      <c r="E1708" s="5" t="s">
        <v>2588</v>
      </c>
      <c r="F1708">
        <v>12</v>
      </c>
      <c r="G1708" s="1" t="s">
        <v>2419</v>
      </c>
      <c r="H1708" s="17" t="s">
        <v>2180</v>
      </c>
      <c r="I1708" s="19"/>
      <c r="J1708" s="5" t="str">
        <f>IF(LEN(VLOOKUP(表1[[#This Row],[id]],数据引用!A:C,3,FALSE))&gt;0,VLOOKUP(表1[[#This Row],[id]],数据引用!A:C,3,FALSE),"")</f>
        <v/>
      </c>
      <c r="K1708" t="s">
        <v>2192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8" s="5"/>
      <c r="P1708" s="5"/>
    </row>
    <row r="1709" spans="1:16" ht="14.25" customHeight="1">
      <c r="A1709" t="s">
        <v>2271</v>
      </c>
      <c r="B1709" s="5">
        <f>IF(表1[[#This Row],[不调整offset]]="x",IFERROR(VLOOKUP(表1[[#This Row],[8:image]],常量!J:N,4,FALSE),0),0)</f>
        <v>0</v>
      </c>
      <c r="C1709" s="5">
        <f>IF(表1[[#This Row],[不调整offset]]="x",IFERROR(VLOOKUP(表1[[#This Row],[8:image]],常量!J:N,5,FALSE),0),0)</f>
        <v>0</v>
      </c>
      <c r="E1709" s="5" t="s">
        <v>2588</v>
      </c>
      <c r="F1709">
        <v>12</v>
      </c>
      <c r="G1709" s="1" t="s">
        <v>2421</v>
      </c>
      <c r="H1709" s="17" t="s">
        <v>2181</v>
      </c>
      <c r="I1709" s="19"/>
      <c r="J1709" s="5" t="str">
        <f>IF(LEN(VLOOKUP(表1[[#This Row],[id]],数据引用!A:C,3,FALSE))&gt;0,VLOOKUP(表1[[#This Row],[id]],数据引用!A:C,3,FALSE),"")</f>
        <v/>
      </c>
      <c r="K1709" t="s">
        <v>2192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9" s="5"/>
      <c r="P1709" s="5"/>
    </row>
    <row r="1710" spans="1:16" ht="14.25" customHeight="1">
      <c r="A1710" t="s">
        <v>2272</v>
      </c>
      <c r="B1710" s="5">
        <f>IF(表1[[#This Row],[不调整offset]]="x",IFERROR(VLOOKUP(表1[[#This Row],[8:image]],常量!J:N,4,FALSE),0),0)</f>
        <v>0</v>
      </c>
      <c r="C1710" s="5">
        <f>IF(表1[[#This Row],[不调整offset]]="x",IFERROR(VLOOKUP(表1[[#This Row],[8:image]],常量!J:N,5,FALSE),0),0)</f>
        <v>0</v>
      </c>
      <c r="E1710" s="5" t="s">
        <v>2588</v>
      </c>
      <c r="F1710">
        <v>12</v>
      </c>
      <c r="G1710" s="1" t="s">
        <v>2423</v>
      </c>
      <c r="H1710" s="17" t="s">
        <v>2182</v>
      </c>
      <c r="I1710" s="19"/>
      <c r="J1710" s="5" t="str">
        <f>IF(LEN(VLOOKUP(表1[[#This Row],[id]],数据引用!A:C,3,FALSE))&gt;0,VLOOKUP(表1[[#This Row],[id]],数据引用!A:C,3,FALSE),"")</f>
        <v/>
      </c>
      <c r="K1710" t="s">
        <v>2192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0" s="5"/>
      <c r="P1710" s="5"/>
    </row>
    <row r="1711" spans="1:16" ht="14.25" customHeight="1">
      <c r="A1711" t="s">
        <v>2273</v>
      </c>
      <c r="B1711" s="5">
        <f>IF(表1[[#This Row],[不调整offset]]="x",IFERROR(VLOOKUP(表1[[#This Row],[8:image]],常量!J:N,4,FALSE),0),0)</f>
        <v>0</v>
      </c>
      <c r="C1711" s="5">
        <f>IF(表1[[#This Row],[不调整offset]]="x",IFERROR(VLOOKUP(表1[[#This Row],[8:image]],常量!J:N,5,FALSE),0),0)</f>
        <v>0</v>
      </c>
      <c r="E1711" s="5" t="s">
        <v>2588</v>
      </c>
      <c r="F1711">
        <v>12</v>
      </c>
      <c r="G1711" s="1" t="s">
        <v>2425</v>
      </c>
      <c r="H1711" s="17" t="s">
        <v>2183</v>
      </c>
      <c r="I1711" s="19"/>
      <c r="J1711" s="5" t="str">
        <f>IF(LEN(VLOOKUP(表1[[#This Row],[id]],数据引用!A:C,3,FALSE))&gt;0,VLOOKUP(表1[[#This Row],[id]],数据引用!A:C,3,FALSE),"")</f>
        <v/>
      </c>
      <c r="K1711" t="s">
        <v>2192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1" s="5"/>
      <c r="P1711" s="5"/>
    </row>
    <row r="1712" spans="1:16" ht="14.25" customHeight="1">
      <c r="A1712" t="s">
        <v>2274</v>
      </c>
      <c r="B1712" s="5">
        <f>IF(表1[[#This Row],[不调整offset]]="x",IFERROR(VLOOKUP(表1[[#This Row],[8:image]],常量!J:N,4,FALSE),0),0)</f>
        <v>0</v>
      </c>
      <c r="C1712" s="5">
        <f>IF(表1[[#This Row],[不调整offset]]="x",IFERROR(VLOOKUP(表1[[#This Row],[8:image]],常量!J:N,5,FALSE),0),0)</f>
        <v>0</v>
      </c>
      <c r="E1712" s="5" t="s">
        <v>2588</v>
      </c>
      <c r="F1712">
        <v>12</v>
      </c>
      <c r="G1712" s="1" t="s">
        <v>2427</v>
      </c>
      <c r="H1712" s="17" t="s">
        <v>2184</v>
      </c>
      <c r="I1712" s="19"/>
      <c r="J1712" s="5" t="str">
        <f>IF(LEN(VLOOKUP(表1[[#This Row],[id]],数据引用!A:C,3,FALSE))&gt;0,VLOOKUP(表1[[#This Row],[id]],数据引用!A:C,3,FALSE),"")</f>
        <v/>
      </c>
      <c r="K1712" t="s">
        <v>2192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2" s="5"/>
      <c r="P1712" s="5"/>
    </row>
    <row r="1713" spans="1:16" ht="14.25" customHeight="1">
      <c r="A1713" t="s">
        <v>2275</v>
      </c>
      <c r="B1713" s="5">
        <f>IF(表1[[#This Row],[不调整offset]]="x",IFERROR(VLOOKUP(表1[[#This Row],[8:image]],常量!J:N,4,FALSE),0),0)</f>
        <v>0</v>
      </c>
      <c r="C1713" s="5">
        <f>IF(表1[[#This Row],[不调整offset]]="x",IFERROR(VLOOKUP(表1[[#This Row],[8:image]],常量!J:N,5,FALSE),0),0)</f>
        <v>0</v>
      </c>
      <c r="E1713" s="5" t="s">
        <v>2588</v>
      </c>
      <c r="F1713">
        <v>12</v>
      </c>
      <c r="G1713" s="1" t="s">
        <v>2429</v>
      </c>
      <c r="H1713" s="17" t="s">
        <v>2185</v>
      </c>
      <c r="I1713" s="19"/>
      <c r="J1713" s="5" t="str">
        <f>IF(LEN(VLOOKUP(表1[[#This Row],[id]],数据引用!A:C,3,FALSE))&gt;0,VLOOKUP(表1[[#This Row],[id]],数据引用!A:C,3,FALSE),"")</f>
        <v/>
      </c>
      <c r="K1713" t="s">
        <v>2192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3" s="5"/>
      <c r="P1713" s="5"/>
    </row>
    <row r="1714" spans="1:16" ht="14.25" customHeight="1">
      <c r="A1714" t="s">
        <v>2276</v>
      </c>
      <c r="B1714" s="5">
        <f>IF(表1[[#This Row],[不调整offset]]="x",IFERROR(VLOOKUP(表1[[#This Row],[8:image]],常量!J:N,4,FALSE),0),0)</f>
        <v>0</v>
      </c>
      <c r="C1714" s="5">
        <f>IF(表1[[#This Row],[不调整offset]]="x",IFERROR(VLOOKUP(表1[[#This Row],[8:image]],常量!J:N,5,FALSE),0),0)</f>
        <v>0</v>
      </c>
      <c r="E1714" s="5" t="s">
        <v>2588</v>
      </c>
      <c r="F1714">
        <v>12</v>
      </c>
      <c r="G1714" s="1" t="s">
        <v>2431</v>
      </c>
      <c r="H1714" s="17" t="s">
        <v>2186</v>
      </c>
      <c r="I1714" s="19"/>
      <c r="J1714" s="5" t="str">
        <f>IF(LEN(VLOOKUP(表1[[#This Row],[id]],数据引用!A:C,3,FALSE))&gt;0,VLOOKUP(表1[[#This Row],[id]],数据引用!A:C,3,FALSE),"")</f>
        <v/>
      </c>
      <c r="K1714" t="s">
        <v>2192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4" s="5"/>
      <c r="P1714" s="5"/>
    </row>
    <row r="1715" spans="1:16" ht="14.25" customHeight="1">
      <c r="A1715" t="s">
        <v>2277</v>
      </c>
      <c r="B1715" s="5">
        <f>IF(表1[[#This Row],[不调整offset]]="x",IFERROR(VLOOKUP(表1[[#This Row],[8:image]],常量!J:N,4,FALSE),0),0)</f>
        <v>0</v>
      </c>
      <c r="C1715" s="5">
        <f>IF(表1[[#This Row],[不调整offset]]="x",IFERROR(VLOOKUP(表1[[#This Row],[8:image]],常量!J:N,5,FALSE),0),0)</f>
        <v>0</v>
      </c>
      <c r="E1715" s="5" t="s">
        <v>2588</v>
      </c>
      <c r="F1715">
        <v>12</v>
      </c>
      <c r="G1715" s="1" t="s">
        <v>2433</v>
      </c>
      <c r="H1715" s="17" t="s">
        <v>2187</v>
      </c>
      <c r="I1715" s="19"/>
      <c r="J1715" s="5" t="str">
        <f>IF(LEN(VLOOKUP(表1[[#This Row],[id]],数据引用!A:C,3,FALSE))&gt;0,VLOOKUP(表1[[#This Row],[id]],数据引用!A:C,3,FALSE),"")</f>
        <v/>
      </c>
      <c r="K1715" t="s">
        <v>2192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5" s="5"/>
      <c r="P1715" s="5"/>
    </row>
    <row r="1716" spans="1:16" ht="14.25" customHeight="1">
      <c r="A1716" t="s">
        <v>2278</v>
      </c>
      <c r="B1716" s="5">
        <f>IF(表1[[#This Row],[不调整offset]]="x",IFERROR(VLOOKUP(表1[[#This Row],[8:image]],常量!J:N,4,FALSE),0),0)</f>
        <v>0</v>
      </c>
      <c r="C1716" s="5">
        <f>IF(表1[[#This Row],[不调整offset]]="x",IFERROR(VLOOKUP(表1[[#This Row],[8:image]],常量!J:N,5,FALSE),0),0)</f>
        <v>0</v>
      </c>
      <c r="E1716" s="5" t="s">
        <v>2588</v>
      </c>
      <c r="F1716">
        <v>12</v>
      </c>
      <c r="G1716" s="1" t="s">
        <v>2435</v>
      </c>
      <c r="H1716" s="17" t="s">
        <v>2188</v>
      </c>
      <c r="I1716" s="19"/>
      <c r="J1716" s="5" t="str">
        <f>IF(LEN(VLOOKUP(表1[[#This Row],[id]],数据引用!A:C,3,FALSE))&gt;0,VLOOKUP(表1[[#This Row],[id]],数据引用!A:C,3,FALSE),"")</f>
        <v/>
      </c>
      <c r="K1716" t="s">
        <v>2192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6" s="5"/>
      <c r="P1716" s="5"/>
    </row>
    <row r="1717" spans="1:16" ht="14.25" customHeight="1">
      <c r="A1717" t="s">
        <v>2279</v>
      </c>
      <c r="B1717" s="5">
        <f>IF(表1[[#This Row],[不调整offset]]="x",IFERROR(VLOOKUP(表1[[#This Row],[8:image]],常量!J:N,4,FALSE),0),0)</f>
        <v>0</v>
      </c>
      <c r="C1717" s="5">
        <f>IF(表1[[#This Row],[不调整offset]]="x",IFERROR(VLOOKUP(表1[[#This Row],[8:image]],常量!J:N,5,FALSE),0),0)</f>
        <v>0</v>
      </c>
      <c r="E1717" s="5" t="s">
        <v>2588</v>
      </c>
      <c r="F1717">
        <v>12</v>
      </c>
      <c r="G1717" s="1" t="s">
        <v>2437</v>
      </c>
      <c r="H1717" s="17" t="s">
        <v>2189</v>
      </c>
      <c r="I1717" s="19"/>
      <c r="J1717" s="5" t="str">
        <f>IF(LEN(VLOOKUP(表1[[#This Row],[id]],数据引用!A:C,3,FALSE))&gt;0,VLOOKUP(表1[[#This Row],[id]],数据引用!A:C,3,FALSE),"")</f>
        <v/>
      </c>
      <c r="K1717" t="s">
        <v>2192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7" s="5"/>
      <c r="P1717" s="5"/>
    </row>
    <row r="1718" spans="1:16" ht="14.25" customHeight="1">
      <c r="A1718" t="s">
        <v>2280</v>
      </c>
      <c r="B1718" s="5">
        <f>IF(表1[[#This Row],[不调整offset]]="x",IFERROR(VLOOKUP(表1[[#This Row],[8:image]],常量!J:N,4,FALSE),0),0)</f>
        <v>0</v>
      </c>
      <c r="C1718" s="5">
        <f>IF(表1[[#This Row],[不调整offset]]="x",IFERROR(VLOOKUP(表1[[#This Row],[8:image]],常量!J:N,5,FALSE),0),0)</f>
        <v>0</v>
      </c>
      <c r="E1718" s="5" t="s">
        <v>2588</v>
      </c>
      <c r="F1718">
        <v>12</v>
      </c>
      <c r="G1718" s="1" t="s">
        <v>2439</v>
      </c>
      <c r="H1718" s="17" t="s">
        <v>2190</v>
      </c>
      <c r="I1718" s="19"/>
      <c r="J1718" s="5" t="str">
        <f>IF(LEN(VLOOKUP(表1[[#This Row],[id]],数据引用!A:C,3,FALSE))&gt;0,VLOOKUP(表1[[#This Row],[id]],数据引用!A:C,3,FALSE),"")</f>
        <v/>
      </c>
      <c r="K1718" t="s">
        <v>2192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8" s="5"/>
      <c r="P1718" s="5"/>
    </row>
    <row r="1719" spans="1:16" ht="14.25" customHeight="1">
      <c r="A1719" t="s">
        <v>2281</v>
      </c>
      <c r="B1719" s="5">
        <f>IF(表1[[#This Row],[不调整offset]]="x",IFERROR(VLOOKUP(表1[[#This Row],[8:image]],常量!J:N,4,FALSE),0),0)</f>
        <v>0</v>
      </c>
      <c r="C1719" s="5">
        <f>IF(表1[[#This Row],[不调整offset]]="x",IFERROR(VLOOKUP(表1[[#This Row],[8:image]],常量!J:N,5,FALSE),0),0)</f>
        <v>0</v>
      </c>
      <c r="E1719" s="5" t="s">
        <v>2588</v>
      </c>
      <c r="F1719">
        <v>12</v>
      </c>
      <c r="G1719" s="1" t="s">
        <v>2441</v>
      </c>
      <c r="H1719" s="17" t="s">
        <v>2191</v>
      </c>
      <c r="I1719" s="19"/>
      <c r="J1719" s="5" t="str">
        <f>IF(LEN(VLOOKUP(表1[[#This Row],[id]],数据引用!A:C,3,FALSE))&gt;0,VLOOKUP(表1[[#This Row],[id]],数据引用!A:C,3,FALSE),"")</f>
        <v/>
      </c>
      <c r="K1719" t="s">
        <v>2192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" priority="3">
      <formula>LEN(TRIM(J2))=0</formula>
    </cfRule>
  </conditionalFormatting>
  <conditionalFormatting sqref="J1:J1048576">
    <cfRule type="containsBlanks" dxfId="0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>
                  <from>
                    <xdr:col>6</xdr:col>
                    <xdr:colOff>1371600</xdr:colOff>
                    <xdr:row>0</xdr:row>
                    <xdr:rowOff>0</xdr:rowOff>
                  </from>
                  <to>
                    <xdr:col>6</xdr:col>
                    <xdr:colOff>2495550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按钮5_Click">
                <anchor>
                  <from>
                    <xdr:col>6</xdr:col>
                    <xdr:colOff>2552700</xdr:colOff>
                    <xdr:row>0</xdr:row>
                    <xdr:rowOff>0</xdr:rowOff>
                  </from>
                  <to>
                    <xdr:col>6</xdr:col>
                    <xdr:colOff>3448050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1"/>
  <sheetViews>
    <sheetView topLeftCell="A296" workbookViewId="0">
      <selection activeCell="J2" sqref="J2:L318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bestFit="1" customWidth="1"/>
    <col min="11" max="12" width="9" style="9"/>
    <col min="13" max="13" width="11" style="9" bestFit="1" customWidth="1"/>
    <col min="14" max="14" width="9" style="9"/>
  </cols>
  <sheetData>
    <row r="1" spans="1:16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6">
      <c r="B2" s="2"/>
      <c r="E2">
        <v>7</v>
      </c>
      <c r="G2" t="s">
        <v>148</v>
      </c>
      <c r="H2" t="s">
        <v>1394</v>
      </c>
      <c r="J2" s="9" t="s">
        <v>2757</v>
      </c>
      <c r="K2" s="9">
        <v>61</v>
      </c>
      <c r="L2" s="9">
        <v>13</v>
      </c>
      <c r="M2" s="9">
        <f t="shared" ref="M2" si="0">0.25*K2</f>
        <v>15.25</v>
      </c>
      <c r="N2" s="9">
        <f>L2*0.25</f>
        <v>3.25</v>
      </c>
      <c r="O2" t="str">
        <f>"copy "&amp;SUBSTITUTE(J2,"/","\") &amp;" E:\software\MediaInfo(获取media属性)\"&amp;SUBSTITUTE(J2,"/","\")</f>
        <v>copy localization\characterselect_allchars.png E:\software\MediaInfo(获取media属性)\localization\characterselect_allchars.png</v>
      </c>
      <c r="P2" t="s">
        <v>2651</v>
      </c>
    </row>
    <row r="3" spans="1:16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2765</v>
      </c>
      <c r="K3" s="9">
        <v>109</v>
      </c>
      <c r="L3" s="9">
        <v>13</v>
      </c>
      <c r="M3" s="9">
        <f t="shared" ref="M3:M66" si="1">0.25*K3</f>
        <v>27.25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localization\characterselect_choosenext.png E:\software\MediaInfo(获取media属性)\localization\characterselect_choosenext.png</v>
      </c>
      <c r="P3" t="s">
        <v>2651</v>
      </c>
    </row>
    <row r="4" spans="1:16">
      <c r="B4" t="s">
        <v>1207</v>
      </c>
      <c r="E4">
        <v>31</v>
      </c>
      <c r="J4" s="9" t="s">
        <v>2759</v>
      </c>
      <c r="K4" s="9">
        <v>49</v>
      </c>
      <c r="L4" s="9">
        <v>13</v>
      </c>
      <c r="M4" s="9">
        <f t="shared" si="1"/>
        <v>12.25</v>
      </c>
      <c r="N4" s="9">
        <f t="shared" si="2"/>
        <v>3.25</v>
      </c>
      <c r="O4" t="str">
        <f t="shared" si="3"/>
        <v>copy localization\characterselect_deathless.png E:\software\MediaInfo(获取media属性)\localization\characterselect_deathless.png</v>
      </c>
      <c r="P4" t="s">
        <v>2651</v>
      </c>
    </row>
    <row r="5" spans="1:16">
      <c r="B5" t="s">
        <v>674</v>
      </c>
      <c r="E5">
        <v>32</v>
      </c>
      <c r="J5" s="9" t="s">
        <v>2758</v>
      </c>
      <c r="K5" s="9">
        <v>61</v>
      </c>
      <c r="L5" s="9">
        <v>13</v>
      </c>
      <c r="M5" s="9">
        <f t="shared" si="1"/>
        <v>15.25</v>
      </c>
      <c r="N5" s="9">
        <f t="shared" si="2"/>
        <v>3.25</v>
      </c>
      <c r="O5" t="str">
        <f t="shared" si="3"/>
        <v>copy localization\characterselect_exceptcoda.png E:\software\MediaInfo(获取media属性)\localization\characterselect_exceptcoda.png</v>
      </c>
      <c r="P5" t="s">
        <v>2651</v>
      </c>
    </row>
    <row r="6" spans="1:16">
      <c r="B6" t="s">
        <v>759</v>
      </c>
      <c r="E6">
        <v>148</v>
      </c>
      <c r="J6" s="9" t="s">
        <v>2763</v>
      </c>
      <c r="K6" s="9">
        <v>139</v>
      </c>
      <c r="L6" s="9">
        <v>13</v>
      </c>
      <c r="M6" s="9">
        <f t="shared" si="1"/>
        <v>34.75</v>
      </c>
      <c r="N6" s="9">
        <f t="shared" si="2"/>
        <v>3.25</v>
      </c>
      <c r="O6" t="str">
        <f t="shared" si="3"/>
        <v>copy localization\characterselect_hint1.png E:\software\MediaInfo(获取media属性)\localization\characterselect_hint1.png</v>
      </c>
      <c r="P6" t="s">
        <v>2651</v>
      </c>
    </row>
    <row r="7" spans="1:16">
      <c r="B7" t="s">
        <v>1209</v>
      </c>
      <c r="E7">
        <v>149</v>
      </c>
      <c r="J7" s="9" t="s">
        <v>2764</v>
      </c>
      <c r="K7" s="9">
        <v>229</v>
      </c>
      <c r="L7" s="9">
        <v>13</v>
      </c>
      <c r="M7" s="9">
        <f t="shared" si="1"/>
        <v>57.25</v>
      </c>
      <c r="N7" s="9">
        <f t="shared" si="2"/>
        <v>3.25</v>
      </c>
      <c r="O7" t="str">
        <f t="shared" si="3"/>
        <v>copy localization\characterselect_hint2.png E:\software\MediaInfo(获取media属性)\localization\characterselect_hint2.png</v>
      </c>
      <c r="P7" t="s">
        <v>2651</v>
      </c>
    </row>
    <row r="8" spans="1:16">
      <c r="B8" t="s">
        <v>1221</v>
      </c>
      <c r="E8">
        <v>150</v>
      </c>
      <c r="J8" s="9" t="s">
        <v>2755</v>
      </c>
      <c r="K8" s="9">
        <v>73</v>
      </c>
      <c r="L8" s="9">
        <v>13</v>
      </c>
      <c r="M8" s="9">
        <f t="shared" si="1"/>
        <v>18.25</v>
      </c>
      <c r="N8" s="9">
        <f t="shared" si="2"/>
        <v>3.25</v>
      </c>
      <c r="O8" t="str">
        <f t="shared" si="3"/>
        <v>copy localization\characterselect_random.png E:\software\MediaInfo(获取media属性)\localization\characterselect_random.png</v>
      </c>
      <c r="P8" t="s">
        <v>2651</v>
      </c>
    </row>
    <row r="9" spans="1:16">
      <c r="B9" t="s">
        <v>1204</v>
      </c>
      <c r="E9">
        <v>151</v>
      </c>
      <c r="J9" s="9" t="s">
        <v>2761</v>
      </c>
      <c r="K9" s="9">
        <v>49</v>
      </c>
      <c r="L9" s="9">
        <v>13</v>
      </c>
      <c r="M9" s="9">
        <f t="shared" si="1"/>
        <v>12.25</v>
      </c>
      <c r="N9" s="9">
        <f t="shared" si="2"/>
        <v>3.25</v>
      </c>
      <c r="O9" t="str">
        <f t="shared" si="3"/>
        <v>copy localization\characterselect_story.png E:\software\MediaInfo(获取media属性)\localization\characterselect_story.png</v>
      </c>
      <c r="P9" t="s">
        <v>2651</v>
      </c>
    </row>
    <row r="10" spans="1:16">
      <c r="B10" s="7" t="s">
        <v>684</v>
      </c>
      <c r="E10">
        <v>152</v>
      </c>
      <c r="J10" s="9" t="s">
        <v>2812</v>
      </c>
      <c r="K10" s="9">
        <v>37</v>
      </c>
      <c r="L10" s="9">
        <v>13</v>
      </c>
      <c r="M10" s="9">
        <f t="shared" si="1"/>
        <v>9.25</v>
      </c>
      <c r="N10" s="9">
        <f t="shared" si="2"/>
        <v>3.25</v>
      </c>
      <c r="O10" t="str">
        <f t="shared" si="3"/>
        <v>copy localization\character_allchars.png E:\software\MediaInfo(获取media属性)\localization\character_allchars.png</v>
      </c>
      <c r="P10" t="s">
        <v>2651</v>
      </c>
    </row>
    <row r="11" spans="1:16">
      <c r="B11" t="s">
        <v>672</v>
      </c>
      <c r="E11">
        <v>153</v>
      </c>
      <c r="J11" s="9" t="s">
        <v>2813</v>
      </c>
      <c r="K11" s="9">
        <v>49</v>
      </c>
      <c r="L11" s="9">
        <v>13</v>
      </c>
      <c r="M11" s="9">
        <f t="shared" si="1"/>
        <v>12.25</v>
      </c>
      <c r="N11" s="9">
        <f t="shared" si="2"/>
        <v>3.25</v>
      </c>
      <c r="O11" t="str">
        <f t="shared" si="3"/>
        <v>copy localization\character_storymode.png E:\software\MediaInfo(获取media属性)\localization\character_storymode.png</v>
      </c>
      <c r="P11" t="s">
        <v>2651</v>
      </c>
    </row>
    <row r="12" spans="1:16">
      <c r="B12" t="s">
        <v>1201</v>
      </c>
      <c r="E12">
        <v>154</v>
      </c>
      <c r="J12" s="9" t="s">
        <v>2782</v>
      </c>
      <c r="K12" s="9">
        <v>73</v>
      </c>
      <c r="L12" s="9">
        <v>13</v>
      </c>
      <c r="M12" s="9">
        <f t="shared" si="1"/>
        <v>18.25</v>
      </c>
      <c r="N12" s="9">
        <f t="shared" si="2"/>
        <v>3.25</v>
      </c>
      <c r="O12" t="str">
        <f t="shared" si="3"/>
        <v>copy localization\game_allchars1.png E:\software\MediaInfo(获取media属性)\localization\game_allchars1.png</v>
      </c>
      <c r="P12" t="s">
        <v>2651</v>
      </c>
    </row>
    <row r="13" spans="1:16">
      <c r="B13" t="s">
        <v>742</v>
      </c>
      <c r="E13">
        <v>155</v>
      </c>
      <c r="J13" s="9" t="s">
        <v>2783</v>
      </c>
      <c r="K13" s="9">
        <v>121</v>
      </c>
      <c r="L13" s="9">
        <v>13</v>
      </c>
      <c r="M13" s="9">
        <f t="shared" si="1"/>
        <v>30.25</v>
      </c>
      <c r="N13" s="9">
        <f t="shared" si="2"/>
        <v>3.25</v>
      </c>
      <c r="O13" t="str">
        <f t="shared" si="3"/>
        <v>copy localization\game_allchars2.png E:\software\MediaInfo(获取media属性)\localization\game_allchars2.png</v>
      </c>
      <c r="P13" t="s">
        <v>2651</v>
      </c>
    </row>
    <row r="14" spans="1:16">
      <c r="B14" t="s">
        <v>675</v>
      </c>
      <c r="E14">
        <v>156</v>
      </c>
      <c r="J14" s="9" t="s">
        <v>2784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localization\game_allchars3.png E:\software\MediaInfo(获取media属性)\localization\game_allchars3.png</v>
      </c>
      <c r="P14" t="s">
        <v>2651</v>
      </c>
    </row>
    <row r="15" spans="1:16">
      <c r="B15" t="s">
        <v>1208</v>
      </c>
      <c r="E15">
        <v>157</v>
      </c>
      <c r="J15" s="9" t="s">
        <v>2788</v>
      </c>
      <c r="K15" s="9">
        <v>121</v>
      </c>
      <c r="L15" s="9">
        <v>13</v>
      </c>
      <c r="M15" s="9">
        <f t="shared" si="1"/>
        <v>30.25</v>
      </c>
      <c r="N15" s="9">
        <f t="shared" si="2"/>
        <v>3.25</v>
      </c>
      <c r="O15" t="str">
        <f t="shared" si="3"/>
        <v>copy localization\game_allzones1.png E:\software\MediaInfo(获取media属性)\localization\game_allzones1.png</v>
      </c>
      <c r="P15" t="s">
        <v>2651</v>
      </c>
    </row>
    <row r="16" spans="1:16">
      <c r="B16" t="s">
        <v>673</v>
      </c>
      <c r="E16">
        <v>158</v>
      </c>
      <c r="J16" s="9" t="s">
        <v>2789</v>
      </c>
      <c r="K16" s="9">
        <v>109</v>
      </c>
      <c r="L16" s="9">
        <v>13</v>
      </c>
      <c r="M16" s="9">
        <f t="shared" si="1"/>
        <v>27.25</v>
      </c>
      <c r="N16" s="9">
        <f t="shared" si="2"/>
        <v>3.25</v>
      </c>
      <c r="O16" t="str">
        <f t="shared" si="3"/>
        <v>copy localization\game_allzones2.png E:\software\MediaInfo(获取media属性)\localization\game_allzones2.png</v>
      </c>
      <c r="P16" t="s">
        <v>2651</v>
      </c>
    </row>
    <row r="17" spans="1:16">
      <c r="B17" t="s">
        <v>875</v>
      </c>
      <c r="E17">
        <v>159</v>
      </c>
      <c r="J17" s="9" t="s">
        <v>2790</v>
      </c>
      <c r="K17" s="9">
        <v>109</v>
      </c>
      <c r="L17" s="9">
        <v>13</v>
      </c>
      <c r="M17" s="9">
        <f t="shared" si="1"/>
        <v>27.25</v>
      </c>
      <c r="N17" s="9">
        <f t="shared" si="2"/>
        <v>3.25</v>
      </c>
      <c r="O17" t="str">
        <f t="shared" si="3"/>
        <v>copy localization\game_allzones3.png E:\software\MediaInfo(获取media属性)\localization\game_allzones3.png</v>
      </c>
      <c r="P17" t="s">
        <v>2651</v>
      </c>
    </row>
    <row r="18" spans="1:16">
      <c r="E18">
        <v>160</v>
      </c>
      <c r="J18" s="9" t="s">
        <v>2653</v>
      </c>
      <c r="K18" s="9">
        <v>73</v>
      </c>
      <c r="L18" s="9">
        <v>13</v>
      </c>
      <c r="M18" s="9">
        <f t="shared" si="1"/>
        <v>18.25</v>
      </c>
      <c r="N18" s="9">
        <f t="shared" si="2"/>
        <v>3.25</v>
      </c>
      <c r="O18" t="str">
        <f t="shared" si="3"/>
        <v>copy localization\game_coinmultiplierlost.png E:\software\MediaInfo(获取media属性)\localization\game_coinmultiplierlost.png</v>
      </c>
      <c r="P18" t="s">
        <v>2651</v>
      </c>
    </row>
    <row r="19" spans="1:16">
      <c r="E19">
        <v>701</v>
      </c>
      <c r="J19" s="9" t="s">
        <v>2791</v>
      </c>
      <c r="K19" s="9">
        <v>97</v>
      </c>
      <c r="L19" s="9">
        <v>13</v>
      </c>
      <c r="M19" s="9">
        <f t="shared" si="1"/>
        <v>24.25</v>
      </c>
      <c r="N19" s="9">
        <f t="shared" si="2"/>
        <v>3.25</v>
      </c>
      <c r="O19" t="str">
        <f t="shared" si="3"/>
        <v>copy localization\game_daily1.png E:\software\MediaInfo(获取media属性)\localization\game_daily1.png</v>
      </c>
      <c r="P19" t="s">
        <v>2651</v>
      </c>
    </row>
    <row r="20" spans="1:16">
      <c r="E20">
        <v>702</v>
      </c>
      <c r="J20" s="9" t="s">
        <v>2792</v>
      </c>
      <c r="K20" s="9">
        <v>169</v>
      </c>
      <c r="L20" s="9">
        <v>13</v>
      </c>
      <c r="M20" s="9">
        <f t="shared" si="1"/>
        <v>42.25</v>
      </c>
      <c r="N20" s="9">
        <f t="shared" si="2"/>
        <v>3.25</v>
      </c>
      <c r="O20" t="str">
        <f t="shared" si="3"/>
        <v>copy localization\game_daily2.png E:\software\MediaInfo(获取media属性)\localization\game_daily2.png</v>
      </c>
      <c r="P20" t="s">
        <v>2651</v>
      </c>
    </row>
    <row r="21" spans="1:16">
      <c r="E21">
        <v>703</v>
      </c>
      <c r="J21" s="9" t="s">
        <v>2793</v>
      </c>
      <c r="K21" s="9">
        <v>127</v>
      </c>
      <c r="L21" s="9">
        <v>13</v>
      </c>
      <c r="M21" s="9">
        <f t="shared" si="1"/>
        <v>31.75</v>
      </c>
      <c r="N21" s="9">
        <f t="shared" si="2"/>
        <v>3.25</v>
      </c>
      <c r="O21" t="str">
        <f t="shared" si="3"/>
        <v>copy localization\game_daily3.png E:\software\MediaInfo(获取media属性)\localization\game_daily3.png</v>
      </c>
      <c r="P21" t="s">
        <v>2651</v>
      </c>
    </row>
    <row r="22" spans="1:16">
      <c r="E22">
        <v>704</v>
      </c>
      <c r="J22" s="9" t="s">
        <v>2776</v>
      </c>
      <c r="K22" s="9">
        <v>145</v>
      </c>
      <c r="L22" s="9">
        <v>13</v>
      </c>
      <c r="M22" s="9">
        <f t="shared" si="1"/>
        <v>36.25</v>
      </c>
      <c r="N22" s="9">
        <f t="shared" si="2"/>
        <v>3.25</v>
      </c>
      <c r="O22" t="str">
        <f t="shared" si="3"/>
        <v>copy localization\game_dancepad1.png E:\software\MediaInfo(获取media属性)\localization\game_dancepad1.png</v>
      </c>
      <c r="P22" t="s">
        <v>2651</v>
      </c>
    </row>
    <row r="23" spans="1:16">
      <c r="E23">
        <v>705</v>
      </c>
      <c r="J23" s="9" t="s">
        <v>2777</v>
      </c>
      <c r="K23" s="9">
        <v>85</v>
      </c>
      <c r="L23" s="9">
        <v>13</v>
      </c>
      <c r="M23" s="9">
        <f t="shared" si="1"/>
        <v>21.25</v>
      </c>
      <c r="N23" s="9">
        <f t="shared" si="2"/>
        <v>3.25</v>
      </c>
      <c r="O23" t="str">
        <f t="shared" si="3"/>
        <v>copy localization\game_dancepad2.png E:\software\MediaInfo(获取media属性)\localization\game_dancepad2.png</v>
      </c>
      <c r="P23" t="s">
        <v>2651</v>
      </c>
    </row>
    <row r="24" spans="1:16">
      <c r="E24">
        <v>712</v>
      </c>
      <c r="J24" s="9" t="s">
        <v>2778</v>
      </c>
      <c r="K24" s="9">
        <v>145</v>
      </c>
      <c r="L24" s="9">
        <v>13</v>
      </c>
      <c r="M24" s="9">
        <f t="shared" si="1"/>
        <v>36.25</v>
      </c>
      <c r="N24" s="9">
        <f t="shared" si="2"/>
        <v>3.25</v>
      </c>
      <c r="O24" t="str">
        <f t="shared" si="3"/>
        <v>copy localization\game_dancepad3.png E:\software\MediaInfo(获取media属性)\localization\game_dancepad3.png</v>
      </c>
      <c r="P24" t="s">
        <v>2651</v>
      </c>
    </row>
    <row r="25" spans="1:16">
      <c r="E25">
        <v>907</v>
      </c>
      <c r="J25" s="9" t="s">
        <v>2779</v>
      </c>
      <c r="K25" s="9">
        <v>61</v>
      </c>
      <c r="L25" s="9">
        <v>13</v>
      </c>
      <c r="M25" s="9">
        <f t="shared" si="1"/>
        <v>15.25</v>
      </c>
      <c r="N25" s="9">
        <f t="shared" si="2"/>
        <v>3.25</v>
      </c>
      <c r="O25" t="str">
        <f t="shared" si="3"/>
        <v>copy localization\game_deathless1.png E:\software\MediaInfo(获取media属性)\localization\game_deathless1.png</v>
      </c>
      <c r="P25" t="s">
        <v>2651</v>
      </c>
    </row>
    <row r="26" spans="1:16">
      <c r="E26">
        <v>908</v>
      </c>
      <c r="J26" s="9" t="s">
        <v>2780</v>
      </c>
      <c r="K26" s="9">
        <v>169</v>
      </c>
      <c r="L26" s="9">
        <v>13</v>
      </c>
      <c r="M26" s="9">
        <f t="shared" si="1"/>
        <v>42.25</v>
      </c>
      <c r="N26" s="9">
        <f t="shared" si="2"/>
        <v>3.25</v>
      </c>
      <c r="O26" t="str">
        <f t="shared" si="3"/>
        <v>copy localization\game_deathless2.png E:\software\MediaInfo(获取media属性)\localization\game_deathless2.png</v>
      </c>
      <c r="P26" t="s">
        <v>2651</v>
      </c>
    </row>
    <row r="27" spans="1:16">
      <c r="E27">
        <v>912</v>
      </c>
      <c r="J27" s="9" t="s">
        <v>2781</v>
      </c>
      <c r="K27" s="9">
        <v>121</v>
      </c>
      <c r="L27" s="9">
        <v>13</v>
      </c>
      <c r="M27" s="9">
        <f t="shared" si="1"/>
        <v>30.25</v>
      </c>
      <c r="N27" s="9">
        <f t="shared" si="2"/>
        <v>3.25</v>
      </c>
      <c r="O27" t="str">
        <f t="shared" si="3"/>
        <v>copy localization\game_deathless3.png E:\software\MediaInfo(获取media属性)\localization\game_deathless3.png</v>
      </c>
      <c r="P27" t="s">
        <v>2651</v>
      </c>
    </row>
    <row r="28" spans="1:16">
      <c r="E28">
        <v>913</v>
      </c>
      <c r="J28" s="9" t="s">
        <v>2771</v>
      </c>
      <c r="K28" s="9">
        <v>49</v>
      </c>
      <c r="L28" s="9">
        <v>13</v>
      </c>
      <c r="M28" s="9">
        <f t="shared" si="1"/>
        <v>12.25</v>
      </c>
      <c r="N28" s="9">
        <f t="shared" si="2"/>
        <v>3.25</v>
      </c>
      <c r="O28" t="str">
        <f t="shared" si="3"/>
        <v>copy localization\game_goodluck.png E:\software\MediaInfo(获取media属性)\localization\game_goodluck.png</v>
      </c>
      <c r="P28" t="s">
        <v>2651</v>
      </c>
    </row>
    <row r="29" spans="1:16">
      <c r="E29">
        <v>969</v>
      </c>
      <c r="J29" s="9" t="s">
        <v>2654</v>
      </c>
      <c r="K29" s="9">
        <v>49</v>
      </c>
      <c r="L29" s="9">
        <v>13</v>
      </c>
      <c r="M29" s="9">
        <f t="shared" si="1"/>
        <v>12.25</v>
      </c>
      <c r="N29" s="9">
        <f t="shared" si="2"/>
        <v>3.25</v>
      </c>
      <c r="O29" t="str">
        <f t="shared" si="3"/>
        <v>copy localization\game_loading.png E:\software\MediaInfo(获取media属性)\localization\game_loading.png</v>
      </c>
      <c r="P29" t="s">
        <v>2651</v>
      </c>
    </row>
    <row r="30" spans="1:16">
      <c r="A30" t="s">
        <v>1399</v>
      </c>
      <c r="B30" t="s">
        <v>1202</v>
      </c>
      <c r="E30">
        <v>1000</v>
      </c>
      <c r="J30" s="9" t="s">
        <v>2669</v>
      </c>
      <c r="K30" s="9">
        <v>229</v>
      </c>
      <c r="L30" s="9">
        <v>13</v>
      </c>
      <c r="M30" s="9">
        <f t="shared" si="1"/>
        <v>57.25</v>
      </c>
      <c r="N30" s="9">
        <f t="shared" si="2"/>
        <v>3.25</v>
      </c>
      <c r="O30" t="str">
        <f t="shared" si="3"/>
        <v>copy localization\game_replayshowing.png E:\software\MediaInfo(获取media属性)\localization\game_replayshowing.png</v>
      </c>
      <c r="P30" t="s">
        <v>2651</v>
      </c>
    </row>
    <row r="31" spans="1:16">
      <c r="E31">
        <v>1001</v>
      </c>
      <c r="J31" s="9" t="s">
        <v>2785</v>
      </c>
      <c r="K31" s="9">
        <v>61</v>
      </c>
      <c r="L31" s="9">
        <v>13</v>
      </c>
      <c r="M31" s="9">
        <f t="shared" si="1"/>
        <v>15.25</v>
      </c>
      <c r="N31" s="9">
        <f t="shared" si="2"/>
        <v>3.25</v>
      </c>
      <c r="O31" t="str">
        <f t="shared" si="3"/>
        <v>copy localization\game_story1.png E:\software\MediaInfo(获取media属性)\localization\game_story1.png</v>
      </c>
      <c r="P31" t="s">
        <v>2651</v>
      </c>
    </row>
    <row r="32" spans="1:16">
      <c r="E32">
        <v>1002</v>
      </c>
      <c r="J32" s="9" t="s">
        <v>2786</v>
      </c>
      <c r="K32" s="9">
        <v>175</v>
      </c>
      <c r="L32" s="9">
        <v>13</v>
      </c>
      <c r="M32" s="9">
        <f t="shared" si="1"/>
        <v>43.75</v>
      </c>
      <c r="N32" s="9">
        <f t="shared" si="2"/>
        <v>3.25</v>
      </c>
      <c r="O32" t="str">
        <f t="shared" si="3"/>
        <v>copy localization\game_story2.png E:\software\MediaInfo(获取media属性)\localization\game_story2.png</v>
      </c>
      <c r="P32" t="s">
        <v>2651</v>
      </c>
    </row>
    <row r="33" spans="5:16">
      <c r="E33">
        <v>1003</v>
      </c>
      <c r="J33" s="9" t="s">
        <v>2787</v>
      </c>
      <c r="K33" s="9">
        <v>49</v>
      </c>
      <c r="L33" s="9">
        <v>13</v>
      </c>
      <c r="M33" s="9">
        <f t="shared" si="1"/>
        <v>12.25</v>
      </c>
      <c r="N33" s="9">
        <f t="shared" si="2"/>
        <v>3.25</v>
      </c>
      <c r="O33" t="str">
        <f t="shared" si="3"/>
        <v>copy localization\game_story3.png E:\software\MediaInfo(获取media属性)\localization\game_story3.png</v>
      </c>
      <c r="P33" t="s">
        <v>2651</v>
      </c>
    </row>
    <row r="34" spans="5:16">
      <c r="E34">
        <v>1004</v>
      </c>
      <c r="J34" s="9" t="s">
        <v>2843</v>
      </c>
      <c r="K34" s="9">
        <v>61</v>
      </c>
      <c r="L34" s="9">
        <v>13</v>
      </c>
      <c r="M34" s="9">
        <f t="shared" si="1"/>
        <v>15.25</v>
      </c>
      <c r="N34" s="9">
        <f t="shared" si="2"/>
        <v>3.25</v>
      </c>
      <c r="O34" t="str">
        <f t="shared" si="3"/>
        <v>copy localization\hint_alreadycomplete.png E:\software\MediaInfo(获取media属性)\localization\hint_alreadycomplete.png</v>
      </c>
      <c r="P34" t="s">
        <v>2651</v>
      </c>
    </row>
    <row r="35" spans="5:16">
      <c r="E35">
        <v>1005</v>
      </c>
      <c r="J35" s="9" t="s">
        <v>2846</v>
      </c>
      <c r="K35" s="9">
        <v>73</v>
      </c>
      <c r="L35" s="9">
        <v>13</v>
      </c>
      <c r="M35" s="9">
        <f t="shared" si="1"/>
        <v>18.25</v>
      </c>
      <c r="N35" s="9">
        <f t="shared" si="2"/>
        <v>3.25</v>
      </c>
      <c r="O35" t="str">
        <f t="shared" si="3"/>
        <v>copy localization\hint_ariaonly.png E:\software\MediaInfo(获取media属性)\localization\hint_ariaonly.png</v>
      </c>
      <c r="P35" t="s">
        <v>2651</v>
      </c>
    </row>
    <row r="36" spans="5:16">
      <c r="E36">
        <v>1006</v>
      </c>
      <c r="J36" s="9" t="s">
        <v>2941</v>
      </c>
      <c r="K36" s="9">
        <v>73</v>
      </c>
      <c r="L36" s="9">
        <v>13</v>
      </c>
      <c r="M36" s="9">
        <f t="shared" si="1"/>
        <v>18.25</v>
      </c>
      <c r="N36" s="9">
        <f t="shared" si="2"/>
        <v>3.25</v>
      </c>
      <c r="O36" t="str">
        <f t="shared" si="3"/>
        <v>copy localization\hint_bloodmagic.png E:\software\MediaInfo(获取media属性)\localization\hint_bloodmagic.png</v>
      </c>
      <c r="P36" t="s">
        <v>2651</v>
      </c>
    </row>
    <row r="37" spans="5:16">
      <c r="E37">
        <v>1007</v>
      </c>
      <c r="J37" s="9" t="s">
        <v>2935</v>
      </c>
      <c r="K37" s="9">
        <v>25</v>
      </c>
      <c r="L37" s="9">
        <v>13</v>
      </c>
      <c r="M37" s="9">
        <f t="shared" si="1"/>
        <v>6.25</v>
      </c>
      <c r="N37" s="9">
        <f t="shared" si="2"/>
        <v>3.25</v>
      </c>
      <c r="O37" t="str">
        <f t="shared" si="3"/>
        <v>copy localization\hint_bomb.png E:\software\MediaInfo(获取media属性)\localization\hint_bomb.png</v>
      </c>
      <c r="P37" t="s">
        <v>2651</v>
      </c>
    </row>
    <row r="38" spans="5:16">
      <c r="E38">
        <v>1051</v>
      </c>
      <c r="J38" s="9" t="s">
        <v>2862</v>
      </c>
      <c r="K38" s="9">
        <v>121</v>
      </c>
      <c r="L38" s="9">
        <v>13</v>
      </c>
      <c r="M38" s="9">
        <f t="shared" si="1"/>
        <v>30.25</v>
      </c>
      <c r="N38" s="9">
        <f t="shared" si="2"/>
        <v>3.25</v>
      </c>
      <c r="O38" t="str">
        <f t="shared" si="3"/>
        <v>copy localization\hint_bringglasskey.png E:\software\MediaInfo(获取media属性)\localization\hint_bringglasskey.png</v>
      </c>
      <c r="P38" t="s">
        <v>2651</v>
      </c>
    </row>
    <row r="39" spans="5:16">
      <c r="E39">
        <v>1052</v>
      </c>
      <c r="J39" s="9" t="s">
        <v>2890</v>
      </c>
      <c r="K39" s="9">
        <v>85</v>
      </c>
      <c r="L39" s="9">
        <v>13</v>
      </c>
      <c r="M39" s="9">
        <f t="shared" si="1"/>
        <v>21.25</v>
      </c>
      <c r="N39" s="9">
        <f t="shared" si="2"/>
        <v>3.25</v>
      </c>
      <c r="O39" t="str">
        <f t="shared" si="3"/>
        <v>copy localization\hint_brokerreject.png E:\software\MediaInfo(获取media属性)\localization\hint_brokerreject.png</v>
      </c>
      <c r="P39" t="s">
        <v>2651</v>
      </c>
    </row>
    <row r="40" spans="5:16">
      <c r="E40">
        <v>1053</v>
      </c>
      <c r="J40" s="9" t="s">
        <v>2844</v>
      </c>
      <c r="K40" s="9">
        <v>91</v>
      </c>
      <c r="L40" s="9">
        <v>13</v>
      </c>
      <c r="M40" s="9">
        <f t="shared" si="1"/>
        <v>22.75</v>
      </c>
      <c r="N40" s="9">
        <f t="shared" si="2"/>
        <v>3.25</v>
      </c>
      <c r="O40" t="str">
        <f t="shared" si="3"/>
        <v>copy localization\hint_cadenceonly.png E:\software\MediaInfo(获取media属性)\localization\hint_cadenceonly.png</v>
      </c>
      <c r="P40" t="s">
        <v>2651</v>
      </c>
    </row>
    <row r="41" spans="5:16">
      <c r="E41">
        <v>1054</v>
      </c>
      <c r="J41" s="9" t="s">
        <v>2879</v>
      </c>
      <c r="K41" s="9">
        <v>121</v>
      </c>
      <c r="L41" s="9">
        <v>13</v>
      </c>
      <c r="M41" s="9">
        <f t="shared" si="1"/>
        <v>30.25</v>
      </c>
      <c r="N41" s="9">
        <f t="shared" si="2"/>
        <v>3.25</v>
      </c>
      <c r="O41" t="str">
        <f t="shared" si="3"/>
        <v>copy localization\hint_chancelose.png E:\software\MediaInfo(获取media属性)\localization\hint_chancelose.png</v>
      </c>
      <c r="P41" t="s">
        <v>2651</v>
      </c>
    </row>
    <row r="42" spans="5:16">
      <c r="E42">
        <v>1055</v>
      </c>
      <c r="J42" s="9" t="s">
        <v>2878</v>
      </c>
      <c r="K42" s="9">
        <v>61</v>
      </c>
      <c r="L42" s="9">
        <v>13</v>
      </c>
      <c r="M42" s="9">
        <f t="shared" si="1"/>
        <v>15.25</v>
      </c>
      <c r="N42" s="9">
        <f t="shared" si="2"/>
        <v>3.25</v>
      </c>
      <c r="O42" t="str">
        <f t="shared" si="3"/>
        <v>copy localization\hint_chancewin.png E:\software\MediaInfo(获取media属性)\localization\hint_chancewin.png</v>
      </c>
      <c r="P42" t="s">
        <v>2651</v>
      </c>
    </row>
    <row r="43" spans="5:16">
      <c r="E43">
        <v>1056</v>
      </c>
      <c r="J43" s="9" t="s">
        <v>2922</v>
      </c>
      <c r="K43" s="9">
        <v>25</v>
      </c>
      <c r="L43" s="9">
        <v>13</v>
      </c>
      <c r="M43" s="9">
        <f t="shared" si="1"/>
        <v>6.25</v>
      </c>
      <c r="N43" s="9">
        <f t="shared" si="2"/>
        <v>3.25</v>
      </c>
      <c r="O43" t="str">
        <f t="shared" si="3"/>
        <v>copy localization\hint_charm.png E:\software\MediaInfo(获取media属性)\localization\hint_charm.png</v>
      </c>
      <c r="P43" t="s">
        <v>2651</v>
      </c>
    </row>
    <row r="44" spans="5:16">
      <c r="E44">
        <v>1057</v>
      </c>
      <c r="J44" s="9" t="s">
        <v>2912</v>
      </c>
      <c r="K44" s="9">
        <v>49</v>
      </c>
      <c r="L44" s="9">
        <v>13</v>
      </c>
      <c r="M44" s="9">
        <f t="shared" si="1"/>
        <v>12.25</v>
      </c>
      <c r="N44" s="9">
        <f t="shared" si="2"/>
        <v>3.25</v>
      </c>
      <c r="O44" t="str">
        <f t="shared" si="3"/>
        <v>copy localization\hint_charmshattered.png E:\software\MediaInfo(获取media属性)\localization\hint_charmshattered.png</v>
      </c>
      <c r="P44" t="s">
        <v>2651</v>
      </c>
    </row>
    <row r="45" spans="5:16">
      <c r="E45">
        <v>1058</v>
      </c>
      <c r="J45" s="9" t="s">
        <v>2917</v>
      </c>
      <c r="K45" s="9">
        <v>25</v>
      </c>
      <c r="L45" s="9">
        <v>13</v>
      </c>
      <c r="M45" s="9">
        <f t="shared" si="1"/>
        <v>6.25</v>
      </c>
      <c r="N45" s="9">
        <f t="shared" si="2"/>
        <v>3.25</v>
      </c>
      <c r="O45" t="str">
        <f t="shared" si="3"/>
        <v>copy localization\hint_cleaned.png E:\software\MediaInfo(获取media属性)\localization\hint_cleaned.png</v>
      </c>
      <c r="P45" t="s">
        <v>2651</v>
      </c>
    </row>
    <row r="46" spans="5:16">
      <c r="E46">
        <v>1059</v>
      </c>
      <c r="J46" s="9" t="s">
        <v>2885</v>
      </c>
      <c r="K46" s="9">
        <v>25</v>
      </c>
      <c r="L46" s="9">
        <v>13</v>
      </c>
      <c r="M46" s="9">
        <f t="shared" si="1"/>
        <v>6.25</v>
      </c>
      <c r="N46" s="9">
        <f t="shared" si="2"/>
        <v>3.25</v>
      </c>
      <c r="O46" t="str">
        <f t="shared" si="3"/>
        <v>copy localization\hint_coins1.png E:\software\MediaInfo(获取media属性)\localization\hint_coins1.png</v>
      </c>
      <c r="P46" t="s">
        <v>2651</v>
      </c>
    </row>
    <row r="47" spans="5:16">
      <c r="E47">
        <v>1060</v>
      </c>
      <c r="J47" s="9" t="s">
        <v>2841</v>
      </c>
      <c r="K47" s="9">
        <v>241</v>
      </c>
      <c r="L47" s="9">
        <v>13</v>
      </c>
      <c r="M47" s="9">
        <f t="shared" si="1"/>
        <v>60.25</v>
      </c>
      <c r="N47" s="9">
        <f t="shared" si="2"/>
        <v>3.25</v>
      </c>
      <c r="O47" t="str">
        <f t="shared" si="3"/>
        <v>copy localization\hint_completeallchars.png E:\software\MediaInfo(获取media属性)\localization\hint_completeallchars.png</v>
      </c>
      <c r="P47" t="s">
        <v>2651</v>
      </c>
    </row>
    <row r="48" spans="5:16">
      <c r="E48">
        <v>1101</v>
      </c>
      <c r="J48" s="9" t="s">
        <v>2836</v>
      </c>
      <c r="K48" s="9">
        <v>169</v>
      </c>
      <c r="L48" s="9">
        <v>13</v>
      </c>
      <c r="M48" s="9">
        <f t="shared" si="1"/>
        <v>42.25</v>
      </c>
      <c r="N48" s="9">
        <f t="shared" si="2"/>
        <v>3.25</v>
      </c>
      <c r="O48" t="str">
        <f t="shared" si="3"/>
        <v>copy localization\hint_completebomblore.png E:\software\MediaInfo(获取media属性)\localization\hint_completebomblore.png</v>
      </c>
      <c r="P48" t="s">
        <v>2651</v>
      </c>
    </row>
    <row r="49" spans="5:16">
      <c r="E49">
        <v>1102</v>
      </c>
      <c r="J49" s="9" t="s">
        <v>2840</v>
      </c>
      <c r="K49" s="9">
        <v>151</v>
      </c>
      <c r="L49" s="9">
        <v>13</v>
      </c>
      <c r="M49" s="9">
        <f t="shared" si="1"/>
        <v>37.75</v>
      </c>
      <c r="N49" s="9">
        <f t="shared" si="2"/>
        <v>3.25</v>
      </c>
      <c r="O49" t="str">
        <f t="shared" si="3"/>
        <v>copy localization\hint_completecadence.png E:\software\MediaInfo(获取media属性)\localization\hint_completecadence.png</v>
      </c>
      <c r="P49" t="s">
        <v>2651</v>
      </c>
    </row>
    <row r="50" spans="5:16">
      <c r="E50">
        <v>1103</v>
      </c>
      <c r="J50" s="9" t="s">
        <v>2834</v>
      </c>
      <c r="K50" s="9">
        <v>145</v>
      </c>
      <c r="L50" s="9">
        <v>13</v>
      </c>
      <c r="M50" s="9">
        <f t="shared" si="1"/>
        <v>36.25</v>
      </c>
      <c r="N50" s="9">
        <f t="shared" si="2"/>
        <v>3.25</v>
      </c>
      <c r="O50" t="str">
        <f t="shared" si="3"/>
        <v>copy localization\hint_completedragonlore.png E:\software\MediaInfo(获取media属性)\localization\hint_completedragonlore.png</v>
      </c>
      <c r="P50" t="s">
        <v>2651</v>
      </c>
    </row>
    <row r="51" spans="5:16">
      <c r="E51">
        <v>1501</v>
      </c>
      <c r="J51" s="9" t="s">
        <v>2838</v>
      </c>
      <c r="K51" s="9">
        <v>145</v>
      </c>
      <c r="L51" s="9">
        <v>13</v>
      </c>
      <c r="M51" s="9">
        <f t="shared" si="1"/>
        <v>36.25</v>
      </c>
      <c r="N51" s="9">
        <f t="shared" si="2"/>
        <v>3.25</v>
      </c>
      <c r="O51" t="str">
        <f t="shared" si="3"/>
        <v>copy localization\hint_completemelody.png E:\software\MediaInfo(获取media属性)\localization\hint_completemelody.png</v>
      </c>
      <c r="P51" t="s">
        <v>2651</v>
      </c>
    </row>
    <row r="52" spans="5:16">
      <c r="E52">
        <v>1502</v>
      </c>
      <c r="J52" s="9" t="s">
        <v>2837</v>
      </c>
      <c r="K52" s="9">
        <v>133</v>
      </c>
      <c r="L52" s="9">
        <v>13</v>
      </c>
      <c r="M52" s="9">
        <f t="shared" si="1"/>
        <v>33.25</v>
      </c>
      <c r="N52" s="9">
        <f t="shared" si="2"/>
        <v>3.25</v>
      </c>
      <c r="O52" t="str">
        <f t="shared" si="3"/>
        <v>copy localization\hint_completemonk.png E:\software\MediaInfo(获取media属性)\localization\hint_completemonk.png</v>
      </c>
      <c r="P52" t="s">
        <v>2651</v>
      </c>
    </row>
    <row r="53" spans="5:16">
      <c r="E53">
        <v>1503</v>
      </c>
      <c r="J53" s="9" t="s">
        <v>2835</v>
      </c>
      <c r="K53" s="9">
        <v>169</v>
      </c>
      <c r="L53" s="9">
        <v>13</v>
      </c>
      <c r="M53" s="9">
        <f t="shared" si="1"/>
        <v>42.25</v>
      </c>
      <c r="N53" s="9">
        <f t="shared" si="2"/>
        <v>3.25</v>
      </c>
      <c r="O53" t="str">
        <f t="shared" si="3"/>
        <v>copy localization\hint_completetraplore.png E:\software\MediaInfo(获取media属性)\localization\hint_completetraplore.png</v>
      </c>
      <c r="P53" t="s">
        <v>2651</v>
      </c>
    </row>
    <row r="54" spans="5:16">
      <c r="E54">
        <v>1514</v>
      </c>
      <c r="J54" s="9" t="s">
        <v>2830</v>
      </c>
      <c r="K54" s="9">
        <v>115</v>
      </c>
      <c r="L54" s="9">
        <v>13</v>
      </c>
      <c r="M54" s="9">
        <f t="shared" si="1"/>
        <v>28.75</v>
      </c>
      <c r="N54" s="9">
        <f t="shared" si="2"/>
        <v>3.25</v>
      </c>
      <c r="O54" t="str">
        <f t="shared" si="3"/>
        <v>copy localization\hint_completezone1.png E:\software\MediaInfo(获取media属性)\localization\hint_completezone1.png</v>
      </c>
      <c r="P54" t="s">
        <v>2651</v>
      </c>
    </row>
    <row r="55" spans="5:16">
      <c r="E55">
        <v>1515</v>
      </c>
      <c r="J55" s="9" t="s">
        <v>2831</v>
      </c>
      <c r="K55" s="9">
        <v>115</v>
      </c>
      <c r="L55" s="9">
        <v>13</v>
      </c>
      <c r="M55" s="9">
        <f t="shared" si="1"/>
        <v>28.75</v>
      </c>
      <c r="N55" s="9">
        <f t="shared" si="2"/>
        <v>3.25</v>
      </c>
      <c r="O55" t="str">
        <f t="shared" si="3"/>
        <v>copy localization\hint_completezone2.png E:\software\MediaInfo(获取media属性)\localization\hint_completezone2.png</v>
      </c>
      <c r="P55" t="s">
        <v>2651</v>
      </c>
    </row>
    <row r="56" spans="5:16">
      <c r="E56">
        <v>1516</v>
      </c>
      <c r="J56" s="9" t="s">
        <v>2832</v>
      </c>
      <c r="K56" s="9">
        <v>115</v>
      </c>
      <c r="L56" s="9">
        <v>13</v>
      </c>
      <c r="M56" s="9">
        <f t="shared" si="1"/>
        <v>28.75</v>
      </c>
      <c r="N56" s="9">
        <f t="shared" si="2"/>
        <v>3.25</v>
      </c>
      <c r="O56" t="str">
        <f t="shared" si="3"/>
        <v>copy localization\hint_completezone3.png E:\software\MediaInfo(获取media属性)\localization\hint_completezone3.png</v>
      </c>
      <c r="P56" t="s">
        <v>2651</v>
      </c>
    </row>
    <row r="57" spans="5:16">
      <c r="E57">
        <v>1601</v>
      </c>
      <c r="J57" s="9" t="s">
        <v>2833</v>
      </c>
      <c r="K57" s="9">
        <v>115</v>
      </c>
      <c r="L57" s="9">
        <v>13</v>
      </c>
      <c r="M57" s="9">
        <f t="shared" si="1"/>
        <v>28.75</v>
      </c>
      <c r="N57" s="9">
        <f t="shared" si="2"/>
        <v>3.25</v>
      </c>
      <c r="O57" t="str">
        <f t="shared" si="3"/>
        <v>copy localization\hint_completezone4.png E:\software\MediaInfo(获取media属性)\localization\hint_completezone4.png</v>
      </c>
      <c r="P57" t="s">
        <v>2651</v>
      </c>
    </row>
    <row r="58" spans="5:16">
      <c r="E58">
        <v>1602</v>
      </c>
      <c r="J58" s="9" t="s">
        <v>2839</v>
      </c>
      <c r="K58" s="9">
        <v>181</v>
      </c>
      <c r="L58" s="9">
        <v>13</v>
      </c>
      <c r="M58" s="9">
        <f t="shared" si="1"/>
        <v>45.25</v>
      </c>
      <c r="N58" s="9">
        <f t="shared" si="2"/>
        <v>3.25</v>
      </c>
      <c r="O58" t="str">
        <f t="shared" si="3"/>
        <v>copy localization\hint_completezone4cadence.png E:\software\MediaInfo(获取media属性)\localization\hint_completezone4cadence.png</v>
      </c>
      <c r="P58" t="s">
        <v>2651</v>
      </c>
    </row>
    <row r="59" spans="5:16">
      <c r="E59">
        <v>1603</v>
      </c>
      <c r="J59" s="9" t="s">
        <v>2857</v>
      </c>
      <c r="K59" s="9">
        <v>49</v>
      </c>
      <c r="L59" s="9">
        <v>13</v>
      </c>
      <c r="M59" s="9">
        <f t="shared" si="1"/>
        <v>12.25</v>
      </c>
      <c r="N59" s="9">
        <f t="shared" si="2"/>
        <v>3.25</v>
      </c>
      <c r="O59" t="str">
        <f t="shared" si="3"/>
        <v>copy localization\hint_confused.png E:\software\MediaInfo(获取media属性)\localization\hint_confused.png</v>
      </c>
      <c r="P59" t="s">
        <v>2651</v>
      </c>
    </row>
    <row r="60" spans="5:16">
      <c r="E60">
        <v>1604</v>
      </c>
      <c r="J60" s="9" t="s">
        <v>2853</v>
      </c>
      <c r="K60" s="9">
        <v>37</v>
      </c>
      <c r="L60" s="9">
        <v>13</v>
      </c>
      <c r="M60" s="9">
        <f t="shared" si="1"/>
        <v>9.25</v>
      </c>
      <c r="N60" s="9">
        <f t="shared" si="2"/>
        <v>3.25</v>
      </c>
      <c r="O60" t="str">
        <f t="shared" si="3"/>
        <v>copy localization\hint_confusionspell.png E:\software\MediaInfo(获取media属性)\localization\hint_confusionspell.png</v>
      </c>
      <c r="P60" t="s">
        <v>2651</v>
      </c>
    </row>
    <row r="61" spans="5:16">
      <c r="E61">
        <v>1606</v>
      </c>
      <c r="J61" s="9" t="s">
        <v>2888</v>
      </c>
      <c r="K61" s="9">
        <v>49</v>
      </c>
      <c r="L61" s="9">
        <v>13</v>
      </c>
      <c r="M61" s="9">
        <f t="shared" si="1"/>
        <v>12.25</v>
      </c>
      <c r="N61" s="9">
        <f t="shared" si="2"/>
        <v>3.25</v>
      </c>
      <c r="O61" t="str">
        <f t="shared" si="3"/>
        <v>copy localization\hint_conjuringfail.png E:\software\MediaInfo(获取media属性)\localization\hint_conjuringfail.png</v>
      </c>
      <c r="P61" t="s">
        <v>2651</v>
      </c>
    </row>
    <row r="62" spans="5:16">
      <c r="E62">
        <v>1607</v>
      </c>
      <c r="J62" s="9" t="s">
        <v>2901</v>
      </c>
      <c r="K62" s="9">
        <v>61</v>
      </c>
      <c r="L62" s="9">
        <v>16</v>
      </c>
      <c r="M62" s="9">
        <f t="shared" si="1"/>
        <v>15.25</v>
      </c>
      <c r="N62" s="9">
        <f t="shared" si="2"/>
        <v>4</v>
      </c>
      <c r="O62" t="str">
        <f t="shared" si="3"/>
        <v>copy localization\hint_coupon.png E:\software\MediaInfo(获取media属性)\localization\hint_coupon.png</v>
      </c>
      <c r="P62" t="s">
        <v>2651</v>
      </c>
    </row>
    <row r="63" spans="5:16">
      <c r="E63">
        <v>1608</v>
      </c>
      <c r="J63" s="9" t="s">
        <v>2906</v>
      </c>
      <c r="K63" s="9">
        <v>25</v>
      </c>
      <c r="L63" s="9">
        <v>13</v>
      </c>
      <c r="M63" s="9">
        <f t="shared" si="1"/>
        <v>6.25</v>
      </c>
      <c r="N63" s="9">
        <f t="shared" si="2"/>
        <v>3.25</v>
      </c>
      <c r="O63" t="str">
        <f t="shared" si="3"/>
        <v>copy localization\hint_courage.png E:\software\MediaInfo(获取media属性)\localization\hint_courage.png</v>
      </c>
      <c r="P63" t="s">
        <v>2651</v>
      </c>
    </row>
    <row r="64" spans="5:16">
      <c r="E64">
        <v>1609</v>
      </c>
      <c r="J64" s="9" t="s">
        <v>2911</v>
      </c>
      <c r="K64" s="9">
        <v>49</v>
      </c>
      <c r="L64" s="9">
        <v>13</v>
      </c>
      <c r="M64" s="9">
        <f t="shared" si="1"/>
        <v>12.25</v>
      </c>
      <c r="N64" s="9">
        <f t="shared" si="2"/>
        <v>3.25</v>
      </c>
      <c r="O64" t="str">
        <f t="shared" si="3"/>
        <v>copy localization\hint_crownshattered.png E:\software\MediaInfo(获取media属性)\localization\hint_crownshattered.png</v>
      </c>
      <c r="P64" t="s">
        <v>2651</v>
      </c>
    </row>
    <row r="65" spans="5:16">
      <c r="E65">
        <v>1610</v>
      </c>
      <c r="J65" s="9" t="s">
        <v>2899</v>
      </c>
      <c r="K65" s="9">
        <v>109</v>
      </c>
      <c r="L65" s="9">
        <v>13</v>
      </c>
      <c r="M65" s="9">
        <f t="shared" si="1"/>
        <v>27.25</v>
      </c>
      <c r="N65" s="9">
        <f t="shared" si="2"/>
        <v>3.25</v>
      </c>
      <c r="O65" t="str">
        <f t="shared" si="3"/>
        <v>copy localization\hint_damageenemies.png E:\software\MediaInfo(获取media属性)\localization\hint_damageenemies.png</v>
      </c>
      <c r="P65" t="s">
        <v>2651</v>
      </c>
    </row>
    <row r="66" spans="5:16">
      <c r="E66">
        <v>1611</v>
      </c>
      <c r="J66" s="9" t="s">
        <v>2848</v>
      </c>
      <c r="K66" s="9">
        <v>37</v>
      </c>
      <c r="L66" s="9">
        <v>13</v>
      </c>
      <c r="M66" s="9">
        <f t="shared" si="1"/>
        <v>9.25</v>
      </c>
      <c r="N66" s="9">
        <f t="shared" si="2"/>
        <v>3.25</v>
      </c>
      <c r="O66" t="str">
        <f t="shared" si="3"/>
        <v>copy localization\hint_deafened.png E:\software\MediaInfo(获取media属性)\localization\hint_deafened.png</v>
      </c>
      <c r="P66" t="s">
        <v>2651</v>
      </c>
    </row>
    <row r="67" spans="5:16">
      <c r="E67">
        <v>1612</v>
      </c>
      <c r="J67" s="9" t="s">
        <v>2847</v>
      </c>
      <c r="K67" s="9">
        <v>73</v>
      </c>
      <c r="L67" s="9">
        <v>13</v>
      </c>
      <c r="M67" s="9">
        <f t="shared" ref="M67:M130" si="4">0.25*K67</f>
        <v>18.25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localization\hint_defeatminiboss.png E:\software\MediaInfo(获取media属性)\localization\hint_defeatminiboss.png</v>
      </c>
      <c r="P67" t="s">
        <v>2651</v>
      </c>
    </row>
    <row r="68" spans="5:16">
      <c r="E68">
        <v>1613</v>
      </c>
      <c r="J68" s="9" t="s">
        <v>2925</v>
      </c>
      <c r="K68" s="9">
        <v>25</v>
      </c>
      <c r="L68" s="9">
        <v>13</v>
      </c>
      <c r="M68" s="9">
        <f t="shared" si="4"/>
        <v>6.25</v>
      </c>
      <c r="N68" s="9">
        <f t="shared" si="5"/>
        <v>3.25</v>
      </c>
      <c r="O68" t="str">
        <f t="shared" si="6"/>
        <v>copy localization\hint_descend.png E:\software\MediaInfo(获取media属性)\localization\hint_descend.png</v>
      </c>
      <c r="P68" t="s">
        <v>2651</v>
      </c>
    </row>
    <row r="69" spans="5:16">
      <c r="E69">
        <v>1614</v>
      </c>
      <c r="J69" s="9" t="s">
        <v>2829</v>
      </c>
      <c r="K69" s="9">
        <v>49</v>
      </c>
      <c r="L69" s="9">
        <v>13</v>
      </c>
      <c r="M69" s="9">
        <f t="shared" si="4"/>
        <v>12.25</v>
      </c>
      <c r="N69" s="9">
        <f t="shared" si="5"/>
        <v>3.25</v>
      </c>
      <c r="O69" t="str">
        <f t="shared" si="6"/>
        <v>copy localization\hint_destroysarcophagus.png E:\software\MediaInfo(获取media属性)\localization\hint_destroysarcophagus.png</v>
      </c>
      <c r="P69" t="s">
        <v>2651</v>
      </c>
    </row>
    <row r="70" spans="5:16">
      <c r="E70">
        <v>1615</v>
      </c>
      <c r="J70" s="9" t="s">
        <v>2939</v>
      </c>
      <c r="K70" s="9">
        <v>49</v>
      </c>
      <c r="L70" s="9">
        <v>13</v>
      </c>
      <c r="M70" s="9">
        <f t="shared" si="4"/>
        <v>12.25</v>
      </c>
      <c r="N70" s="9">
        <f t="shared" si="5"/>
        <v>3.25</v>
      </c>
      <c r="O70" t="str">
        <f t="shared" si="6"/>
        <v>copy localization\hint_enchantweapon2.png E:\software\MediaInfo(获取media属性)\localization\hint_enchantweapon2.png</v>
      </c>
      <c r="P70" t="s">
        <v>2651</v>
      </c>
    </row>
    <row r="71" spans="5:16">
      <c r="E71">
        <v>1616</v>
      </c>
      <c r="J71" s="9" t="s">
        <v>2905</v>
      </c>
      <c r="K71" s="9">
        <v>49</v>
      </c>
      <c r="L71" s="9">
        <v>13</v>
      </c>
      <c r="M71" s="9">
        <f t="shared" si="4"/>
        <v>12.25</v>
      </c>
      <c r="N71" s="9">
        <f t="shared" si="5"/>
        <v>3.25</v>
      </c>
      <c r="O71" t="str">
        <f t="shared" si="6"/>
        <v>copy localization\hint_exitlocked.png E:\software\MediaInfo(获取media属性)\localization\hint_exitlocked.png</v>
      </c>
      <c r="P71" t="s">
        <v>2651</v>
      </c>
    </row>
    <row r="72" spans="5:16">
      <c r="E72">
        <v>1617</v>
      </c>
      <c r="J72" s="9" t="s">
        <v>2882</v>
      </c>
      <c r="K72" s="9">
        <v>61</v>
      </c>
      <c r="L72" s="9">
        <v>13</v>
      </c>
      <c r="M72" s="9">
        <f t="shared" si="4"/>
        <v>15.25</v>
      </c>
      <c r="N72" s="9">
        <f t="shared" si="5"/>
        <v>3.25</v>
      </c>
      <c r="O72" t="str">
        <f t="shared" si="6"/>
        <v>copy localization\hint_exitunlocked.png E:\software\MediaInfo(获取media属性)\localization\hint_exitunlocked.png</v>
      </c>
      <c r="P72" t="s">
        <v>2651</v>
      </c>
    </row>
    <row r="73" spans="5:16">
      <c r="E73">
        <v>1618</v>
      </c>
      <c r="J73" s="9" t="s">
        <v>2929</v>
      </c>
      <c r="K73" s="9">
        <v>25</v>
      </c>
      <c r="L73" s="9">
        <v>13</v>
      </c>
      <c r="M73" s="9">
        <f t="shared" si="4"/>
        <v>6.25</v>
      </c>
      <c r="N73" s="9">
        <f t="shared" si="5"/>
        <v>3.25</v>
      </c>
      <c r="O73" t="str">
        <f t="shared" si="6"/>
        <v>copy localization\hint_fear.png E:\software\MediaInfo(获取media属性)\localization\hint_fear.png</v>
      </c>
      <c r="P73" t="s">
        <v>2651</v>
      </c>
    </row>
    <row r="74" spans="5:16">
      <c r="E74">
        <v>1619</v>
      </c>
      <c r="J74" s="9" t="s">
        <v>2931</v>
      </c>
      <c r="K74" s="9">
        <v>37</v>
      </c>
      <c r="L74" s="9">
        <v>13</v>
      </c>
      <c r="M74" s="9">
        <f t="shared" si="4"/>
        <v>9.25</v>
      </c>
      <c r="N74" s="9">
        <f t="shared" si="5"/>
        <v>3.25</v>
      </c>
      <c r="O74" t="str">
        <f t="shared" si="6"/>
        <v>copy localization\hint_fireball.png E:\software\MediaInfo(获取media属性)\localization\hint_fireball.png</v>
      </c>
      <c r="P74" t="s">
        <v>2651</v>
      </c>
    </row>
    <row r="75" spans="5:16">
      <c r="E75">
        <v>1620</v>
      </c>
      <c r="J75" s="9" t="s">
        <v>2892</v>
      </c>
      <c r="K75" s="9">
        <v>61</v>
      </c>
      <c r="L75" s="9">
        <v>13</v>
      </c>
      <c r="M75" s="9">
        <f t="shared" si="4"/>
        <v>15.25</v>
      </c>
      <c r="N75" s="9">
        <f t="shared" si="5"/>
        <v>3.25</v>
      </c>
      <c r="O75" t="str">
        <f t="shared" si="6"/>
        <v>copy localization\hint_flawlessvictory.png E:\software\MediaInfo(获取media属性)\localization\hint_flawlessvictory.png</v>
      </c>
      <c r="P75" t="s">
        <v>2651</v>
      </c>
    </row>
    <row r="76" spans="5:16">
      <c r="E76">
        <v>1621</v>
      </c>
      <c r="J76" s="9" t="s">
        <v>2933</v>
      </c>
      <c r="K76" s="9">
        <v>37</v>
      </c>
      <c r="L76" s="9">
        <v>13</v>
      </c>
      <c r="M76" s="9">
        <f t="shared" si="4"/>
        <v>9.25</v>
      </c>
      <c r="N76" s="9">
        <f t="shared" si="5"/>
        <v>3.25</v>
      </c>
      <c r="O76" t="str">
        <f t="shared" si="6"/>
        <v>copy localization\hint_freeze.png E:\software\MediaInfo(获取media属性)\localization\hint_freeze.png</v>
      </c>
      <c r="P76" t="s">
        <v>2651</v>
      </c>
    </row>
    <row r="77" spans="5:16">
      <c r="E77">
        <v>1801</v>
      </c>
      <c r="J77" s="9" t="s">
        <v>2914</v>
      </c>
      <c r="K77" s="9">
        <v>25</v>
      </c>
      <c r="L77" s="9">
        <v>13</v>
      </c>
      <c r="M77" s="9">
        <f t="shared" si="4"/>
        <v>6.25</v>
      </c>
      <c r="N77" s="9">
        <f t="shared" si="5"/>
        <v>3.25</v>
      </c>
      <c r="O77" t="str">
        <f t="shared" si="6"/>
        <v>copy localization\hint_frostmelted.png E:\software\MediaInfo(获取media属性)\localization\hint_frostmelted.png</v>
      </c>
      <c r="P77" t="s">
        <v>2651</v>
      </c>
    </row>
    <row r="78" spans="5:16">
      <c r="E78">
        <v>1802</v>
      </c>
      <c r="J78" s="9" t="s">
        <v>2936</v>
      </c>
      <c r="K78" s="9">
        <v>25</v>
      </c>
      <c r="L78" s="9">
        <v>13</v>
      </c>
      <c r="M78" s="9">
        <f t="shared" si="4"/>
        <v>6.25</v>
      </c>
      <c r="N78" s="9">
        <f t="shared" si="5"/>
        <v>3.25</v>
      </c>
      <c r="O78" t="str">
        <f t="shared" si="6"/>
        <v>copy localization\hint_gigantism.png E:\software\MediaInfo(获取media属性)\localization\hint_gigantism.png</v>
      </c>
      <c r="P78" t="s">
        <v>2651</v>
      </c>
    </row>
    <row r="79" spans="5:16">
      <c r="E79">
        <v>1803</v>
      </c>
      <c r="J79" s="9" t="s">
        <v>2902</v>
      </c>
      <c r="K79" s="9">
        <v>61</v>
      </c>
      <c r="L79" s="9">
        <v>13</v>
      </c>
      <c r="M79" s="9">
        <f t="shared" si="4"/>
        <v>15.25</v>
      </c>
      <c r="N79" s="9">
        <f t="shared" si="5"/>
        <v>3.25</v>
      </c>
      <c r="O79" t="str">
        <f t="shared" si="6"/>
        <v>copy localization\hint_glass.png E:\software\MediaInfo(获取media属性)\localization\hint_glass.png</v>
      </c>
      <c r="P79" t="s">
        <v>2651</v>
      </c>
    </row>
    <row r="80" spans="5:16">
      <c r="E80">
        <v>1804</v>
      </c>
      <c r="J80" s="9" t="s">
        <v>2910</v>
      </c>
      <c r="K80" s="9">
        <v>49</v>
      </c>
      <c r="L80" s="9">
        <v>13</v>
      </c>
      <c r="M80" s="9">
        <f t="shared" si="4"/>
        <v>12.25</v>
      </c>
      <c r="N80" s="9">
        <f t="shared" si="5"/>
        <v>3.25</v>
      </c>
      <c r="O80" t="str">
        <f t="shared" si="6"/>
        <v>copy localization\hint_glassarmorshattered.png E:\software\MediaInfo(获取media属性)\localization\hint_glassarmorshattered.png</v>
      </c>
      <c r="P80" t="s">
        <v>2651</v>
      </c>
    </row>
    <row r="81" spans="5:16">
      <c r="E81">
        <v>1805</v>
      </c>
      <c r="J81" s="9" t="s">
        <v>2920</v>
      </c>
      <c r="K81" s="9">
        <v>25</v>
      </c>
      <c r="L81" s="9">
        <v>13</v>
      </c>
      <c r="M81" s="9">
        <f t="shared" si="4"/>
        <v>6.25</v>
      </c>
      <c r="N81" s="9">
        <f t="shared" si="5"/>
        <v>3.25</v>
      </c>
      <c r="O81" t="str">
        <f t="shared" si="6"/>
        <v>copy localization\hint_glassshattered.png E:\software\MediaInfo(获取media属性)\localization\hint_glassshattered.png</v>
      </c>
      <c r="P81" t="s">
        <v>2651</v>
      </c>
    </row>
    <row r="82" spans="5:16">
      <c r="E82">
        <v>1806</v>
      </c>
      <c r="J82" s="9" t="s">
        <v>2893</v>
      </c>
      <c r="K82" s="9">
        <v>61</v>
      </c>
      <c r="L82" s="9">
        <v>13</v>
      </c>
      <c r="M82" s="9">
        <f t="shared" si="4"/>
        <v>15.25</v>
      </c>
      <c r="N82" s="9">
        <f t="shared" si="5"/>
        <v>3.25</v>
      </c>
      <c r="O82" t="str">
        <f t="shared" si="6"/>
        <v>copy localization\hint_gluttony.png E:\software\MediaInfo(获取media属性)\localization\hint_gluttony.png</v>
      </c>
      <c r="P82" t="s">
        <v>2651</v>
      </c>
    </row>
    <row r="83" spans="5:16">
      <c r="E83">
        <v>1807</v>
      </c>
      <c r="J83" s="9" t="s">
        <v>2863</v>
      </c>
      <c r="K83" s="9">
        <v>73</v>
      </c>
      <c r="L83" s="9">
        <v>13</v>
      </c>
      <c r="M83" s="9">
        <f t="shared" si="4"/>
        <v>18.25</v>
      </c>
      <c r="N83" s="9">
        <f t="shared" si="5"/>
        <v>3.25</v>
      </c>
      <c r="O83" t="str">
        <f t="shared" si="6"/>
        <v>copy localization\hint_goldenkeybuy.png E:\software\MediaInfo(获取media属性)\localization\hint_goldenkeybuy.png</v>
      </c>
      <c r="P83" t="s">
        <v>2651</v>
      </c>
    </row>
    <row r="84" spans="5:16">
      <c r="E84">
        <v>1808</v>
      </c>
      <c r="J84" s="9" t="s">
        <v>2861</v>
      </c>
      <c r="K84" s="9">
        <v>73</v>
      </c>
      <c r="L84" s="9">
        <v>13</v>
      </c>
      <c r="M84" s="9">
        <f t="shared" si="4"/>
        <v>18.25</v>
      </c>
      <c r="N84" s="9">
        <f t="shared" si="5"/>
        <v>3.25</v>
      </c>
      <c r="O84" t="str">
        <f t="shared" si="6"/>
        <v>copy localization\hint_goldenkeydig.png E:\software\MediaInfo(获取media属性)\localization\hint_goldenkeydig.png</v>
      </c>
      <c r="P84" t="s">
        <v>2651</v>
      </c>
    </row>
    <row r="85" spans="5:16">
      <c r="E85">
        <v>1809</v>
      </c>
      <c r="J85" s="9" t="s">
        <v>2930</v>
      </c>
      <c r="K85" s="9">
        <v>37</v>
      </c>
      <c r="L85" s="9">
        <v>13</v>
      </c>
      <c r="M85" s="9">
        <f t="shared" si="4"/>
        <v>9.25</v>
      </c>
      <c r="N85" s="9">
        <f t="shared" si="5"/>
        <v>3.25</v>
      </c>
      <c r="O85" t="str">
        <f t="shared" si="6"/>
        <v>copy localization\hint_greaterfireball.png E:\software\MediaInfo(获取media属性)\localization\hint_greaterfireball.png</v>
      </c>
      <c r="P85" t="s">
        <v>2651</v>
      </c>
    </row>
    <row r="86" spans="5:16">
      <c r="E86">
        <v>1810</v>
      </c>
      <c r="J86" s="9" t="s">
        <v>2932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localization\hint_greaterfreeze.png E:\software\MediaInfo(获取media属性)\localization\hint_greaterfreeze.png</v>
      </c>
      <c r="P86" t="s">
        <v>2651</v>
      </c>
    </row>
    <row r="87" spans="5:16">
      <c r="E87">
        <v>1811</v>
      </c>
      <c r="J87" s="9" t="s">
        <v>2937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localization\hint_greatershield.png E:\software\MediaInfo(获取media属性)\localization\hint_greatershield.png</v>
      </c>
      <c r="P87" t="s">
        <v>2651</v>
      </c>
    </row>
    <row r="88" spans="5:16">
      <c r="E88">
        <v>1901</v>
      </c>
      <c r="J88" s="9" t="s">
        <v>2923</v>
      </c>
      <c r="K88" s="9">
        <v>49</v>
      </c>
      <c r="L88" s="9">
        <v>13</v>
      </c>
      <c r="M88" s="9">
        <f t="shared" si="4"/>
        <v>12.25</v>
      </c>
      <c r="N88" s="9">
        <f t="shared" si="5"/>
        <v>3.25</v>
      </c>
      <c r="O88" t="str">
        <f t="shared" si="6"/>
        <v>copy localization\hint_greatertransmute.png E:\software\MediaInfo(获取media属性)\localization\hint_greatertransmute.png</v>
      </c>
      <c r="P88" t="s">
        <v>2651</v>
      </c>
    </row>
    <row r="89" spans="5:16">
      <c r="E89">
        <v>1902</v>
      </c>
      <c r="J89" s="9" t="s">
        <v>2934</v>
      </c>
      <c r="K89" s="9">
        <v>37</v>
      </c>
      <c r="L89" s="9">
        <v>13</v>
      </c>
      <c r="M89" s="9">
        <f t="shared" si="4"/>
        <v>9.25</v>
      </c>
      <c r="N89" s="9">
        <f t="shared" si="5"/>
        <v>3.25</v>
      </c>
      <c r="O89" t="str">
        <f t="shared" si="6"/>
        <v>copy localization\hint_heal.png E:\software\MediaInfo(获取media属性)\localization\hint_heal.png</v>
      </c>
      <c r="P89" t="s">
        <v>2651</v>
      </c>
    </row>
    <row r="90" spans="5:16">
      <c r="E90">
        <v>1903</v>
      </c>
      <c r="J90" s="9" t="s">
        <v>2859</v>
      </c>
      <c r="K90" s="9">
        <v>37</v>
      </c>
      <c r="L90" s="9">
        <v>13</v>
      </c>
      <c r="M90" s="9">
        <f t="shared" si="4"/>
        <v>9.25</v>
      </c>
      <c r="N90" s="9">
        <f t="shared" si="5"/>
        <v>3.25</v>
      </c>
      <c r="O90" t="str">
        <f t="shared" si="6"/>
        <v>copy localization\hint_helpme.png E:\software\MediaInfo(获取media属性)\localization\hint_helpme.png</v>
      </c>
      <c r="P90" t="s">
        <v>2651</v>
      </c>
    </row>
    <row r="91" spans="5:16">
      <c r="E91">
        <v>1904</v>
      </c>
      <c r="J91" s="9" t="s">
        <v>2858</v>
      </c>
      <c r="K91" s="9">
        <v>37</v>
      </c>
      <c r="L91" s="9">
        <v>13</v>
      </c>
      <c r="M91" s="9">
        <f t="shared" si="4"/>
        <v>9.25</v>
      </c>
      <c r="N91" s="9">
        <f t="shared" si="5"/>
        <v>3.25</v>
      </c>
      <c r="O91" t="str">
        <f t="shared" si="6"/>
        <v>copy localization\hint_immune.png E:\software\MediaInfo(获取media属性)\localization\hint_immune.png</v>
      </c>
      <c r="P91" t="s">
        <v>2651</v>
      </c>
    </row>
    <row r="92" spans="5:16">
      <c r="E92">
        <v>1905</v>
      </c>
      <c r="J92" s="9" t="s">
        <v>2896</v>
      </c>
      <c r="K92" s="9">
        <v>49</v>
      </c>
      <c r="L92" s="9">
        <v>13</v>
      </c>
      <c r="M92" s="9">
        <f t="shared" si="4"/>
        <v>12.25</v>
      </c>
      <c r="N92" s="9">
        <f t="shared" si="5"/>
        <v>3.25</v>
      </c>
      <c r="O92" t="str">
        <f t="shared" si="6"/>
        <v>copy localization\hint_infernalfire.png E:\software\MediaInfo(获取media属性)\localization\hint_infernalfire.png</v>
      </c>
      <c r="P92" t="s">
        <v>2651</v>
      </c>
    </row>
    <row r="93" spans="5:16">
      <c r="E93">
        <v>1906</v>
      </c>
      <c r="J93" s="9" t="s">
        <v>2849</v>
      </c>
      <c r="K93" s="9">
        <v>37</v>
      </c>
      <c r="L93" s="9">
        <v>13</v>
      </c>
      <c r="M93" s="9">
        <f t="shared" si="4"/>
        <v>9.25</v>
      </c>
      <c r="N93" s="9">
        <f t="shared" si="5"/>
        <v>3.25</v>
      </c>
      <c r="O93" t="str">
        <f t="shared" si="6"/>
        <v>copy localization\hint_invincible.png E:\software\MediaInfo(获取media属性)\localization\hint_invincible.png</v>
      </c>
      <c r="P93" t="s">
        <v>2651</v>
      </c>
    </row>
    <row r="94" spans="5:16">
      <c r="E94">
        <v>1907</v>
      </c>
      <c r="J94" s="9" t="s">
        <v>2854</v>
      </c>
      <c r="K94" s="9">
        <v>109</v>
      </c>
      <c r="L94" s="9">
        <v>13</v>
      </c>
      <c r="M94" s="9">
        <f t="shared" si="4"/>
        <v>27.25</v>
      </c>
      <c r="N94" s="9">
        <f t="shared" si="5"/>
        <v>3.25</v>
      </c>
      <c r="O94" t="str">
        <f t="shared" si="6"/>
        <v>copy localization\hint_invinciblenecrodancer1.png E:\software\MediaInfo(获取media属性)\localization\hint_invinciblenecrodancer1.png</v>
      </c>
      <c r="P94" t="s">
        <v>2651</v>
      </c>
    </row>
    <row r="95" spans="5:16">
      <c r="E95">
        <v>2001</v>
      </c>
      <c r="J95" s="9" t="s">
        <v>2855</v>
      </c>
      <c r="K95" s="9">
        <v>37</v>
      </c>
      <c r="L95" s="9">
        <v>13</v>
      </c>
      <c r="M95" s="9">
        <f t="shared" si="4"/>
        <v>9.25</v>
      </c>
      <c r="N95" s="9">
        <f t="shared" si="5"/>
        <v>3.25</v>
      </c>
      <c r="O95" t="str">
        <f t="shared" si="6"/>
        <v>copy localization\hint_invinciblenecrodancer2.png E:\software\MediaInfo(获取media属性)\localization\hint_invinciblenecrodancer2.png</v>
      </c>
      <c r="P95" t="s">
        <v>2651</v>
      </c>
    </row>
    <row r="96" spans="5:16">
      <c r="E96">
        <v>2002</v>
      </c>
      <c r="J96" s="9" t="s">
        <v>2897</v>
      </c>
      <c r="K96" s="9">
        <v>25</v>
      </c>
      <c r="L96" s="9">
        <v>13</v>
      </c>
      <c r="M96" s="9">
        <f t="shared" si="4"/>
        <v>6.25</v>
      </c>
      <c r="N96" s="9">
        <f t="shared" si="5"/>
        <v>3.25</v>
      </c>
      <c r="O96" t="str">
        <f t="shared" si="6"/>
        <v>copy localization\hint_lunge.png E:\software\MediaInfo(获取media属性)\localization\hint_lunge.png</v>
      </c>
      <c r="P96" t="s">
        <v>2651</v>
      </c>
    </row>
    <row r="97" spans="5:16">
      <c r="E97">
        <v>2003</v>
      </c>
      <c r="J97" s="9" t="s">
        <v>2845</v>
      </c>
      <c r="K97" s="9">
        <v>85</v>
      </c>
      <c r="L97" s="9">
        <v>13</v>
      </c>
      <c r="M97" s="9">
        <f t="shared" si="4"/>
        <v>21.25</v>
      </c>
      <c r="N97" s="9">
        <f t="shared" si="5"/>
        <v>3.25</v>
      </c>
      <c r="O97" t="str">
        <f t="shared" si="6"/>
        <v>copy localization\hint_melodyonly.png E:\software\MediaInfo(获取media属性)\localization\hint_melodyonly.png</v>
      </c>
      <c r="P97" t="s">
        <v>2651</v>
      </c>
    </row>
    <row r="98" spans="5:16">
      <c r="E98">
        <v>2004</v>
      </c>
      <c r="J98" s="9" t="s">
        <v>2884</v>
      </c>
      <c r="K98" s="9">
        <v>25</v>
      </c>
      <c r="L98" s="9">
        <v>13</v>
      </c>
      <c r="M98" s="9">
        <f t="shared" si="4"/>
        <v>6.25</v>
      </c>
      <c r="N98" s="9">
        <f t="shared" si="5"/>
        <v>3.25</v>
      </c>
      <c r="O98" t="str">
        <f t="shared" si="6"/>
        <v>copy localization\hint_need.png E:\software\MediaInfo(获取media属性)\localization\hint_need.png</v>
      </c>
      <c r="P98" t="s">
        <v>2651</v>
      </c>
    </row>
    <row r="99" spans="5:16">
      <c r="E99">
        <v>2005</v>
      </c>
      <c r="J99" s="9" t="s">
        <v>2940</v>
      </c>
      <c r="K99" s="9">
        <v>25</v>
      </c>
      <c r="L99" s="9">
        <v>13</v>
      </c>
      <c r="M99" s="9">
        <f t="shared" si="4"/>
        <v>6.25</v>
      </c>
      <c r="N99" s="9">
        <f t="shared" si="5"/>
        <v>3.25</v>
      </c>
      <c r="O99" t="str">
        <f t="shared" si="6"/>
        <v>copy localization\hint_need2.png E:\software\MediaInfo(获取media属性)\localization\hint_need2.png</v>
      </c>
      <c r="P99" t="s">
        <v>2651</v>
      </c>
    </row>
    <row r="100" spans="5:16">
      <c r="E100">
        <v>2006</v>
      </c>
      <c r="J100" s="9" t="s">
        <v>2894</v>
      </c>
      <c r="K100" s="9">
        <v>73</v>
      </c>
      <c r="L100" s="9">
        <v>13</v>
      </c>
      <c r="M100" s="9">
        <f t="shared" si="4"/>
        <v>18.25</v>
      </c>
      <c r="N100" s="9">
        <f t="shared" si="5"/>
        <v>3.25</v>
      </c>
      <c r="O100" t="str">
        <f t="shared" si="6"/>
        <v>copy localization\hint_needglasskey.png E:\software\MediaInfo(获取media属性)\localization\hint_needglasskey.png</v>
      </c>
      <c r="P100" t="s">
        <v>2651</v>
      </c>
    </row>
    <row r="101" spans="5:16">
      <c r="E101">
        <v>2007</v>
      </c>
      <c r="J101" s="9" t="s">
        <v>2895</v>
      </c>
      <c r="K101" s="9">
        <v>61</v>
      </c>
      <c r="L101" s="9">
        <v>13</v>
      </c>
      <c r="M101" s="9">
        <f t="shared" si="4"/>
        <v>15.25</v>
      </c>
      <c r="N101" s="9">
        <f t="shared" si="5"/>
        <v>3.25</v>
      </c>
      <c r="O101" t="str">
        <f t="shared" si="6"/>
        <v>copy localization\hint_needgoldkey.png E:\software\MediaInfo(获取media属性)\localization\hint_needgoldkey.png</v>
      </c>
      <c r="P101" t="s">
        <v>2651</v>
      </c>
    </row>
    <row r="102" spans="5:16">
      <c r="E102">
        <v>2008</v>
      </c>
      <c r="J102" s="9" t="s">
        <v>2883</v>
      </c>
      <c r="K102" s="9">
        <v>121</v>
      </c>
      <c r="L102" s="9">
        <v>13</v>
      </c>
      <c r="M102" s="9">
        <f t="shared" si="4"/>
        <v>30.25</v>
      </c>
      <c r="N102" s="9">
        <f t="shared" si="5"/>
        <v>3.25</v>
      </c>
      <c r="O102" t="str">
        <f t="shared" si="6"/>
        <v>copy localization\hint_noitem1.png E:\software\MediaInfo(获取media属性)\localization\hint_noitem1.png</v>
      </c>
      <c r="P102" t="s">
        <v>2651</v>
      </c>
    </row>
    <row r="103" spans="5:16">
      <c r="E103">
        <v>2009</v>
      </c>
      <c r="J103" s="9" t="s">
        <v>2889</v>
      </c>
      <c r="K103" s="9">
        <v>145</v>
      </c>
      <c r="L103" s="9">
        <v>13</v>
      </c>
      <c r="M103" s="9">
        <f t="shared" si="4"/>
        <v>36.25</v>
      </c>
      <c r="N103" s="9">
        <f t="shared" si="5"/>
        <v>3.25</v>
      </c>
      <c r="O103" t="str">
        <f t="shared" si="6"/>
        <v>copy localization\hint_noitem2.png E:\software\MediaInfo(获取media属性)\localization\hint_noitem2.png</v>
      </c>
      <c r="P103" t="s">
        <v>2651</v>
      </c>
    </row>
    <row r="104" spans="5:16">
      <c r="E104">
        <v>2010</v>
      </c>
      <c r="J104" s="9" t="s">
        <v>2860</v>
      </c>
      <c r="K104" s="9">
        <v>49</v>
      </c>
      <c r="L104" s="9">
        <v>13</v>
      </c>
      <c r="M104" s="9">
        <f t="shared" si="4"/>
        <v>12.25</v>
      </c>
      <c r="N104" s="9">
        <f t="shared" si="5"/>
        <v>3.25</v>
      </c>
      <c r="O104" t="str">
        <f t="shared" si="6"/>
        <v>copy localization\hint_npcsaved1.png E:\software\MediaInfo(获取media属性)\localization\hint_npcsaved1.png</v>
      </c>
      <c r="P104" t="s">
        <v>2651</v>
      </c>
    </row>
    <row r="105" spans="5:16">
      <c r="E105">
        <v>2011</v>
      </c>
      <c r="J105" s="9" t="s">
        <v>2864</v>
      </c>
      <c r="K105" s="9">
        <v>37</v>
      </c>
      <c r="L105" s="9">
        <v>13</v>
      </c>
      <c r="M105" s="9">
        <f t="shared" si="4"/>
        <v>9.25</v>
      </c>
      <c r="N105" s="9">
        <f t="shared" si="5"/>
        <v>3.25</v>
      </c>
      <c r="O105" t="str">
        <f t="shared" si="6"/>
        <v>copy localization\hint_npcsaved2.png E:\software\MediaInfo(获取media属性)\localization\hint_npcsaved2.png</v>
      </c>
      <c r="P105" t="s">
        <v>2651</v>
      </c>
    </row>
    <row r="106" spans="5:16">
      <c r="E106">
        <v>2012</v>
      </c>
      <c r="J106" s="9" t="s">
        <v>2916</v>
      </c>
      <c r="K106" s="9">
        <v>61</v>
      </c>
      <c r="L106" s="9">
        <v>13</v>
      </c>
      <c r="M106" s="9">
        <f t="shared" si="4"/>
        <v>15.25</v>
      </c>
      <c r="N106" s="9">
        <f t="shared" si="5"/>
        <v>3.25</v>
      </c>
      <c r="O106" t="str">
        <f t="shared" si="6"/>
        <v>copy localization\hint_oldweaponholstered.png E:\software\MediaInfo(获取media属性)\localization\hint_oldweaponholstered.png</v>
      </c>
      <c r="P106" t="s">
        <v>2651</v>
      </c>
    </row>
    <row r="107" spans="5:16">
      <c r="E107">
        <v>2013</v>
      </c>
      <c r="J107" s="9" t="s">
        <v>2898</v>
      </c>
      <c r="K107" s="9">
        <v>25</v>
      </c>
      <c r="L107" s="9">
        <v>13</v>
      </c>
      <c r="M107" s="9">
        <f t="shared" si="4"/>
        <v>6.25</v>
      </c>
      <c r="N107" s="9">
        <f t="shared" si="5"/>
        <v>3.25</v>
      </c>
      <c r="O107" t="str">
        <f t="shared" si="6"/>
        <v>copy localization\hint_pain.png E:\software\MediaInfo(获取media属性)\localization\hint_pain.png</v>
      </c>
      <c r="P107" t="s">
        <v>2651</v>
      </c>
    </row>
    <row r="108" spans="5:16">
      <c r="E108">
        <v>2014</v>
      </c>
      <c r="J108" s="9" t="s">
        <v>2851</v>
      </c>
      <c r="K108" s="9">
        <v>37</v>
      </c>
      <c r="L108" s="9">
        <v>13</v>
      </c>
      <c r="M108" s="9">
        <f t="shared" si="4"/>
        <v>9.25</v>
      </c>
      <c r="N108" s="9">
        <f t="shared" si="5"/>
        <v>3.25</v>
      </c>
      <c r="O108" t="str">
        <f t="shared" si="6"/>
        <v>copy localization\hint_parried.png E:\software\MediaInfo(获取media属性)\localization\hint_parried.png</v>
      </c>
      <c r="P108" t="s">
        <v>2651</v>
      </c>
    </row>
    <row r="109" spans="5:16">
      <c r="E109">
        <v>2015</v>
      </c>
      <c r="J109" s="9" t="s">
        <v>2900</v>
      </c>
      <c r="K109" s="9">
        <v>49</v>
      </c>
      <c r="L109" s="9">
        <v>13</v>
      </c>
      <c r="M109" s="9">
        <f t="shared" si="4"/>
        <v>12.25</v>
      </c>
      <c r="N109" s="9">
        <f t="shared" si="5"/>
        <v>3.25</v>
      </c>
      <c r="O109" t="str">
        <f t="shared" si="6"/>
        <v>copy localization\hint_potion.png E:\software\MediaInfo(获取media属性)\localization\hint_potion.png</v>
      </c>
      <c r="P109" t="s">
        <v>2651</v>
      </c>
    </row>
    <row r="110" spans="5:16">
      <c r="E110">
        <v>2016</v>
      </c>
      <c r="J110" s="9" t="s">
        <v>2907</v>
      </c>
      <c r="K110" s="9">
        <v>25</v>
      </c>
      <c r="L110" s="9">
        <v>13</v>
      </c>
      <c r="M110" s="9">
        <f t="shared" si="4"/>
        <v>6.25</v>
      </c>
      <c r="N110" s="9">
        <f t="shared" si="5"/>
        <v>3.25</v>
      </c>
      <c r="O110" t="str">
        <f t="shared" si="6"/>
        <v>copy localization\hint_protected.png E:\software\MediaInfo(获取media属性)\localization\hint_protected.png</v>
      </c>
      <c r="P110" t="s">
        <v>2651</v>
      </c>
    </row>
    <row r="111" spans="5:16">
      <c r="E111">
        <v>2017</v>
      </c>
      <c r="J111" s="9" t="s">
        <v>2918</v>
      </c>
      <c r="K111" s="9">
        <v>25</v>
      </c>
      <c r="L111" s="9">
        <v>13</v>
      </c>
      <c r="M111" s="9">
        <f t="shared" si="4"/>
        <v>6.25</v>
      </c>
      <c r="N111" s="9">
        <f t="shared" si="5"/>
        <v>3.25</v>
      </c>
      <c r="O111" t="str">
        <f t="shared" si="6"/>
        <v>copy localization\hint_purchased.png E:\software\MediaInfo(获取media属性)\localization\hint_purchased.png</v>
      </c>
      <c r="P111" t="s">
        <v>2651</v>
      </c>
    </row>
    <row r="112" spans="5:16">
      <c r="E112">
        <v>2018</v>
      </c>
      <c r="J112" s="9" t="s">
        <v>2915</v>
      </c>
      <c r="K112" s="9">
        <v>49</v>
      </c>
      <c r="L112" s="9">
        <v>13</v>
      </c>
      <c r="M112" s="9">
        <f t="shared" si="4"/>
        <v>12.25</v>
      </c>
      <c r="N112" s="9">
        <f t="shared" si="5"/>
        <v>3.25</v>
      </c>
      <c r="O112" t="str">
        <f t="shared" si="6"/>
        <v>copy localization\hint_quaffedpotion.png E:\software\MediaInfo(获取media属性)\localization\hint_quaffedpotion.png</v>
      </c>
      <c r="P112" t="s">
        <v>2651</v>
      </c>
    </row>
    <row r="113" spans="5:16">
      <c r="E113">
        <v>2019</v>
      </c>
      <c r="J113" s="9" t="s">
        <v>2921</v>
      </c>
      <c r="K113" s="9">
        <v>25</v>
      </c>
      <c r="L113" s="9">
        <v>13</v>
      </c>
      <c r="M113" s="9">
        <f t="shared" si="4"/>
        <v>6.25</v>
      </c>
      <c r="N113" s="9">
        <f t="shared" si="5"/>
        <v>3.25</v>
      </c>
      <c r="O113" t="str">
        <f t="shared" si="6"/>
        <v>copy localization\hint_quake.png E:\software\MediaInfo(获取media属性)\localization\hint_quake.png</v>
      </c>
      <c r="P113" t="s">
        <v>2651</v>
      </c>
    </row>
    <row r="114" spans="5:16">
      <c r="E114">
        <v>2020</v>
      </c>
      <c r="J114" s="9" t="s">
        <v>2909</v>
      </c>
      <c r="K114" s="9">
        <v>49</v>
      </c>
      <c r="L114" s="9">
        <v>13</v>
      </c>
      <c r="M114" s="9">
        <f t="shared" si="4"/>
        <v>12.25</v>
      </c>
      <c r="N114" s="9">
        <f t="shared" si="5"/>
        <v>3.25</v>
      </c>
      <c r="O114" t="str">
        <f t="shared" si="6"/>
        <v>copy localization\hint_ringshattered.png E:\software\MediaInfo(获取media属性)\localization\hint_ringshattered.png</v>
      </c>
      <c r="P114" t="s">
        <v>2651</v>
      </c>
    </row>
    <row r="115" spans="5:16">
      <c r="E115">
        <v>2050</v>
      </c>
      <c r="J115" s="9" t="s">
        <v>2938</v>
      </c>
      <c r="K115" s="9">
        <v>37</v>
      </c>
      <c r="L115" s="9">
        <v>13</v>
      </c>
      <c r="M115" s="9">
        <f t="shared" si="4"/>
        <v>9.25</v>
      </c>
      <c r="N115" s="9">
        <f t="shared" si="5"/>
        <v>3.25</v>
      </c>
      <c r="O115" t="str">
        <f t="shared" si="6"/>
        <v>copy localization\hint_shield.png E:\software\MediaInfo(获取media属性)\localization\hint_shield.png</v>
      </c>
      <c r="P115" t="s">
        <v>2651</v>
      </c>
    </row>
    <row r="116" spans="5:16">
      <c r="E116">
        <v>2051</v>
      </c>
      <c r="J116" s="9" t="s">
        <v>2850</v>
      </c>
      <c r="K116" s="9">
        <v>73</v>
      </c>
      <c r="L116" s="9">
        <v>13</v>
      </c>
      <c r="M116" s="9">
        <f t="shared" si="4"/>
        <v>18.25</v>
      </c>
      <c r="N116" s="9">
        <f t="shared" si="5"/>
        <v>3.25</v>
      </c>
      <c r="O116" t="str">
        <f t="shared" si="6"/>
        <v>copy localization\hint_shieldblock.png E:\software\MediaInfo(获取media属性)\localization\hint_shieldblock.png</v>
      </c>
      <c r="P116" t="s">
        <v>2651</v>
      </c>
    </row>
    <row r="117" spans="5:16">
      <c r="E117">
        <v>2052</v>
      </c>
      <c r="J117" s="9" t="s">
        <v>2908</v>
      </c>
      <c r="K117" s="9">
        <v>25</v>
      </c>
      <c r="L117" s="9">
        <v>13</v>
      </c>
      <c r="M117" s="9">
        <f t="shared" si="4"/>
        <v>6.25</v>
      </c>
      <c r="N117" s="9">
        <f t="shared" si="5"/>
        <v>3.25</v>
      </c>
      <c r="O117" t="str">
        <f t="shared" si="6"/>
        <v>copy localization\hint_shielded.png E:\software\MediaInfo(获取media属性)\localization\hint_shielded.png</v>
      </c>
      <c r="P117" t="s">
        <v>2651</v>
      </c>
    </row>
    <row r="118" spans="5:16">
      <c r="E118">
        <v>2053</v>
      </c>
      <c r="J118" s="9" t="s">
        <v>2865</v>
      </c>
      <c r="K118" s="9">
        <v>49</v>
      </c>
      <c r="L118" s="9">
        <v>13</v>
      </c>
      <c r="M118" s="9">
        <f t="shared" si="4"/>
        <v>12.25</v>
      </c>
      <c r="N118" s="9">
        <f t="shared" si="5"/>
        <v>3.25</v>
      </c>
      <c r="O118" t="str">
        <f t="shared" si="6"/>
        <v>copy localization\hint_shrineofblood1.png E:\software\MediaInfo(获取media属性)\localization\hint_shrineofblood1.png</v>
      </c>
      <c r="P118" t="s">
        <v>2651</v>
      </c>
    </row>
    <row r="119" spans="5:16">
      <c r="E119">
        <v>2054</v>
      </c>
      <c r="J119" s="9" t="s">
        <v>2942</v>
      </c>
      <c r="K119" s="9">
        <v>181</v>
      </c>
      <c r="L119" s="9">
        <v>13</v>
      </c>
      <c r="M119" s="9">
        <f t="shared" si="4"/>
        <v>45.25</v>
      </c>
      <c r="N119" s="9">
        <f t="shared" si="5"/>
        <v>3.25</v>
      </c>
      <c r="O119" t="str">
        <f t="shared" si="6"/>
        <v>copy localization\hint_shrineofblood2.png E:\software\MediaInfo(获取media属性)\localization\hint_shrineofblood2.png</v>
      </c>
      <c r="P119" t="s">
        <v>2651</v>
      </c>
    </row>
    <row r="120" spans="5:16">
      <c r="E120">
        <v>2055</v>
      </c>
      <c r="J120" s="9" t="s">
        <v>2877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localization\hint_shrineofchance1.png E:\software\MediaInfo(获取media属性)\localization\hint_shrineofchance1.png</v>
      </c>
      <c r="P120" t="s">
        <v>2651</v>
      </c>
    </row>
    <row r="121" spans="5:16">
      <c r="E121">
        <v>2056</v>
      </c>
      <c r="J121" s="9" t="s">
        <v>2954</v>
      </c>
      <c r="K121" s="9">
        <v>133</v>
      </c>
      <c r="L121" s="9">
        <v>13</v>
      </c>
      <c r="M121" s="9">
        <f t="shared" si="4"/>
        <v>33.25</v>
      </c>
      <c r="N121" s="9">
        <f t="shared" si="5"/>
        <v>3.25</v>
      </c>
      <c r="O121" t="str">
        <f t="shared" si="6"/>
        <v>copy localization\hint_shrineofchance2.png E:\software\MediaInfo(获取media属性)\localization\hint_shrineofchance2.png</v>
      </c>
      <c r="P121" t="s">
        <v>2651</v>
      </c>
    </row>
    <row r="122" spans="5:16">
      <c r="E122">
        <v>2057</v>
      </c>
      <c r="J122" s="9" t="s">
        <v>2866</v>
      </c>
      <c r="K122" s="9">
        <v>49</v>
      </c>
      <c r="L122" s="9">
        <v>13</v>
      </c>
      <c r="M122" s="9">
        <f t="shared" si="4"/>
        <v>12.25</v>
      </c>
      <c r="N122" s="9">
        <f t="shared" si="5"/>
        <v>3.25</v>
      </c>
      <c r="O122" t="str">
        <f t="shared" si="6"/>
        <v>copy localization\hint_shrineofdarkness1.png E:\software\MediaInfo(获取media属性)\localization\hint_shrineofdarkness1.png</v>
      </c>
      <c r="P122" t="s">
        <v>2651</v>
      </c>
    </row>
    <row r="123" spans="5:16">
      <c r="E123">
        <v>2058</v>
      </c>
      <c r="J123" s="9" t="s">
        <v>2943</v>
      </c>
      <c r="K123" s="9">
        <v>85</v>
      </c>
      <c r="L123" s="9">
        <v>13</v>
      </c>
      <c r="M123" s="9">
        <f t="shared" si="4"/>
        <v>21.25</v>
      </c>
      <c r="N123" s="9">
        <f t="shared" si="5"/>
        <v>3.25</v>
      </c>
      <c r="O123" t="str">
        <f t="shared" si="6"/>
        <v>copy localization\hint_shrineofdarkness2.png E:\software\MediaInfo(获取media属性)\localization\hint_shrineofdarkness2.png</v>
      </c>
      <c r="P123" t="s">
        <v>2651</v>
      </c>
    </row>
    <row r="124" spans="5:16">
      <c r="E124">
        <v>2059</v>
      </c>
      <c r="J124" s="9" t="s">
        <v>2867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localization\hint_shrineofglass1.png E:\software\MediaInfo(获取media属性)\localization\hint_shrineofglass1.png</v>
      </c>
      <c r="P124" t="s">
        <v>2651</v>
      </c>
    </row>
    <row r="125" spans="5:16">
      <c r="E125">
        <v>2060</v>
      </c>
      <c r="J125" s="9" t="s">
        <v>2944</v>
      </c>
      <c r="K125" s="9">
        <v>205</v>
      </c>
      <c r="L125" s="9">
        <v>13</v>
      </c>
      <c r="M125" s="9">
        <f t="shared" si="4"/>
        <v>51.25</v>
      </c>
      <c r="N125" s="9">
        <f t="shared" si="5"/>
        <v>3.25</v>
      </c>
      <c r="O125" t="str">
        <f t="shared" si="6"/>
        <v>copy localization\hint_shrineofglass2.png E:\software\MediaInfo(获取media属性)\localization\hint_shrineofglass2.png</v>
      </c>
      <c r="P125" t="s">
        <v>2651</v>
      </c>
    </row>
    <row r="126" spans="5:16">
      <c r="E126">
        <v>2101</v>
      </c>
      <c r="J126" s="9" t="s">
        <v>2874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localization\hint_shrineofnoreturn1.png E:\software\MediaInfo(获取media属性)\localization\hint_shrineofnoreturn1.png</v>
      </c>
      <c r="P126" t="s">
        <v>2651</v>
      </c>
    </row>
    <row r="127" spans="5:16">
      <c r="E127">
        <v>2102</v>
      </c>
      <c r="J127" s="9" t="s">
        <v>2951</v>
      </c>
      <c r="K127" s="9">
        <v>169</v>
      </c>
      <c r="L127" s="9">
        <v>13</v>
      </c>
      <c r="M127" s="9">
        <f t="shared" si="4"/>
        <v>42.25</v>
      </c>
      <c r="N127" s="9">
        <f t="shared" si="5"/>
        <v>3.25</v>
      </c>
      <c r="O127" t="str">
        <f t="shared" si="6"/>
        <v>copy localization\hint_shrineofnoreturn2.png E:\software\MediaInfo(获取media属性)\localization\hint_shrineofnoreturn2.png</v>
      </c>
      <c r="P127" t="s">
        <v>2651</v>
      </c>
    </row>
    <row r="128" spans="5:16">
      <c r="E128">
        <v>2103</v>
      </c>
      <c r="J128" s="9" t="s">
        <v>2876</v>
      </c>
      <c r="K128" s="9">
        <v>49</v>
      </c>
      <c r="L128" s="9">
        <v>13</v>
      </c>
      <c r="M128" s="9">
        <f t="shared" si="4"/>
        <v>12.25</v>
      </c>
      <c r="N128" s="9">
        <f t="shared" si="5"/>
        <v>3.25</v>
      </c>
      <c r="O128" t="str">
        <f t="shared" si="6"/>
        <v>copy localization\hint_shrineofpace1.png E:\software\MediaInfo(获取media属性)\localization\hint_shrineofpace1.png</v>
      </c>
      <c r="P128" t="s">
        <v>2651</v>
      </c>
    </row>
    <row r="129" spans="5:16">
      <c r="E129">
        <v>2104</v>
      </c>
      <c r="J129" s="9" t="s">
        <v>2953</v>
      </c>
      <c r="K129" s="9">
        <v>109</v>
      </c>
      <c r="L129" s="9">
        <v>13</v>
      </c>
      <c r="M129" s="9">
        <f t="shared" si="4"/>
        <v>27.25</v>
      </c>
      <c r="N129" s="9">
        <f t="shared" si="5"/>
        <v>3.25</v>
      </c>
      <c r="O129" t="str">
        <f t="shared" si="6"/>
        <v>copy localization\hint_shrineofpace2.png E:\software\MediaInfo(获取media属性)\localization\hint_shrineofpace2.png</v>
      </c>
      <c r="P129" t="s">
        <v>2651</v>
      </c>
    </row>
    <row r="130" spans="5:16">
      <c r="E130">
        <v>2105</v>
      </c>
      <c r="J130" s="9" t="s">
        <v>2868</v>
      </c>
      <c r="K130" s="9">
        <v>49</v>
      </c>
      <c r="L130" s="9">
        <v>13</v>
      </c>
      <c r="M130" s="9">
        <f t="shared" si="4"/>
        <v>12.25</v>
      </c>
      <c r="N130" s="9">
        <f t="shared" si="5"/>
        <v>3.25</v>
      </c>
      <c r="O130" t="str">
        <f t="shared" si="6"/>
        <v>copy localization\hint_shrineofpeace1.png E:\software\MediaInfo(获取media属性)\localization\hint_shrineofpeace1.png</v>
      </c>
      <c r="P130" t="s">
        <v>2651</v>
      </c>
    </row>
    <row r="131" spans="5:16">
      <c r="E131">
        <v>2106</v>
      </c>
      <c r="J131" s="9" t="s">
        <v>2945</v>
      </c>
      <c r="K131" s="9">
        <v>181</v>
      </c>
      <c r="L131" s="9">
        <v>13</v>
      </c>
      <c r="M131" s="9">
        <f t="shared" ref="M131:M194" si="7">0.25*K131</f>
        <v>45.25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localization\hint_shrineofpeace2.png E:\software\MediaInfo(获取media属性)\localization\hint_shrineofpeace2.png</v>
      </c>
      <c r="P131" t="s">
        <v>2651</v>
      </c>
    </row>
    <row r="132" spans="5:16">
      <c r="E132">
        <v>2107</v>
      </c>
      <c r="J132" s="9" t="s">
        <v>2875</v>
      </c>
      <c r="K132" s="9">
        <v>49</v>
      </c>
      <c r="L132" s="9">
        <v>13</v>
      </c>
      <c r="M132" s="9">
        <f t="shared" si="7"/>
        <v>12.25</v>
      </c>
      <c r="N132" s="9">
        <f t="shared" si="8"/>
        <v>3.25</v>
      </c>
      <c r="O132" t="str">
        <f t="shared" si="9"/>
        <v>copy localization\hint_shrineofphasing1.png E:\software\MediaInfo(获取media属性)\localization\hint_shrineofphasing1.png</v>
      </c>
      <c r="P132" t="s">
        <v>2651</v>
      </c>
    </row>
    <row r="133" spans="5:16">
      <c r="E133">
        <v>2108</v>
      </c>
      <c r="J133" s="9" t="s">
        <v>2952</v>
      </c>
      <c r="K133" s="9">
        <v>109</v>
      </c>
      <c r="L133" s="9">
        <v>13</v>
      </c>
      <c r="M133" s="9">
        <f t="shared" si="7"/>
        <v>27.25</v>
      </c>
      <c r="N133" s="9">
        <f t="shared" si="8"/>
        <v>3.25</v>
      </c>
      <c r="O133" t="str">
        <f t="shared" si="9"/>
        <v>copy localization\hint_shrineofphasing2.png E:\software\MediaInfo(获取media属性)\localization\hint_shrineofphasing2.png</v>
      </c>
      <c r="P133" t="s">
        <v>2651</v>
      </c>
    </row>
    <row r="134" spans="5:16">
      <c r="E134">
        <v>2109</v>
      </c>
      <c r="J134" s="9" t="s">
        <v>2869</v>
      </c>
      <c r="K134" s="9">
        <v>49</v>
      </c>
      <c r="L134" s="9">
        <v>13</v>
      </c>
      <c r="M134" s="9">
        <f t="shared" si="7"/>
        <v>12.25</v>
      </c>
      <c r="N134" s="9">
        <f t="shared" si="8"/>
        <v>3.25</v>
      </c>
      <c r="O134" t="str">
        <f t="shared" si="9"/>
        <v>copy localization\hint_shrineofrhythm1.png E:\software\MediaInfo(获取media属性)\localization\hint_shrineofrhythm1.png</v>
      </c>
      <c r="P134" t="s">
        <v>2651</v>
      </c>
    </row>
    <row r="135" spans="5:16">
      <c r="E135">
        <v>2110</v>
      </c>
      <c r="J135" s="9" t="s">
        <v>2946</v>
      </c>
      <c r="K135" s="9">
        <v>277</v>
      </c>
      <c r="L135" s="9">
        <v>13</v>
      </c>
      <c r="M135" s="9">
        <f t="shared" si="7"/>
        <v>69.25</v>
      </c>
      <c r="N135" s="9">
        <f t="shared" si="8"/>
        <v>3.25</v>
      </c>
      <c r="O135" t="str">
        <f t="shared" si="9"/>
        <v>copy localization\hint_shrineofrhythm2.png E:\software\MediaInfo(获取media属性)\localization\hint_shrineofrhythm2.png</v>
      </c>
      <c r="P135" t="s">
        <v>2651</v>
      </c>
    </row>
    <row r="136" spans="5:16">
      <c r="E136">
        <v>2111</v>
      </c>
      <c r="J136" s="9" t="s">
        <v>2870</v>
      </c>
      <c r="K136" s="9">
        <v>49</v>
      </c>
      <c r="L136" s="9">
        <v>13</v>
      </c>
      <c r="M136" s="9">
        <f t="shared" si="7"/>
        <v>12.25</v>
      </c>
      <c r="N136" s="9">
        <f t="shared" si="8"/>
        <v>3.25</v>
      </c>
      <c r="O136" t="str">
        <f t="shared" si="9"/>
        <v>copy localization\hint_shrineofrisk1.png E:\software\MediaInfo(获取media属性)\localization\hint_shrineofrisk1.png</v>
      </c>
      <c r="P136" t="s">
        <v>2651</v>
      </c>
    </row>
    <row r="137" spans="5:16">
      <c r="E137">
        <v>2151</v>
      </c>
      <c r="J137" s="9" t="s">
        <v>2947</v>
      </c>
      <c r="K137" s="9">
        <v>169</v>
      </c>
      <c r="L137" s="9">
        <v>13</v>
      </c>
      <c r="M137" s="9">
        <f t="shared" si="7"/>
        <v>42.25</v>
      </c>
      <c r="N137" s="9">
        <f t="shared" si="8"/>
        <v>3.25</v>
      </c>
      <c r="O137" t="str">
        <f t="shared" si="9"/>
        <v>copy localization\hint_shrineofrisk2.png E:\software\MediaInfo(获取media属性)\localization\hint_shrineofrisk2.png</v>
      </c>
      <c r="P137" t="s">
        <v>2651</v>
      </c>
    </row>
    <row r="138" spans="5:16">
      <c r="E138">
        <v>2152</v>
      </c>
      <c r="J138" s="9" t="s">
        <v>2871</v>
      </c>
      <c r="K138" s="9">
        <v>49</v>
      </c>
      <c r="L138" s="9">
        <v>13</v>
      </c>
      <c r="M138" s="9">
        <f t="shared" si="7"/>
        <v>12.25</v>
      </c>
      <c r="N138" s="9">
        <f t="shared" si="8"/>
        <v>3.25</v>
      </c>
      <c r="O138" t="str">
        <f t="shared" si="9"/>
        <v>copy localization\hint_shrineofsacrifice1.png E:\software\MediaInfo(获取media属性)\localization\hint_shrineofsacrifice1.png</v>
      </c>
      <c r="P138" t="s">
        <v>2651</v>
      </c>
    </row>
    <row r="139" spans="5:16">
      <c r="E139">
        <v>2201</v>
      </c>
      <c r="J139" s="9" t="s">
        <v>2948</v>
      </c>
      <c r="K139" s="9">
        <v>133</v>
      </c>
      <c r="L139" s="9">
        <v>13</v>
      </c>
      <c r="M139" s="9">
        <f t="shared" si="7"/>
        <v>33.25</v>
      </c>
      <c r="N139" s="9">
        <f t="shared" si="8"/>
        <v>3.25</v>
      </c>
      <c r="O139" t="str">
        <f t="shared" si="9"/>
        <v>copy localization\hint_shrineofsacrifice2.png E:\software\MediaInfo(获取media属性)\localization\hint_shrineofsacrifice2.png</v>
      </c>
      <c r="P139" t="s">
        <v>2651</v>
      </c>
    </row>
    <row r="140" spans="5:16">
      <c r="E140">
        <v>2202</v>
      </c>
      <c r="J140" s="9" t="s">
        <v>2872</v>
      </c>
      <c r="K140" s="9">
        <v>49</v>
      </c>
      <c r="L140" s="9">
        <v>13</v>
      </c>
      <c r="M140" s="9">
        <f t="shared" si="7"/>
        <v>12.25</v>
      </c>
      <c r="N140" s="9">
        <f t="shared" si="8"/>
        <v>3.25</v>
      </c>
      <c r="O140" t="str">
        <f t="shared" si="9"/>
        <v>copy localization\hint_shrineofspace1.png E:\software\MediaInfo(获取media属性)\localization\hint_shrineofspace1.png</v>
      </c>
      <c r="P140" t="s">
        <v>2651</v>
      </c>
    </row>
    <row r="141" spans="5:16">
      <c r="E141">
        <v>2203</v>
      </c>
      <c r="J141" s="9" t="s">
        <v>2949</v>
      </c>
      <c r="K141" s="9">
        <v>205</v>
      </c>
      <c r="L141" s="9">
        <v>13</v>
      </c>
      <c r="M141" s="9">
        <f t="shared" si="7"/>
        <v>51.25</v>
      </c>
      <c r="N141" s="9">
        <f t="shared" si="8"/>
        <v>3.25</v>
      </c>
      <c r="O141" t="str">
        <f t="shared" si="9"/>
        <v>copy localization\hint_shrineofspace2.png E:\software\MediaInfo(获取media属性)\localization\hint_shrineofspace2.png</v>
      </c>
      <c r="P141" t="s">
        <v>2651</v>
      </c>
    </row>
    <row r="142" spans="5:16">
      <c r="E142">
        <v>2204</v>
      </c>
      <c r="J142" s="9" t="s">
        <v>2873</v>
      </c>
      <c r="K142" s="9">
        <v>49</v>
      </c>
      <c r="L142" s="9">
        <v>13</v>
      </c>
      <c r="M142" s="9">
        <f t="shared" si="7"/>
        <v>12.25</v>
      </c>
      <c r="N142" s="9">
        <f t="shared" si="8"/>
        <v>3.25</v>
      </c>
      <c r="O142" t="str">
        <f t="shared" si="9"/>
        <v>copy localization\hint_shrineofwar1.png E:\software\MediaInfo(获取media属性)\localization\hint_shrineofwar1.png</v>
      </c>
      <c r="P142" t="s">
        <v>2651</v>
      </c>
    </row>
    <row r="143" spans="5:16">
      <c r="E143">
        <v>2205</v>
      </c>
      <c r="J143" s="9" t="s">
        <v>2950</v>
      </c>
      <c r="K143" s="9">
        <v>193</v>
      </c>
      <c r="L143" s="9">
        <v>13</v>
      </c>
      <c r="M143" s="9">
        <f t="shared" si="7"/>
        <v>48.25</v>
      </c>
      <c r="N143" s="9">
        <f t="shared" si="8"/>
        <v>3.25</v>
      </c>
      <c r="O143" t="str">
        <f t="shared" si="9"/>
        <v>copy localization\hint_shrineofwar2.png E:\software\MediaInfo(获取media属性)\localization\hint_shrineofwar2.png</v>
      </c>
      <c r="P143" t="s">
        <v>2651</v>
      </c>
    </row>
    <row r="144" spans="5:16">
      <c r="E144">
        <v>2206</v>
      </c>
      <c r="J144" s="9" t="s">
        <v>2904</v>
      </c>
      <c r="K144" s="9">
        <v>25</v>
      </c>
      <c r="L144" s="9">
        <v>13</v>
      </c>
      <c r="M144" s="9">
        <f t="shared" si="7"/>
        <v>6.25</v>
      </c>
      <c r="N144" s="9">
        <f t="shared" si="8"/>
        <v>3.25</v>
      </c>
      <c r="O144" t="str">
        <f t="shared" si="9"/>
        <v>copy localization\hint_shrunk.png E:\software\MediaInfo(获取media属性)\localization\hint_shrunk.png</v>
      </c>
      <c r="P144" t="s">
        <v>2651</v>
      </c>
    </row>
    <row r="145" spans="5:16">
      <c r="E145">
        <v>2207</v>
      </c>
      <c r="J145" s="9" t="s">
        <v>2903</v>
      </c>
      <c r="K145" s="9">
        <v>85</v>
      </c>
      <c r="L145" s="9">
        <v>13</v>
      </c>
      <c r="M145" s="9">
        <f t="shared" si="7"/>
        <v>21.25</v>
      </c>
      <c r="N145" s="9">
        <f t="shared" si="8"/>
        <v>3.25</v>
      </c>
      <c r="O145" t="str">
        <f t="shared" si="9"/>
        <v>copy localization\hint_sloth.png E:\software\MediaInfo(获取media属性)\localization\hint_sloth.png</v>
      </c>
      <c r="P145" t="s">
        <v>2651</v>
      </c>
    </row>
    <row r="146" spans="5:16">
      <c r="E146">
        <v>2209</v>
      </c>
      <c r="J146" s="9" t="s">
        <v>2887</v>
      </c>
      <c r="K146" s="9">
        <v>25</v>
      </c>
      <c r="L146" s="9">
        <v>13</v>
      </c>
      <c r="M146" s="9">
        <f t="shared" si="7"/>
        <v>6.25</v>
      </c>
      <c r="N146" s="9">
        <f t="shared" si="8"/>
        <v>3.25</v>
      </c>
      <c r="O146" t="str">
        <f t="shared" si="9"/>
        <v>copy localization\hint_success.png E:\software\MediaInfo(获取media属性)\localization\hint_success.png</v>
      </c>
      <c r="P146" t="s">
        <v>2651</v>
      </c>
    </row>
    <row r="147" spans="5:16">
      <c r="E147">
        <v>2210</v>
      </c>
      <c r="J147" s="9" t="s">
        <v>2856</v>
      </c>
      <c r="K147" s="9">
        <v>49</v>
      </c>
      <c r="L147" s="9">
        <v>13</v>
      </c>
      <c r="M147" s="9">
        <f t="shared" si="7"/>
        <v>12.25</v>
      </c>
      <c r="N147" s="9">
        <f t="shared" si="8"/>
        <v>3.25</v>
      </c>
      <c r="O147" t="str">
        <f t="shared" si="9"/>
        <v>copy localization\hint_teleported.png E:\software\MediaInfo(获取media属性)\localization\hint_teleported.png</v>
      </c>
      <c r="P147" t="s">
        <v>2651</v>
      </c>
    </row>
    <row r="148" spans="5:16">
      <c r="E148">
        <v>2211</v>
      </c>
      <c r="J148" s="9" t="s">
        <v>2881</v>
      </c>
      <c r="K148" s="9">
        <v>25</v>
      </c>
      <c r="L148" s="9">
        <v>13</v>
      </c>
      <c r="M148" s="9">
        <f t="shared" si="7"/>
        <v>6.25</v>
      </c>
      <c r="N148" s="9">
        <f t="shared" si="8"/>
        <v>3.25</v>
      </c>
      <c r="O148" t="str">
        <f t="shared" si="9"/>
        <v>copy localization\hint_tempotrapdown.png E:\software\MediaInfo(获取media属性)\localization\hint_tempotrapdown.png</v>
      </c>
      <c r="P148" t="s">
        <v>2651</v>
      </c>
    </row>
    <row r="149" spans="5:16">
      <c r="E149">
        <v>2212</v>
      </c>
      <c r="J149" s="9" t="s">
        <v>2880</v>
      </c>
      <c r="K149" s="9">
        <v>25</v>
      </c>
      <c r="L149" s="9">
        <v>13</v>
      </c>
      <c r="M149" s="9">
        <f t="shared" si="7"/>
        <v>6.25</v>
      </c>
      <c r="N149" s="9">
        <f t="shared" si="8"/>
        <v>3.25</v>
      </c>
      <c r="O149" t="str">
        <f t="shared" si="9"/>
        <v>copy localization\hint_tempotrapup.png E:\software\MediaInfo(获取media属性)\localization\hint_tempotrapup.png</v>
      </c>
      <c r="P149" t="s">
        <v>2651</v>
      </c>
    </row>
    <row r="150" spans="5:16">
      <c r="E150">
        <v>2213</v>
      </c>
      <c r="J150" s="9" t="s">
        <v>2913</v>
      </c>
      <c r="K150" s="9">
        <v>85</v>
      </c>
      <c r="L150" s="9">
        <v>13</v>
      </c>
      <c r="M150" s="9">
        <f t="shared" si="7"/>
        <v>21.25</v>
      </c>
      <c r="N150" s="9">
        <f t="shared" si="8"/>
        <v>3.25</v>
      </c>
      <c r="O150" t="str">
        <f t="shared" si="9"/>
        <v>copy localization\hint_thorn.png E:\software\MediaInfo(获取media属性)\localization\hint_thorn.png</v>
      </c>
      <c r="P150" t="s">
        <v>2651</v>
      </c>
    </row>
    <row r="151" spans="5:16">
      <c r="E151">
        <v>2214</v>
      </c>
      <c r="J151" s="9" t="s">
        <v>2886</v>
      </c>
      <c r="K151" s="9">
        <v>49</v>
      </c>
      <c r="L151" s="9">
        <v>13</v>
      </c>
      <c r="M151" s="9">
        <f t="shared" si="7"/>
        <v>12.25</v>
      </c>
      <c r="N151" s="9">
        <f t="shared" si="8"/>
        <v>3.25</v>
      </c>
      <c r="O151" t="str">
        <f t="shared" si="9"/>
        <v>copy localization\hint_transmogfail.png E:\software\MediaInfo(获取media属性)\localization\hint_transmogfail.png</v>
      </c>
      <c r="P151" t="s">
        <v>2651</v>
      </c>
    </row>
    <row r="152" spans="5:16">
      <c r="E152">
        <v>2215</v>
      </c>
      <c r="J152" s="9" t="s">
        <v>2924</v>
      </c>
      <c r="K152" s="9">
        <v>25</v>
      </c>
      <c r="L152" s="9">
        <v>13</v>
      </c>
      <c r="M152" s="9">
        <f t="shared" si="7"/>
        <v>6.25</v>
      </c>
      <c r="N152" s="9">
        <f t="shared" si="8"/>
        <v>3.25</v>
      </c>
      <c r="O152" t="str">
        <f t="shared" si="9"/>
        <v>copy localization\hint_transmute.png E:\software\MediaInfo(获取media属性)\localization\hint_transmute.png</v>
      </c>
      <c r="P152" t="s">
        <v>2651</v>
      </c>
    </row>
    <row r="153" spans="5:16">
      <c r="E153">
        <v>2217</v>
      </c>
      <c r="J153" s="9" t="s">
        <v>2842</v>
      </c>
      <c r="K153" s="9">
        <v>133</v>
      </c>
      <c r="L153" s="9">
        <v>13</v>
      </c>
      <c r="M153" s="9">
        <f t="shared" si="7"/>
        <v>33.25</v>
      </c>
      <c r="N153" s="9">
        <f t="shared" si="8"/>
        <v>3.25</v>
      </c>
      <c r="O153" t="str">
        <f t="shared" si="9"/>
        <v>copy localization\hint_unlockallchars.png E:\software\MediaInfo(获取media属性)\localization\hint_unlockallchars.png</v>
      </c>
      <c r="P153" t="s">
        <v>2651</v>
      </c>
    </row>
    <row r="154" spans="5:16">
      <c r="E154">
        <v>2218</v>
      </c>
      <c r="J154" s="9" t="s">
        <v>2919</v>
      </c>
      <c r="K154" s="9">
        <v>25</v>
      </c>
      <c r="L154" s="9">
        <v>13</v>
      </c>
      <c r="M154" s="9">
        <f t="shared" si="7"/>
        <v>6.25</v>
      </c>
      <c r="N154" s="9">
        <f t="shared" si="8"/>
        <v>3.25</v>
      </c>
      <c r="O154" t="str">
        <f t="shared" si="9"/>
        <v>copy localization\hint_unlocked.png E:\software\MediaInfo(获取media属性)\localization\hint_unlocked.png</v>
      </c>
      <c r="P154" t="s">
        <v>2651</v>
      </c>
    </row>
    <row r="155" spans="5:16">
      <c r="E155">
        <v>2219</v>
      </c>
      <c r="J155" s="9" t="s">
        <v>2852</v>
      </c>
      <c r="K155" s="9">
        <v>37</v>
      </c>
      <c r="L155" s="9">
        <v>13</v>
      </c>
      <c r="M155" s="9">
        <f t="shared" si="7"/>
        <v>9.25</v>
      </c>
      <c r="N155" s="9">
        <f t="shared" si="8"/>
        <v>3.25</v>
      </c>
      <c r="O155" t="str">
        <f t="shared" si="9"/>
        <v>copy localization\hint_windspell.png E:\software\MediaInfo(获取media属性)\localization\hint_windspell.png</v>
      </c>
      <c r="P155" t="s">
        <v>2651</v>
      </c>
    </row>
    <row r="156" spans="5:16">
      <c r="E156">
        <v>2239</v>
      </c>
      <c r="J156" s="9" t="s">
        <v>2708</v>
      </c>
      <c r="K156" s="9">
        <v>37</v>
      </c>
      <c r="L156" s="9">
        <v>13</v>
      </c>
      <c r="M156" s="9">
        <f t="shared" si="7"/>
        <v>9.25</v>
      </c>
      <c r="N156" s="9">
        <f t="shared" si="8"/>
        <v>3.25</v>
      </c>
      <c r="O156" t="str">
        <f t="shared" si="9"/>
        <v>copy localization\lobby_allzones.png E:\software\MediaInfo(获取media属性)\localization\lobby_allzones.png</v>
      </c>
      <c r="P156" t="s">
        <v>2651</v>
      </c>
    </row>
    <row r="157" spans="5:16">
      <c r="E157">
        <v>2301</v>
      </c>
      <c r="J157" s="9" t="s">
        <v>2712</v>
      </c>
      <c r="K157" s="9">
        <v>61</v>
      </c>
      <c r="L157" s="9">
        <v>13</v>
      </c>
      <c r="M157" s="9">
        <f t="shared" si="7"/>
        <v>15.25</v>
      </c>
      <c r="N157" s="9">
        <f t="shared" si="8"/>
        <v>3.25</v>
      </c>
      <c r="O157" t="str">
        <f t="shared" si="9"/>
        <v>copy localization\lobby_allzonesmode.png E:\software\MediaInfo(获取media属性)\localization\lobby_allzonesmode.png</v>
      </c>
      <c r="P157" t="s">
        <v>2651</v>
      </c>
    </row>
    <row r="158" spans="5:16">
      <c r="E158">
        <v>2302</v>
      </c>
      <c r="J158" s="9" t="s">
        <v>2768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localization\lobby_back.png E:\software\MediaInfo(获取media属性)\localization\lobby_back.png</v>
      </c>
      <c r="P158" t="s">
        <v>2651</v>
      </c>
    </row>
    <row r="159" spans="5:16">
      <c r="E159">
        <v>2303</v>
      </c>
      <c r="J159" s="9" t="s">
        <v>2727</v>
      </c>
      <c r="K159" s="9">
        <v>37</v>
      </c>
      <c r="L159" s="9">
        <v>13</v>
      </c>
      <c r="M159" s="9">
        <f t="shared" si="7"/>
        <v>9.25</v>
      </c>
      <c r="N159" s="9">
        <f t="shared" si="8"/>
        <v>3.25</v>
      </c>
      <c r="O159" t="str">
        <f t="shared" si="9"/>
        <v>copy localization\lobby_beastmaster.png E:\software\MediaInfo(获取media属性)\localization\lobby_beastmaster.png</v>
      </c>
      <c r="P159" t="s">
        <v>2651</v>
      </c>
    </row>
    <row r="160" spans="5:16">
      <c r="E160">
        <v>2304</v>
      </c>
      <c r="J160" s="9" t="s">
        <v>2798</v>
      </c>
      <c r="K160" s="9">
        <v>133</v>
      </c>
      <c r="L160" s="9">
        <v>13</v>
      </c>
      <c r="M160" s="9">
        <f t="shared" si="7"/>
        <v>33.25</v>
      </c>
      <c r="N160" s="9">
        <f t="shared" si="8"/>
        <v>3.25</v>
      </c>
      <c r="O160" t="str">
        <f t="shared" si="9"/>
        <v>copy localization\lobby_beastmasterexplain1.png E:\software\MediaInfo(获取media属性)\localization\lobby_beastmasterexplain1.png</v>
      </c>
      <c r="P160" t="s">
        <v>2651</v>
      </c>
    </row>
    <row r="161" spans="5:16">
      <c r="E161">
        <v>2305</v>
      </c>
      <c r="J161" s="9" t="s">
        <v>2767</v>
      </c>
      <c r="K161" s="9">
        <v>157</v>
      </c>
      <c r="L161" s="9">
        <v>13</v>
      </c>
      <c r="M161" s="9">
        <f t="shared" si="7"/>
        <v>39.25</v>
      </c>
      <c r="N161" s="9">
        <f t="shared" si="8"/>
        <v>3.25</v>
      </c>
      <c r="O161" t="str">
        <f t="shared" si="9"/>
        <v>copy localization\lobby_beastmasterexplain2.png E:\software\MediaInfo(获取media属性)\localization\lobby_beastmasterexplain2.png</v>
      </c>
      <c r="P161" t="s">
        <v>2651</v>
      </c>
    </row>
    <row r="162" spans="5:16">
      <c r="E162">
        <v>2306</v>
      </c>
      <c r="J162" s="9" t="s">
        <v>2745</v>
      </c>
      <c r="K162" s="9">
        <v>49</v>
      </c>
      <c r="L162" s="9">
        <v>13</v>
      </c>
      <c r="M162" s="9">
        <f t="shared" si="7"/>
        <v>12.25</v>
      </c>
      <c r="N162" s="9">
        <f t="shared" si="8"/>
        <v>3.25</v>
      </c>
      <c r="O162" t="str">
        <f t="shared" si="9"/>
        <v>copy localization\lobby_bomblore.png E:\software\MediaInfo(获取media属性)\localization\lobby_bomblore.png</v>
      </c>
      <c r="P162" t="s">
        <v>2651</v>
      </c>
    </row>
    <row r="163" spans="5:16">
      <c r="E163">
        <v>2307</v>
      </c>
      <c r="J163" s="9" t="s">
        <v>2728</v>
      </c>
      <c r="K163" s="9">
        <v>49</v>
      </c>
      <c r="L163" s="9">
        <v>13</v>
      </c>
      <c r="M163" s="9">
        <f t="shared" si="7"/>
        <v>12.25</v>
      </c>
      <c r="N163" s="9">
        <f t="shared" si="8"/>
        <v>3.25</v>
      </c>
      <c r="O163" t="str">
        <f t="shared" si="9"/>
        <v>copy localization\lobby_bossmaster.png E:\software\MediaInfo(获取media属性)\localization\lobby_bossmaster.png</v>
      </c>
      <c r="P163" t="s">
        <v>2651</v>
      </c>
    </row>
    <row r="164" spans="5:16">
      <c r="E164">
        <v>2308</v>
      </c>
      <c r="J164" s="9" t="s">
        <v>2729</v>
      </c>
      <c r="K164" s="9">
        <v>133</v>
      </c>
      <c r="L164" s="9">
        <v>13</v>
      </c>
      <c r="M164" s="9">
        <f t="shared" si="7"/>
        <v>33.25</v>
      </c>
      <c r="N164" s="9">
        <f t="shared" si="8"/>
        <v>3.25</v>
      </c>
      <c r="O164" t="str">
        <f t="shared" si="9"/>
        <v>copy localization\lobby_bossmasterexplain.png E:\software\MediaInfo(获取media属性)\localization\lobby_bossmasterexplain.png</v>
      </c>
      <c r="P164" t="s">
        <v>2651</v>
      </c>
    </row>
    <row r="165" spans="5:16">
      <c r="E165">
        <v>2309</v>
      </c>
      <c r="J165" s="9" t="s">
        <v>2707</v>
      </c>
      <c r="K165" s="9">
        <v>25</v>
      </c>
      <c r="L165" s="9">
        <v>13</v>
      </c>
      <c r="M165" s="9">
        <f t="shared" si="7"/>
        <v>6.25</v>
      </c>
      <c r="N165" s="9">
        <f t="shared" si="8"/>
        <v>3.25</v>
      </c>
      <c r="O165" t="str">
        <f t="shared" si="9"/>
        <v>copy localization\lobby_character.png E:\software\MediaInfo(获取media属性)\localization\lobby_character.png</v>
      </c>
      <c r="P165" t="s">
        <v>2651</v>
      </c>
    </row>
    <row r="166" spans="5:16">
      <c r="E166">
        <v>2310</v>
      </c>
      <c r="J166" s="9" t="s">
        <v>2770</v>
      </c>
      <c r="K166" s="9">
        <v>121</v>
      </c>
      <c r="L166" s="9">
        <v>13</v>
      </c>
      <c r="M166" s="9">
        <f t="shared" si="7"/>
        <v>30.25</v>
      </c>
      <c r="N166" s="9">
        <f t="shared" si="8"/>
        <v>3.25</v>
      </c>
      <c r="O166" t="str">
        <f t="shared" si="9"/>
        <v>copy localization\lobby_chooseboss.png E:\software\MediaInfo(获取media属性)\localization\lobby_chooseboss.png</v>
      </c>
      <c r="P166" t="s">
        <v>2651</v>
      </c>
    </row>
    <row r="167" spans="5:16">
      <c r="E167">
        <v>2313</v>
      </c>
      <c r="J167" s="9" t="s">
        <v>2766</v>
      </c>
      <c r="K167" s="9">
        <v>73</v>
      </c>
      <c r="L167" s="9">
        <v>13</v>
      </c>
      <c r="M167" s="9">
        <f t="shared" si="7"/>
        <v>18.25</v>
      </c>
      <c r="N167" s="9">
        <f t="shared" si="8"/>
        <v>3.25</v>
      </c>
      <c r="O167" t="str">
        <f t="shared" si="9"/>
        <v>copy localization\lobby_chooseenemy.png E:\software\MediaInfo(获取media属性)\localization\lobby_chooseenemy.png</v>
      </c>
      <c r="P167" t="s">
        <v>2651</v>
      </c>
    </row>
    <row r="168" spans="5:16">
      <c r="E168">
        <v>2314</v>
      </c>
      <c r="J168" s="9" t="s">
        <v>2769</v>
      </c>
      <c r="K168" s="9">
        <v>145</v>
      </c>
      <c r="L168" s="9">
        <v>13</v>
      </c>
      <c r="M168" s="9">
        <f t="shared" si="7"/>
        <v>36.25</v>
      </c>
      <c r="N168" s="9">
        <f t="shared" si="8"/>
        <v>3.25</v>
      </c>
      <c r="O168" t="str">
        <f t="shared" si="9"/>
        <v>copy localization\lobby_chooseminiboss.png E:\software\MediaInfo(获取media属性)\localization\lobby_chooseminiboss.png</v>
      </c>
      <c r="P168" t="s">
        <v>2651</v>
      </c>
    </row>
    <row r="169" spans="5:16">
      <c r="E169">
        <v>2315</v>
      </c>
      <c r="J169" s="9" t="s">
        <v>2741</v>
      </c>
      <c r="K169" s="9">
        <v>25</v>
      </c>
      <c r="L169" s="9">
        <v>13</v>
      </c>
      <c r="M169" s="9">
        <f t="shared" si="7"/>
        <v>6.25</v>
      </c>
      <c r="N169" s="9">
        <f t="shared" si="8"/>
        <v>3.25</v>
      </c>
      <c r="O169" t="str">
        <f t="shared" si="9"/>
        <v>copy localization\lobby_codex.png E:\software\MediaInfo(获取media属性)\localization\lobby_codex.png</v>
      </c>
      <c r="P169" t="s">
        <v>2651</v>
      </c>
    </row>
    <row r="170" spans="5:16">
      <c r="E170">
        <v>2316</v>
      </c>
      <c r="J170" s="9" t="s">
        <v>2742</v>
      </c>
      <c r="K170" s="9">
        <v>97</v>
      </c>
      <c r="L170" s="9">
        <v>13</v>
      </c>
      <c r="M170" s="9">
        <f t="shared" si="7"/>
        <v>24.25</v>
      </c>
      <c r="N170" s="9">
        <f t="shared" si="8"/>
        <v>3.25</v>
      </c>
      <c r="O170" t="str">
        <f t="shared" si="9"/>
        <v>copy localization\lobby_codexexplain.png E:\software\MediaInfo(获取media属性)\localization\lobby_codexexplain.png</v>
      </c>
      <c r="P170" t="s">
        <v>2651</v>
      </c>
    </row>
    <row r="171" spans="5:16">
      <c r="E171">
        <v>2317</v>
      </c>
      <c r="J171" s="9" t="s">
        <v>2715</v>
      </c>
      <c r="K171" s="9">
        <v>49</v>
      </c>
      <c r="L171" s="9">
        <v>13</v>
      </c>
      <c r="M171" s="9">
        <f t="shared" si="7"/>
        <v>12.25</v>
      </c>
      <c r="N171" s="9">
        <f t="shared" si="8"/>
        <v>3.25</v>
      </c>
      <c r="O171" t="str">
        <f t="shared" si="9"/>
        <v>copy localization\lobby_dailychallenge.png E:\software\MediaInfo(获取media属性)\localization\lobby_dailychallenge.png</v>
      </c>
      <c r="P171" t="s">
        <v>2651</v>
      </c>
    </row>
    <row r="172" spans="5:16">
      <c r="E172">
        <v>2318</v>
      </c>
      <c r="J172" s="9" t="s">
        <v>2710</v>
      </c>
      <c r="K172" s="9">
        <v>61</v>
      </c>
      <c r="L172" s="9">
        <v>13</v>
      </c>
      <c r="M172" s="9">
        <f t="shared" si="7"/>
        <v>15.25</v>
      </c>
      <c r="N172" s="9">
        <f t="shared" si="8"/>
        <v>3.25</v>
      </c>
      <c r="O172" t="str">
        <f t="shared" si="9"/>
        <v>copy localization\lobby_dancepad.png E:\software\MediaInfo(获取media属性)\localization\lobby_dancepad.png</v>
      </c>
      <c r="P172" t="s">
        <v>2651</v>
      </c>
    </row>
    <row r="173" spans="5:16">
      <c r="E173">
        <v>2350</v>
      </c>
      <c r="J173" s="9" t="s">
        <v>2751</v>
      </c>
      <c r="K173" s="9">
        <v>49</v>
      </c>
      <c r="L173" s="9">
        <v>13</v>
      </c>
      <c r="M173" s="9">
        <f t="shared" si="7"/>
        <v>12.25</v>
      </c>
      <c r="N173" s="9">
        <f t="shared" si="8"/>
        <v>3.25</v>
      </c>
      <c r="O173" t="str">
        <f t="shared" si="9"/>
        <v>copy localization\lobby_diamonddealer.png E:\software\MediaInfo(获取media属性)\localization\lobby_diamonddealer.png</v>
      </c>
      <c r="P173" t="s">
        <v>2651</v>
      </c>
    </row>
    <row r="174" spans="5:16">
      <c r="E174">
        <v>2351</v>
      </c>
      <c r="J174" s="9" t="s">
        <v>2752</v>
      </c>
      <c r="K174" s="9">
        <v>139</v>
      </c>
      <c r="L174" s="9">
        <v>13</v>
      </c>
      <c r="M174" s="9">
        <f t="shared" si="7"/>
        <v>34.75</v>
      </c>
      <c r="N174" s="9">
        <f t="shared" si="8"/>
        <v>3.25</v>
      </c>
      <c r="O174" t="str">
        <f t="shared" si="9"/>
        <v>copy localization\lobby_diamonddealerhint.png E:\software\MediaInfo(获取media属性)\localization\lobby_diamonddealerhint.png</v>
      </c>
      <c r="P174" t="s">
        <v>2651</v>
      </c>
    </row>
    <row r="175" spans="5:16">
      <c r="E175">
        <v>2352</v>
      </c>
      <c r="J175" s="9" t="s">
        <v>2743</v>
      </c>
      <c r="K175" s="9">
        <v>49</v>
      </c>
      <c r="L175" s="9">
        <v>13</v>
      </c>
      <c r="M175" s="9">
        <f t="shared" si="7"/>
        <v>12.25</v>
      </c>
      <c r="N175" s="9">
        <f t="shared" si="8"/>
        <v>3.25</v>
      </c>
      <c r="O175" t="str">
        <f t="shared" si="9"/>
        <v>copy localization\lobby_dragonlore.png E:\software\MediaInfo(获取media属性)\localization\lobby_dragonlore.png</v>
      </c>
      <c r="P175" t="s">
        <v>2651</v>
      </c>
    </row>
    <row r="176" spans="5:16">
      <c r="E176">
        <v>2353</v>
      </c>
      <c r="J176" s="9" t="s">
        <v>2724</v>
      </c>
      <c r="K176" s="9">
        <v>61</v>
      </c>
      <c r="L176" s="9">
        <v>13</v>
      </c>
      <c r="M176" s="9">
        <f t="shared" si="7"/>
        <v>15.25</v>
      </c>
      <c r="N176" s="9">
        <f t="shared" si="8"/>
        <v>3.25</v>
      </c>
      <c r="O176" t="str">
        <f t="shared" si="9"/>
        <v>copy localization\lobby_dungeonmaster.png E:\software\MediaInfo(获取media属性)\localization\lobby_dungeonmaster.png</v>
      </c>
      <c r="P176" t="s">
        <v>2651</v>
      </c>
    </row>
    <row r="177" spans="5:16">
      <c r="E177">
        <v>2354</v>
      </c>
      <c r="J177" s="9" t="s">
        <v>2726</v>
      </c>
      <c r="K177" s="9">
        <v>157</v>
      </c>
      <c r="L177" s="9">
        <v>13</v>
      </c>
      <c r="M177" s="9">
        <f t="shared" si="7"/>
        <v>39.25</v>
      </c>
      <c r="N177" s="9">
        <f t="shared" si="8"/>
        <v>3.25</v>
      </c>
      <c r="O177" t="str">
        <f t="shared" si="9"/>
        <v>copy localization\lobby_dungeonmasterexplain.png E:\software\MediaInfo(获取media属性)\localization\lobby_dungeonmasterexplain.png</v>
      </c>
      <c r="P177" t="s">
        <v>2651</v>
      </c>
    </row>
    <row r="178" spans="5:16">
      <c r="E178">
        <v>2401</v>
      </c>
      <c r="J178" s="9" t="s">
        <v>2725</v>
      </c>
      <c r="K178" s="9">
        <v>139</v>
      </c>
      <c r="L178" s="9">
        <v>13</v>
      </c>
      <c r="M178" s="9">
        <f t="shared" si="7"/>
        <v>34.75</v>
      </c>
      <c r="N178" s="9">
        <f t="shared" si="8"/>
        <v>3.25</v>
      </c>
      <c r="O178" t="str">
        <f t="shared" si="9"/>
        <v>copy localization\lobby_dungeonmasterhint.png E:\software\MediaInfo(获取media属性)\localization\lobby_dungeonmasterhint.png</v>
      </c>
      <c r="P178" t="s">
        <v>2651</v>
      </c>
    </row>
    <row r="179" spans="5:16">
      <c r="E179">
        <v>2500</v>
      </c>
      <c r="J179" s="9" t="s">
        <v>2746</v>
      </c>
      <c r="K179" s="9">
        <v>85</v>
      </c>
      <c r="L179" s="9">
        <v>13</v>
      </c>
      <c r="M179" s="9">
        <f t="shared" si="7"/>
        <v>21.25</v>
      </c>
      <c r="N179" s="9">
        <f t="shared" si="8"/>
        <v>3.25</v>
      </c>
      <c r="O179" t="str">
        <f t="shared" si="9"/>
        <v>copy localization\lobby_howtogetaway.png E:\software\MediaInfo(获取media属性)\localization\lobby_howtogetaway.png</v>
      </c>
      <c r="P179" t="s">
        <v>2651</v>
      </c>
    </row>
    <row r="180" spans="5:16">
      <c r="E180">
        <v>2508</v>
      </c>
      <c r="J180" s="9" t="s">
        <v>2748</v>
      </c>
      <c r="K180" s="9">
        <v>37</v>
      </c>
      <c r="L180" s="9">
        <v>13</v>
      </c>
      <c r="M180" s="9">
        <f t="shared" si="7"/>
        <v>9.25</v>
      </c>
      <c r="N180" s="9">
        <f t="shared" si="8"/>
        <v>3.25</v>
      </c>
      <c r="O180" t="str">
        <f t="shared" si="9"/>
        <v>copy localization\lobby_janitor.png E:\software\MediaInfo(获取media属性)\localization\lobby_janitor.png</v>
      </c>
      <c r="P180" t="s">
        <v>2651</v>
      </c>
    </row>
    <row r="181" spans="5:16">
      <c r="E181">
        <v>2509</v>
      </c>
      <c r="J181" s="9" t="s">
        <v>2749</v>
      </c>
      <c r="K181" s="9">
        <v>157</v>
      </c>
      <c r="L181" s="9">
        <v>13</v>
      </c>
      <c r="M181" s="9">
        <f t="shared" si="7"/>
        <v>39.25</v>
      </c>
      <c r="N181" s="9">
        <f t="shared" si="8"/>
        <v>3.25</v>
      </c>
      <c r="O181" t="str">
        <f t="shared" si="9"/>
        <v>copy localization\lobby_janitorexplain1.png E:\software\MediaInfo(获取media属性)\localization\lobby_janitorexplain1.png</v>
      </c>
      <c r="P181" t="s">
        <v>2651</v>
      </c>
    </row>
    <row r="182" spans="5:16">
      <c r="E182">
        <v>2510</v>
      </c>
      <c r="J182" s="9" t="s">
        <v>2750</v>
      </c>
      <c r="K182" s="9">
        <v>121</v>
      </c>
      <c r="L182" s="9">
        <v>13</v>
      </c>
      <c r="M182" s="9">
        <f t="shared" si="7"/>
        <v>30.25</v>
      </c>
      <c r="N182" s="9">
        <f t="shared" si="8"/>
        <v>3.25</v>
      </c>
      <c r="O182" t="str">
        <f t="shared" si="9"/>
        <v>copy localization\lobby_janitorexplain2.png E:\software\MediaInfo(获取media属性)\localization\lobby_janitorexplain2.png</v>
      </c>
      <c r="P182" t="s">
        <v>2651</v>
      </c>
    </row>
    <row r="183" spans="5:16">
      <c r="E183">
        <v>2511</v>
      </c>
      <c r="J183" s="9" t="s">
        <v>2714</v>
      </c>
      <c r="K183" s="9">
        <v>61</v>
      </c>
      <c r="L183" s="9">
        <v>13</v>
      </c>
      <c r="M183" s="9">
        <f t="shared" si="7"/>
        <v>15.25</v>
      </c>
      <c r="N183" s="9">
        <f t="shared" si="8"/>
        <v>3.25</v>
      </c>
      <c r="O183" t="str">
        <f t="shared" si="9"/>
        <v>copy localization\lobby_leveleditor.png E:\software\MediaInfo(获取media属性)\localization\lobby_leveleditor.png</v>
      </c>
      <c r="P183" t="s">
        <v>2651</v>
      </c>
    </row>
    <row r="184" spans="5:16">
      <c r="E184">
        <v>2512</v>
      </c>
      <c r="J184" s="9" t="s">
        <v>2716</v>
      </c>
      <c r="K184" s="9">
        <v>49</v>
      </c>
      <c r="L184" s="9">
        <v>13</v>
      </c>
      <c r="M184" s="9">
        <f t="shared" si="7"/>
        <v>12.25</v>
      </c>
      <c r="N184" s="9">
        <f t="shared" si="8"/>
        <v>3.25</v>
      </c>
      <c r="O184" t="str">
        <f t="shared" si="9"/>
        <v>copy localization\lobby_localcoop.png E:\software\MediaInfo(获取media属性)\localization\lobby_localcoop.png</v>
      </c>
      <c r="P184" t="s">
        <v>2651</v>
      </c>
    </row>
    <row r="185" spans="5:16">
      <c r="E185">
        <v>2513</v>
      </c>
      <c r="J185" s="9" t="s">
        <v>2709</v>
      </c>
      <c r="K185" s="9">
        <v>25</v>
      </c>
      <c r="L185" s="9">
        <v>13</v>
      </c>
      <c r="M185" s="9">
        <f t="shared" si="7"/>
        <v>6.25</v>
      </c>
      <c r="N185" s="9">
        <f t="shared" si="8"/>
        <v>3.25</v>
      </c>
      <c r="O185" t="str">
        <f t="shared" si="9"/>
        <v>copy localization\lobby_mode.png E:\software\MediaInfo(获取media属性)\localization\lobby_mode.png</v>
      </c>
      <c r="P185" t="s">
        <v>2651</v>
      </c>
    </row>
    <row r="186" spans="5:16">
      <c r="E186">
        <v>2514</v>
      </c>
      <c r="J186" s="9" t="s">
        <v>2711</v>
      </c>
      <c r="K186" s="9">
        <v>73</v>
      </c>
      <c r="L186" s="9">
        <v>13</v>
      </c>
      <c r="M186" s="9">
        <f t="shared" si="7"/>
        <v>18.25</v>
      </c>
      <c r="N186" s="9">
        <f t="shared" si="8"/>
        <v>3.25</v>
      </c>
      <c r="O186" t="str">
        <f t="shared" si="9"/>
        <v>copy localization\lobby_modeeasier.png E:\software\MediaInfo(获取media属性)\localization\lobby_modeeasier.png</v>
      </c>
      <c r="P186" t="s">
        <v>2651</v>
      </c>
    </row>
    <row r="187" spans="5:16">
      <c r="E187">
        <v>2515</v>
      </c>
      <c r="J187" s="9" t="s">
        <v>2713</v>
      </c>
      <c r="K187" s="9">
        <v>73</v>
      </c>
      <c r="L187" s="9">
        <v>13</v>
      </c>
      <c r="M187" s="9">
        <f t="shared" si="7"/>
        <v>18.25</v>
      </c>
      <c r="N187" s="9">
        <f t="shared" si="8"/>
        <v>3.25</v>
      </c>
      <c r="O187" t="str">
        <f t="shared" si="9"/>
        <v>copy localization\lobby_seeded.png E:\software\MediaInfo(获取media属性)\localization\lobby_seeded.png</v>
      </c>
      <c r="P187" t="s">
        <v>2651</v>
      </c>
    </row>
    <row r="188" spans="5:16">
      <c r="E188">
        <v>2516</v>
      </c>
      <c r="J188" s="9" t="s">
        <v>2706</v>
      </c>
      <c r="K188" s="9">
        <v>25</v>
      </c>
      <c r="L188" s="9">
        <v>13</v>
      </c>
      <c r="M188" s="9">
        <f t="shared" si="7"/>
        <v>6.25</v>
      </c>
      <c r="N188" s="9">
        <f t="shared" si="8"/>
        <v>3.25</v>
      </c>
      <c r="O188" t="str">
        <f t="shared" si="9"/>
        <v>copy localization\lobby_select.png E:\software\MediaInfo(获取media属性)\localization\lobby_select.png</v>
      </c>
      <c r="P188" t="s">
        <v>2651</v>
      </c>
    </row>
    <row r="189" spans="5:16">
      <c r="E189">
        <v>2517</v>
      </c>
      <c r="J189" s="9" t="s">
        <v>2717</v>
      </c>
      <c r="K189" s="9">
        <v>49</v>
      </c>
      <c r="L189" s="9">
        <v>13</v>
      </c>
      <c r="M189" s="9">
        <f t="shared" si="7"/>
        <v>12.25</v>
      </c>
      <c r="N189" s="9">
        <f t="shared" si="8"/>
        <v>3.25</v>
      </c>
      <c r="O189" t="str">
        <f t="shared" si="9"/>
        <v>copy localization\lobby_singleplayer.png E:\software\MediaInfo(获取media属性)\localization\lobby_singleplayer.png</v>
      </c>
      <c r="P189" t="s">
        <v>2651</v>
      </c>
    </row>
    <row r="190" spans="5:16">
      <c r="E190">
        <v>2518</v>
      </c>
      <c r="J190" s="9" t="s">
        <v>2744</v>
      </c>
      <c r="K190" s="9">
        <v>49</v>
      </c>
      <c r="L190" s="9">
        <v>13</v>
      </c>
      <c r="M190" s="9">
        <f t="shared" si="7"/>
        <v>12.25</v>
      </c>
      <c r="N190" s="9">
        <f t="shared" si="8"/>
        <v>3.25</v>
      </c>
      <c r="O190" t="str">
        <f t="shared" si="9"/>
        <v>copy localization\lobby_traplore.png E:\software\MediaInfo(获取media属性)\localization\lobby_traplore.png</v>
      </c>
      <c r="P190" t="s">
        <v>2651</v>
      </c>
    </row>
    <row r="191" spans="5:16">
      <c r="E191">
        <v>2519</v>
      </c>
      <c r="J191" s="9" t="s">
        <v>2701</v>
      </c>
      <c r="K191" s="9">
        <v>25</v>
      </c>
      <c r="L191" s="9">
        <v>13</v>
      </c>
      <c r="M191" s="9">
        <f t="shared" si="7"/>
        <v>6.25</v>
      </c>
      <c r="N191" s="9">
        <f t="shared" si="8"/>
        <v>3.25</v>
      </c>
      <c r="O191" t="str">
        <f t="shared" si="9"/>
        <v>copy localization\lobby_tutorial.png E:\software\MediaInfo(获取media属性)\localization\lobby_tutorial.png</v>
      </c>
      <c r="P191" t="s">
        <v>2651</v>
      </c>
    </row>
    <row r="192" spans="5:16">
      <c r="E192">
        <v>2520</v>
      </c>
      <c r="J192" s="9" t="s">
        <v>2735</v>
      </c>
      <c r="K192" s="9">
        <v>25</v>
      </c>
      <c r="L192" s="9">
        <v>13</v>
      </c>
      <c r="M192" s="9">
        <f t="shared" si="7"/>
        <v>6.25</v>
      </c>
      <c r="N192" s="9">
        <f t="shared" si="8"/>
        <v>3.25</v>
      </c>
      <c r="O192" t="str">
        <f t="shared" si="9"/>
        <v>copy localization\lobby_weaponbase.png E:\software\MediaInfo(获取media属性)\localization\lobby_weaponbase.png</v>
      </c>
      <c r="P192" t="s">
        <v>2651</v>
      </c>
    </row>
    <row r="193" spans="5:16">
      <c r="E193">
        <v>2521</v>
      </c>
      <c r="J193" s="9" t="s">
        <v>2738</v>
      </c>
      <c r="K193" s="9">
        <v>25</v>
      </c>
      <c r="L193" s="9">
        <v>13</v>
      </c>
      <c r="M193" s="9">
        <f t="shared" si="7"/>
        <v>6.25</v>
      </c>
      <c r="N193" s="9">
        <f t="shared" si="8"/>
        <v>3.25</v>
      </c>
      <c r="O193" t="str">
        <f t="shared" si="9"/>
        <v>copy localization\lobby_weaponblood.png E:\software\MediaInfo(获取media属性)\localization\lobby_weaponblood.png</v>
      </c>
      <c r="P193" t="s">
        <v>2651</v>
      </c>
    </row>
    <row r="194" spans="5:16">
      <c r="E194">
        <v>2522</v>
      </c>
      <c r="J194" s="9" t="s">
        <v>2737</v>
      </c>
      <c r="K194" s="9">
        <v>25</v>
      </c>
      <c r="L194" s="9">
        <v>13</v>
      </c>
      <c r="M194" s="9">
        <f t="shared" si="7"/>
        <v>6.25</v>
      </c>
      <c r="N194" s="9">
        <f t="shared" si="8"/>
        <v>3.25</v>
      </c>
      <c r="O194" t="str">
        <f t="shared" si="9"/>
        <v>copy localization\lobby_weaponglass.png E:\software\MediaInfo(获取media属性)\localization\lobby_weaponglass.png</v>
      </c>
      <c r="P194" t="s">
        <v>2651</v>
      </c>
    </row>
    <row r="195" spans="5:16">
      <c r="E195">
        <v>2523</v>
      </c>
      <c r="J195" s="9" t="s">
        <v>2736</v>
      </c>
      <c r="K195" s="9">
        <v>25</v>
      </c>
      <c r="L195" s="9">
        <v>13</v>
      </c>
      <c r="M195" s="9">
        <f t="shared" ref="M195:M258" si="10">0.25*K195</f>
        <v>6.25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localization\lobby_weapongold.png E:\software\MediaInfo(获取media属性)\localization\lobby_weapongold.png</v>
      </c>
      <c r="P195" t="s">
        <v>2651</v>
      </c>
    </row>
    <row r="196" spans="5:16">
      <c r="E196">
        <v>2524</v>
      </c>
      <c r="J196" s="9" t="s">
        <v>2732</v>
      </c>
      <c r="K196" s="9">
        <v>49</v>
      </c>
      <c r="L196" s="9">
        <v>13</v>
      </c>
      <c r="M196" s="9">
        <f t="shared" si="10"/>
        <v>12.25</v>
      </c>
      <c r="N196" s="9">
        <f t="shared" si="11"/>
        <v>3.25</v>
      </c>
      <c r="O196" t="str">
        <f t="shared" si="12"/>
        <v>copy localization\lobby_weaponmaster.png E:\software\MediaInfo(获取media属性)\localization\lobby_weaponmaster.png</v>
      </c>
      <c r="P196" t="s">
        <v>2651</v>
      </c>
    </row>
    <row r="197" spans="5:16">
      <c r="E197">
        <v>2525</v>
      </c>
      <c r="J197" s="9" t="s">
        <v>2733</v>
      </c>
      <c r="K197" s="9">
        <v>115</v>
      </c>
      <c r="L197" s="9">
        <v>13</v>
      </c>
      <c r="M197" s="9">
        <f t="shared" si="10"/>
        <v>28.75</v>
      </c>
      <c r="N197" s="9">
        <f t="shared" si="11"/>
        <v>3.25</v>
      </c>
      <c r="O197" t="str">
        <f t="shared" si="12"/>
        <v>copy localization\lobby_weaponmasterhint.png E:\software\MediaInfo(获取media属性)\localization\lobby_weaponmasterhint.png</v>
      </c>
      <c r="P197" t="s">
        <v>2651</v>
      </c>
    </row>
    <row r="198" spans="5:16">
      <c r="E198">
        <v>2526</v>
      </c>
      <c r="J198" s="9" t="s">
        <v>2739</v>
      </c>
      <c r="K198" s="9">
        <v>37</v>
      </c>
      <c r="L198" s="9">
        <v>13</v>
      </c>
      <c r="M198" s="9">
        <f t="shared" si="10"/>
        <v>9.25</v>
      </c>
      <c r="N198" s="9">
        <f t="shared" si="11"/>
        <v>3.25</v>
      </c>
      <c r="O198" t="str">
        <f t="shared" si="12"/>
        <v>copy localization\lobby_weaponobsidian.png E:\software\MediaInfo(获取media属性)\localization\lobby_weaponobsidian.png</v>
      </c>
      <c r="P198" t="s">
        <v>2651</v>
      </c>
    </row>
    <row r="199" spans="5:16">
      <c r="E199">
        <v>2527</v>
      </c>
      <c r="J199" s="9" t="s">
        <v>2740</v>
      </c>
      <c r="K199" s="9">
        <v>25</v>
      </c>
      <c r="L199" s="9">
        <v>13</v>
      </c>
      <c r="M199" s="9">
        <f t="shared" si="10"/>
        <v>6.25</v>
      </c>
      <c r="N199" s="9">
        <f t="shared" si="11"/>
        <v>3.25</v>
      </c>
      <c r="O199" t="str">
        <f t="shared" si="12"/>
        <v>copy localization\lobby_weapontitanium.png E:\software\MediaInfo(获取media属性)\localization\lobby_weapontitanium.png</v>
      </c>
      <c r="P199" t="s">
        <v>2651</v>
      </c>
    </row>
    <row r="200" spans="5:16">
      <c r="E200">
        <v>2528</v>
      </c>
      <c r="J200" s="9" t="s">
        <v>2747</v>
      </c>
      <c r="K200" s="9">
        <v>37</v>
      </c>
      <c r="L200" s="9">
        <v>13</v>
      </c>
      <c r="M200" s="9">
        <f t="shared" si="10"/>
        <v>9.25</v>
      </c>
      <c r="N200" s="9">
        <f t="shared" si="11"/>
        <v>3.25</v>
      </c>
      <c r="O200" t="str">
        <f t="shared" si="12"/>
        <v>copy localization\lobby_withmurder.png E:\software\MediaInfo(获取media属性)\localization\lobby_withmurder.png</v>
      </c>
      <c r="P200" t="s">
        <v>2651</v>
      </c>
    </row>
    <row r="201" spans="5:16">
      <c r="E201">
        <v>2529</v>
      </c>
      <c r="J201" s="9" t="s">
        <v>2702</v>
      </c>
      <c r="K201" s="9">
        <v>31</v>
      </c>
      <c r="L201" s="9">
        <v>13</v>
      </c>
      <c r="M201" s="9">
        <f t="shared" si="10"/>
        <v>7.75</v>
      </c>
      <c r="N201" s="9">
        <f t="shared" si="11"/>
        <v>3.25</v>
      </c>
      <c r="O201" t="str">
        <f t="shared" si="12"/>
        <v>copy localization\lobby_zone1.png E:\software\MediaInfo(获取media属性)\localization\lobby_zone1.png</v>
      </c>
      <c r="P201" t="s">
        <v>2651</v>
      </c>
    </row>
    <row r="202" spans="5:16">
      <c r="E202">
        <v>2530</v>
      </c>
      <c r="J202" s="9" t="s">
        <v>2718</v>
      </c>
      <c r="K202" s="9">
        <v>115</v>
      </c>
      <c r="L202" s="9">
        <v>13</v>
      </c>
      <c r="M202" s="9">
        <f t="shared" si="10"/>
        <v>28.75</v>
      </c>
      <c r="N202" s="9">
        <f t="shared" si="11"/>
        <v>3.25</v>
      </c>
      <c r="O202" t="str">
        <f t="shared" si="12"/>
        <v>copy localization\lobby_zone1complete.png E:\software\MediaInfo(获取media属性)\localization\lobby_zone1complete.png</v>
      </c>
      <c r="P202" t="s">
        <v>2651</v>
      </c>
    </row>
    <row r="203" spans="5:16">
      <c r="E203">
        <v>2531</v>
      </c>
      <c r="J203" s="9" t="s">
        <v>2703</v>
      </c>
      <c r="K203" s="9">
        <v>31</v>
      </c>
      <c r="L203" s="9">
        <v>13</v>
      </c>
      <c r="M203" s="9">
        <f t="shared" si="10"/>
        <v>7.75</v>
      </c>
      <c r="N203" s="9">
        <f t="shared" si="11"/>
        <v>3.25</v>
      </c>
      <c r="O203" t="str">
        <f t="shared" si="12"/>
        <v>copy localization\lobby_zone2.png E:\software\MediaInfo(获取media属性)\localization\lobby_zone2.png</v>
      </c>
      <c r="P203" t="s">
        <v>2651</v>
      </c>
    </row>
    <row r="204" spans="5:16">
      <c r="E204">
        <v>2532</v>
      </c>
      <c r="J204" s="9" t="s">
        <v>2719</v>
      </c>
      <c r="K204" s="9">
        <v>115</v>
      </c>
      <c r="L204" s="9">
        <v>13</v>
      </c>
      <c r="M204" s="9">
        <f t="shared" si="10"/>
        <v>28.75</v>
      </c>
      <c r="N204" s="9">
        <f t="shared" si="11"/>
        <v>3.25</v>
      </c>
      <c r="O204" t="str">
        <f t="shared" si="12"/>
        <v>copy localization\lobby_zone2complete.png E:\software\MediaInfo(获取media属性)\localization\lobby_zone2complete.png</v>
      </c>
      <c r="P204" t="s">
        <v>2651</v>
      </c>
    </row>
    <row r="205" spans="5:16">
      <c r="E205">
        <v>2533</v>
      </c>
      <c r="J205" s="9" t="s">
        <v>2723</v>
      </c>
      <c r="K205" s="9">
        <v>115</v>
      </c>
      <c r="L205" s="9">
        <v>13</v>
      </c>
      <c r="M205" s="9">
        <f t="shared" si="10"/>
        <v>28.75</v>
      </c>
      <c r="N205" s="9">
        <f t="shared" si="11"/>
        <v>3.25</v>
      </c>
      <c r="O205" t="str">
        <f t="shared" si="12"/>
        <v>copy localization\lobby_zone2complete_aria.png E:\software\MediaInfo(获取media属性)\localization\lobby_zone2complete_aria.png</v>
      </c>
      <c r="P205" t="s">
        <v>2651</v>
      </c>
    </row>
    <row r="206" spans="5:16">
      <c r="E206">
        <v>2534</v>
      </c>
      <c r="J206" s="9" t="s">
        <v>2704</v>
      </c>
      <c r="K206" s="9">
        <v>31</v>
      </c>
      <c r="L206" s="9">
        <v>13</v>
      </c>
      <c r="M206" s="9">
        <f t="shared" si="10"/>
        <v>7.75</v>
      </c>
      <c r="N206" s="9">
        <f t="shared" si="11"/>
        <v>3.25</v>
      </c>
      <c r="O206" t="str">
        <f t="shared" si="12"/>
        <v>copy localization\lobby_zone3.png E:\software\MediaInfo(获取media属性)\localization\lobby_zone3.png</v>
      </c>
      <c r="P206" t="s">
        <v>2651</v>
      </c>
    </row>
    <row r="207" spans="5:16">
      <c r="E207">
        <v>2535</v>
      </c>
      <c r="J207" s="9" t="s">
        <v>2720</v>
      </c>
      <c r="K207" s="9">
        <v>115</v>
      </c>
      <c r="L207" s="9">
        <v>13</v>
      </c>
      <c r="M207" s="9">
        <f t="shared" si="10"/>
        <v>28.75</v>
      </c>
      <c r="N207" s="9">
        <f t="shared" si="11"/>
        <v>3.25</v>
      </c>
      <c r="O207" t="str">
        <f t="shared" si="12"/>
        <v>copy localization\lobby_zone3complete.png E:\software\MediaInfo(获取media属性)\localization\lobby_zone3complete.png</v>
      </c>
      <c r="P207" t="s">
        <v>2651</v>
      </c>
    </row>
    <row r="208" spans="5:16">
      <c r="E208">
        <v>2536</v>
      </c>
      <c r="J208" s="9" t="s">
        <v>2722</v>
      </c>
      <c r="K208" s="9">
        <v>115</v>
      </c>
      <c r="L208" s="9">
        <v>13</v>
      </c>
      <c r="M208" s="9">
        <f t="shared" si="10"/>
        <v>28.75</v>
      </c>
      <c r="N208" s="9">
        <f t="shared" si="11"/>
        <v>3.25</v>
      </c>
      <c r="O208" t="str">
        <f t="shared" si="12"/>
        <v>copy localization\lobby_zone3complete_aria.png E:\software\MediaInfo(获取media属性)\localization\lobby_zone3complete_aria.png</v>
      </c>
      <c r="P208" t="s">
        <v>2651</v>
      </c>
    </row>
    <row r="209" spans="5:16">
      <c r="E209">
        <v>2537</v>
      </c>
      <c r="J209" s="9" t="s">
        <v>2705</v>
      </c>
      <c r="K209" s="9">
        <v>31</v>
      </c>
      <c r="L209" s="9">
        <v>13</v>
      </c>
      <c r="M209" s="9">
        <f t="shared" si="10"/>
        <v>7.75</v>
      </c>
      <c r="N209" s="9">
        <f t="shared" si="11"/>
        <v>3.25</v>
      </c>
      <c r="O209" t="str">
        <f t="shared" si="12"/>
        <v>copy localization\lobby_zone4.png E:\software\MediaInfo(获取media属性)\localization\lobby_zone4.png</v>
      </c>
      <c r="P209" t="s">
        <v>2651</v>
      </c>
    </row>
    <row r="210" spans="5:16">
      <c r="E210">
        <v>2538</v>
      </c>
      <c r="J210" s="9" t="s">
        <v>2721</v>
      </c>
      <c r="K210" s="9">
        <v>115</v>
      </c>
      <c r="L210" s="9">
        <v>13</v>
      </c>
      <c r="M210" s="9">
        <f t="shared" si="10"/>
        <v>28.75</v>
      </c>
      <c r="N210" s="9">
        <f t="shared" si="11"/>
        <v>3.25</v>
      </c>
      <c r="O210" t="str">
        <f t="shared" si="12"/>
        <v>copy localization\lobby_zone4complete_aria.png E:\software\MediaInfo(获取media属性)\localization\lobby_zone4complete_aria.png</v>
      </c>
      <c r="P210" t="s">
        <v>2651</v>
      </c>
    </row>
    <row r="211" spans="5:16">
      <c r="E211">
        <v>2539</v>
      </c>
      <c r="J211" s="9" t="s">
        <v>2773</v>
      </c>
      <c r="K211" s="9">
        <v>109</v>
      </c>
      <c r="L211" s="9">
        <v>13</v>
      </c>
      <c r="M211" s="9">
        <f t="shared" si="10"/>
        <v>27.25</v>
      </c>
      <c r="N211" s="9">
        <f t="shared" si="11"/>
        <v>3.25</v>
      </c>
      <c r="O211" t="str">
        <f t="shared" si="12"/>
        <v>copy localization\shop_conjurer.png E:\software\MediaInfo(获取media属性)\localization\shop_conjurer.png</v>
      </c>
      <c r="P211" t="s">
        <v>2651</v>
      </c>
    </row>
    <row r="212" spans="5:16">
      <c r="E212">
        <v>2540</v>
      </c>
      <c r="J212" s="9" t="s">
        <v>2775</v>
      </c>
      <c r="K212" s="9">
        <v>61</v>
      </c>
      <c r="L212" s="9">
        <v>13</v>
      </c>
      <c r="M212" s="9">
        <f t="shared" si="10"/>
        <v>15.25</v>
      </c>
      <c r="N212" s="9">
        <f t="shared" si="11"/>
        <v>3.25</v>
      </c>
      <c r="O212" t="str">
        <f t="shared" si="12"/>
        <v>copy localization\shop_pawnbroker.png E:\software\MediaInfo(获取media属性)\localization\shop_pawnbroker.png</v>
      </c>
      <c r="P212" t="s">
        <v>2651</v>
      </c>
    </row>
    <row r="213" spans="5:16">
      <c r="E213">
        <v>2541</v>
      </c>
      <c r="J213" s="9" t="s">
        <v>2774</v>
      </c>
      <c r="K213" s="9">
        <v>61</v>
      </c>
      <c r="L213" s="9">
        <v>13</v>
      </c>
      <c r="M213" s="9">
        <f t="shared" si="10"/>
        <v>15.25</v>
      </c>
      <c r="N213" s="9">
        <f t="shared" si="11"/>
        <v>3.25</v>
      </c>
      <c r="O213" t="str">
        <f t="shared" si="12"/>
        <v>copy localization\shop_shriner.png E:\software\MediaInfo(获取media属性)\localization\shop_shriner.png</v>
      </c>
      <c r="P213" t="s">
        <v>2651</v>
      </c>
    </row>
    <row r="214" spans="5:16">
      <c r="E214">
        <v>2542</v>
      </c>
      <c r="J214" s="9" t="s">
        <v>2772</v>
      </c>
      <c r="K214" s="9">
        <v>109</v>
      </c>
      <c r="L214" s="9">
        <v>13</v>
      </c>
      <c r="M214" s="9">
        <f t="shared" si="10"/>
        <v>27.25</v>
      </c>
      <c r="N214" s="9">
        <f t="shared" si="11"/>
        <v>3.25</v>
      </c>
      <c r="O214" t="str">
        <f t="shared" si="12"/>
        <v>copy localization\shop_transmog.png E:\software\MediaInfo(获取media属性)\localization\shop_transmog.png</v>
      </c>
      <c r="P214" t="s">
        <v>2651</v>
      </c>
    </row>
    <row r="215" spans="5:16">
      <c r="E215">
        <v>2543</v>
      </c>
      <c r="J215" s="9" t="s">
        <v>3764</v>
      </c>
      <c r="K215" s="9">
        <v>49</v>
      </c>
      <c r="L215" s="9">
        <v>13</v>
      </c>
      <c r="M215" s="9">
        <f t="shared" si="10"/>
        <v>12.25</v>
      </c>
      <c r="N215" s="9">
        <f t="shared" si="11"/>
        <v>3.25</v>
      </c>
      <c r="O215" t="str">
        <f t="shared" si="12"/>
        <v>copy localization\training_apprenticeblademaster2.png E:\software\MediaInfo(获取media属性)\localization\training_apprenticeblademaster2.png</v>
      </c>
      <c r="P215" t="s">
        <v>2651</v>
      </c>
    </row>
    <row r="216" spans="5:16">
      <c r="E216">
        <v>2544</v>
      </c>
      <c r="J216" s="9" t="s">
        <v>3721</v>
      </c>
      <c r="K216" s="9">
        <v>25</v>
      </c>
      <c r="L216" s="9">
        <v>13</v>
      </c>
      <c r="M216" s="9">
        <f t="shared" si="10"/>
        <v>6.25</v>
      </c>
      <c r="N216" s="9">
        <f t="shared" si="11"/>
        <v>3.25</v>
      </c>
      <c r="O216" t="str">
        <f t="shared" si="12"/>
        <v>copy localization\training_armadillo.png E:\software\MediaInfo(获取media属性)\localization\training_armadillo.png</v>
      </c>
      <c r="P216" t="s">
        <v>2651</v>
      </c>
    </row>
    <row r="217" spans="5:16">
      <c r="E217">
        <v>2545</v>
      </c>
      <c r="J217" s="9" t="s">
        <v>3706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localization\training_armoredskeleton2.png E:\software\MediaInfo(获取media属性)\localization\training_armoredskeleton2.png</v>
      </c>
      <c r="P217" t="s">
        <v>2651</v>
      </c>
    </row>
    <row r="218" spans="5:16">
      <c r="E218">
        <v>2546</v>
      </c>
      <c r="J218" s="9" t="s">
        <v>3783</v>
      </c>
      <c r="K218" s="9">
        <v>25</v>
      </c>
      <c r="L218" s="9">
        <v>13</v>
      </c>
      <c r="M218" s="9">
        <f t="shared" si="10"/>
        <v>6.25</v>
      </c>
      <c r="N218" s="9">
        <f t="shared" si="11"/>
        <v>3.25</v>
      </c>
      <c r="O218" t="str">
        <f t="shared" si="12"/>
        <v>copy localization\training_banshee.png E:\software\MediaInfo(获取media属性)\localization\training_banshee.png</v>
      </c>
      <c r="P218" t="s">
        <v>2651</v>
      </c>
    </row>
    <row r="219" spans="5:16">
      <c r="E219">
        <v>2547</v>
      </c>
      <c r="J219" s="9" t="s">
        <v>3696</v>
      </c>
      <c r="K219" s="9">
        <v>25</v>
      </c>
      <c r="L219" s="9">
        <v>13</v>
      </c>
      <c r="M219" s="9">
        <f t="shared" si="10"/>
        <v>6.25</v>
      </c>
      <c r="N219" s="9">
        <f t="shared" si="11"/>
        <v>3.25</v>
      </c>
      <c r="O219" t="str">
        <f t="shared" si="12"/>
        <v>copy localization\training_bat.png E:\software\MediaInfo(获取media属性)\localization\training_bat.png</v>
      </c>
      <c r="P219" t="s">
        <v>2651</v>
      </c>
    </row>
    <row r="220" spans="5:16">
      <c r="E220">
        <v>2548</v>
      </c>
      <c r="J220" s="9" t="s">
        <v>3710</v>
      </c>
      <c r="K220" s="9">
        <v>73</v>
      </c>
      <c r="L220" s="9">
        <v>13</v>
      </c>
      <c r="M220" s="9">
        <f t="shared" si="10"/>
        <v>18.25</v>
      </c>
      <c r="N220" s="9">
        <f t="shared" si="11"/>
        <v>3.25</v>
      </c>
      <c r="O220" t="str">
        <f t="shared" si="12"/>
        <v>copy localization\training_blackarmoredskeleton2.png E:\software\MediaInfo(获取media属性)\localization\training_blackarmoredskeleton2.png</v>
      </c>
      <c r="P220" t="s">
        <v>2651</v>
      </c>
    </row>
    <row r="221" spans="5:16">
      <c r="E221">
        <v>2549</v>
      </c>
      <c r="J221" s="9" t="s">
        <v>3773</v>
      </c>
      <c r="K221" s="9">
        <v>49</v>
      </c>
      <c r="L221" s="9">
        <v>13</v>
      </c>
      <c r="M221" s="9">
        <f t="shared" si="10"/>
        <v>12.25</v>
      </c>
      <c r="N221" s="9">
        <f t="shared" si="11"/>
        <v>3.25</v>
      </c>
      <c r="O221" t="str">
        <f t="shared" si="12"/>
        <v>copy localization\training_blackbat.png E:\software\MediaInfo(获取media属性)\localization\training_blackbat.png</v>
      </c>
      <c r="P221" t="s">
        <v>2651</v>
      </c>
    </row>
    <row r="222" spans="5:16">
      <c r="E222">
        <v>2550</v>
      </c>
      <c r="J222" s="9" t="s">
        <v>3756</v>
      </c>
      <c r="K222" s="9">
        <v>37</v>
      </c>
      <c r="L222" s="9">
        <v>13</v>
      </c>
      <c r="M222" s="9">
        <f t="shared" si="10"/>
        <v>9.25</v>
      </c>
      <c r="N222" s="9">
        <f t="shared" si="11"/>
        <v>3.25</v>
      </c>
      <c r="O222" t="str">
        <f t="shared" si="12"/>
        <v>copy localization\training_blacklich.png E:\software\MediaInfo(获取media属性)\localization\training_blacklich.png</v>
      </c>
      <c r="P222" t="s">
        <v>2651</v>
      </c>
    </row>
    <row r="223" spans="5:16">
      <c r="E223">
        <v>2551</v>
      </c>
      <c r="J223" s="9" t="s">
        <v>3753</v>
      </c>
      <c r="K223" s="9">
        <v>49</v>
      </c>
      <c r="L223" s="9">
        <v>13</v>
      </c>
      <c r="M223" s="9">
        <f t="shared" si="10"/>
        <v>12.25</v>
      </c>
      <c r="N223" s="9">
        <f t="shared" si="11"/>
        <v>3.25</v>
      </c>
      <c r="O223" t="str">
        <f t="shared" si="12"/>
        <v>copy localization\training_blacksarcophagus2.png E:\software\MediaInfo(获取media属性)\localization\training_blacksarcophagus2.png</v>
      </c>
      <c r="P223" t="s">
        <v>2651</v>
      </c>
    </row>
    <row r="224" spans="5:16">
      <c r="E224">
        <v>2552</v>
      </c>
      <c r="J224" s="9" t="s">
        <v>3695</v>
      </c>
      <c r="K224" s="9">
        <v>37</v>
      </c>
      <c r="L224" s="9">
        <v>13</v>
      </c>
      <c r="M224" s="9">
        <f t="shared" si="10"/>
        <v>9.25</v>
      </c>
      <c r="N224" s="9">
        <f t="shared" si="11"/>
        <v>3.25</v>
      </c>
      <c r="O224" t="str">
        <f t="shared" si="12"/>
        <v>copy localization\training_blackskeleton.png E:\software\MediaInfo(获取media属性)\localization\training_blackskeleton.png</v>
      </c>
      <c r="P224" t="s">
        <v>2651</v>
      </c>
    </row>
    <row r="225" spans="5:16">
      <c r="E225">
        <v>2553</v>
      </c>
      <c r="J225" s="9" t="s">
        <v>3734</v>
      </c>
      <c r="K225" s="9">
        <v>73</v>
      </c>
      <c r="L225" s="9">
        <v>13</v>
      </c>
      <c r="M225" s="9">
        <f t="shared" si="10"/>
        <v>18.25</v>
      </c>
      <c r="N225" s="9">
        <f t="shared" si="11"/>
        <v>3.25</v>
      </c>
      <c r="O225" t="str">
        <f t="shared" si="12"/>
        <v>copy localization\training_blackskeletonknight2.png E:\software\MediaInfo(获取media属性)\localization\training_blackskeletonknight2.png</v>
      </c>
      <c r="P225" t="s">
        <v>2651</v>
      </c>
    </row>
    <row r="226" spans="5:16">
      <c r="E226">
        <v>2554</v>
      </c>
      <c r="J226" s="9" t="s">
        <v>3715</v>
      </c>
      <c r="K226" s="9">
        <v>73</v>
      </c>
      <c r="L226" s="9">
        <v>13</v>
      </c>
      <c r="M226" s="9">
        <f t="shared" si="10"/>
        <v>18.25</v>
      </c>
      <c r="N226" s="9">
        <f t="shared" si="11"/>
        <v>3.25</v>
      </c>
      <c r="O226" t="str">
        <f t="shared" si="12"/>
        <v>copy localization\training_blackskeletonmage2.png E:\software\MediaInfo(获取media属性)\localization\training_blackskeletonmage2.png</v>
      </c>
      <c r="P226" t="s">
        <v>2651</v>
      </c>
    </row>
    <row r="227" spans="5:16">
      <c r="E227">
        <v>2555</v>
      </c>
      <c r="J227" s="9" t="s">
        <v>3765</v>
      </c>
      <c r="K227" s="9">
        <v>49</v>
      </c>
      <c r="L227" s="9">
        <v>13</v>
      </c>
      <c r="M227" s="9">
        <f t="shared" si="10"/>
        <v>12.25</v>
      </c>
      <c r="N227" s="9">
        <f t="shared" si="11"/>
        <v>3.25</v>
      </c>
      <c r="O227" t="str">
        <f t="shared" si="12"/>
        <v>copy localization\training_blademaster.png E:\software\MediaInfo(获取media属性)\localization\training_blademaster.png</v>
      </c>
      <c r="P227" t="s">
        <v>2651</v>
      </c>
    </row>
    <row r="228" spans="5:16">
      <c r="E228">
        <v>2556</v>
      </c>
      <c r="J228" s="9" t="s">
        <v>3789</v>
      </c>
      <c r="K228" s="9">
        <v>49</v>
      </c>
      <c r="L228" s="9">
        <v>13</v>
      </c>
      <c r="M228" s="9">
        <f t="shared" si="10"/>
        <v>12.25</v>
      </c>
      <c r="N228" s="9">
        <f t="shared" si="11"/>
        <v>3.25</v>
      </c>
      <c r="O228" t="str">
        <f t="shared" si="12"/>
        <v>copy localization\training_bloodnightmare.png E:\software\MediaInfo(获取media属性)\localization\training_bloodnightmare.png</v>
      </c>
      <c r="P228" t="s">
        <v>2651</v>
      </c>
    </row>
    <row r="229" spans="5:16">
      <c r="E229">
        <v>2557</v>
      </c>
      <c r="J229" s="9" t="s">
        <v>3782</v>
      </c>
      <c r="K229" s="9">
        <v>25</v>
      </c>
      <c r="L229" s="9">
        <v>13</v>
      </c>
      <c r="M229" s="9">
        <f t="shared" si="10"/>
        <v>6.25</v>
      </c>
      <c r="N229" s="9">
        <f t="shared" si="11"/>
        <v>3.25</v>
      </c>
      <c r="O229" t="str">
        <f t="shared" si="12"/>
        <v>copy localization\training_bluedragon.png E:\software\MediaInfo(获取media属性)\localization\training_bluedragon.png</v>
      </c>
      <c r="P229" t="s">
        <v>2651</v>
      </c>
    </row>
    <row r="230" spans="5:16">
      <c r="E230">
        <v>2558</v>
      </c>
      <c r="J230" s="9" t="s">
        <v>3691</v>
      </c>
      <c r="K230" s="9">
        <v>49</v>
      </c>
      <c r="L230" s="9">
        <v>13</v>
      </c>
      <c r="M230" s="9">
        <f t="shared" si="10"/>
        <v>12.25</v>
      </c>
      <c r="N230" s="9">
        <f t="shared" si="11"/>
        <v>3.25</v>
      </c>
      <c r="O230" t="str">
        <f t="shared" si="12"/>
        <v>copy localization\training_blueslime.png E:\software\MediaInfo(获取media属性)\localization\training_blueslime.png</v>
      </c>
      <c r="P230" t="s">
        <v>2651</v>
      </c>
    </row>
    <row r="231" spans="5:16">
      <c r="E231">
        <v>2559</v>
      </c>
      <c r="J231" s="9" t="s">
        <v>3748</v>
      </c>
      <c r="K231" s="9">
        <v>37</v>
      </c>
      <c r="L231" s="9">
        <v>13</v>
      </c>
      <c r="M231" s="9">
        <f t="shared" si="10"/>
        <v>9.25</v>
      </c>
      <c r="N231" s="9">
        <f t="shared" si="11"/>
        <v>3.25</v>
      </c>
      <c r="O231" t="str">
        <f t="shared" si="12"/>
        <v>copy localization\training_cauldronmimic.png E:\software\MediaInfo(获取media属性)\localization\training_cauldronmimic.png</v>
      </c>
      <c r="P231" t="s">
        <v>2651</v>
      </c>
    </row>
    <row r="232" spans="5:16">
      <c r="E232">
        <v>2560</v>
      </c>
      <c r="J232" s="9" t="s">
        <v>3704</v>
      </c>
      <c r="K232" s="9">
        <v>37</v>
      </c>
      <c r="L232" s="9">
        <v>13</v>
      </c>
      <c r="M232" s="9">
        <f t="shared" si="10"/>
        <v>9.25</v>
      </c>
      <c r="N232" s="9">
        <f t="shared" si="11"/>
        <v>3.25</v>
      </c>
      <c r="O232" t="str">
        <f t="shared" si="12"/>
        <v>copy localization\training_chestmimic.png E:\software\MediaInfo(获取media属性)\localization\training_chestmimic.png</v>
      </c>
      <c r="P232" t="s">
        <v>2651</v>
      </c>
    </row>
    <row r="233" spans="5:16">
      <c r="E233">
        <v>2561</v>
      </c>
      <c r="J233" s="9" t="s">
        <v>3723</v>
      </c>
      <c r="K233" s="9">
        <v>37</v>
      </c>
      <c r="L233" s="9">
        <v>13</v>
      </c>
      <c r="M233" s="9">
        <f t="shared" si="10"/>
        <v>9.25</v>
      </c>
      <c r="N233" s="9">
        <f t="shared" si="11"/>
        <v>3.25</v>
      </c>
      <c r="O233" t="str">
        <f t="shared" si="12"/>
        <v>copy localization\training_clone.png E:\software\MediaInfo(获取media属性)\localization\training_clone.png</v>
      </c>
      <c r="P233" t="s">
        <v>2651</v>
      </c>
    </row>
    <row r="234" spans="5:16">
      <c r="E234">
        <v>2562</v>
      </c>
      <c r="J234" s="9" t="s">
        <v>3804</v>
      </c>
      <c r="K234" s="9">
        <v>61</v>
      </c>
      <c r="L234" s="9">
        <v>13</v>
      </c>
      <c r="M234" s="9">
        <f t="shared" si="10"/>
        <v>15.25</v>
      </c>
      <c r="N234" s="9">
        <f t="shared" si="11"/>
        <v>3.25</v>
      </c>
      <c r="O234" t="str">
        <f t="shared" si="12"/>
        <v>copy localization\training_coralriff1.png E:\software\MediaInfo(获取media属性)\localization\training_coralriff1.png</v>
      </c>
      <c r="P234" t="s">
        <v>2651</v>
      </c>
    </row>
    <row r="235" spans="5:16">
      <c r="E235">
        <v>2563</v>
      </c>
      <c r="J235" s="9" t="s">
        <v>3805</v>
      </c>
      <c r="K235" s="9">
        <v>61</v>
      </c>
      <c r="L235" s="9">
        <v>13</v>
      </c>
      <c r="M235" s="9">
        <f t="shared" si="10"/>
        <v>15.25</v>
      </c>
      <c r="N235" s="9">
        <f t="shared" si="11"/>
        <v>3.25</v>
      </c>
      <c r="O235" t="str">
        <f t="shared" si="12"/>
        <v>copy localization\training_coralriff2.png E:\software\MediaInfo(获取media属性)\localization\training_coralriff2.png</v>
      </c>
      <c r="P235" t="s">
        <v>2651</v>
      </c>
    </row>
    <row r="236" spans="5:16">
      <c r="E236">
        <v>2564</v>
      </c>
      <c r="J236" s="9" t="s">
        <v>3806</v>
      </c>
      <c r="K236" s="9">
        <v>61</v>
      </c>
      <c r="L236" s="9">
        <v>13</v>
      </c>
      <c r="M236" s="9">
        <f t="shared" si="10"/>
        <v>15.25</v>
      </c>
      <c r="N236" s="9">
        <f t="shared" si="11"/>
        <v>3.25</v>
      </c>
      <c r="O236" t="str">
        <f t="shared" si="12"/>
        <v>copy localization\training_coralriff3.png E:\software\MediaInfo(获取media属性)\localization\training_coralriff3.png</v>
      </c>
      <c r="P236" t="s">
        <v>2651</v>
      </c>
    </row>
    <row r="237" spans="5:16">
      <c r="E237">
        <v>2565</v>
      </c>
      <c r="J237" s="9" t="s">
        <v>3807</v>
      </c>
      <c r="K237" s="9">
        <v>61</v>
      </c>
      <c r="L237" s="9">
        <v>13</v>
      </c>
      <c r="M237" s="9">
        <f t="shared" si="10"/>
        <v>15.25</v>
      </c>
      <c r="N237" s="9">
        <f t="shared" si="11"/>
        <v>3.25</v>
      </c>
      <c r="O237" t="str">
        <f t="shared" si="12"/>
        <v>copy localization\training_coralriff4.png E:\software\MediaInfo(获取media属性)\localization\training_coralriff4.png</v>
      </c>
      <c r="P237" t="s">
        <v>2651</v>
      </c>
    </row>
    <row r="238" spans="5:16">
      <c r="E238">
        <v>2566</v>
      </c>
      <c r="J238" s="9" t="s">
        <v>3720</v>
      </c>
      <c r="K238" s="9">
        <v>61</v>
      </c>
      <c r="L238" s="9">
        <v>13</v>
      </c>
      <c r="M238" s="9">
        <f t="shared" si="10"/>
        <v>15.25</v>
      </c>
      <c r="N238" s="9">
        <f t="shared" si="11"/>
        <v>3.25</v>
      </c>
      <c r="O238" t="str">
        <f t="shared" si="12"/>
        <v>copy localization\training_darkgolem.png E:\software\MediaInfo(获取media属性)\localization\training_darkgolem.png</v>
      </c>
      <c r="P238" t="s">
        <v>2651</v>
      </c>
    </row>
    <row r="239" spans="5:16">
      <c r="E239">
        <v>2567</v>
      </c>
      <c r="J239" s="9" t="s">
        <v>3808</v>
      </c>
      <c r="K239" s="9">
        <v>49</v>
      </c>
      <c r="L239" s="9">
        <v>13</v>
      </c>
      <c r="M239" s="9">
        <f t="shared" si="10"/>
        <v>12.25</v>
      </c>
      <c r="N239" s="9">
        <f t="shared" si="11"/>
        <v>3.25</v>
      </c>
      <c r="O239" t="str">
        <f t="shared" si="12"/>
        <v>copy localization\training_deadringer.png E:\software\MediaInfo(获取media属性)\localization\training_deadringer.png</v>
      </c>
      <c r="P239" t="s">
        <v>2651</v>
      </c>
    </row>
    <row r="240" spans="5:16">
      <c r="E240">
        <v>2568</v>
      </c>
      <c r="J240" s="9" t="s">
        <v>3796</v>
      </c>
      <c r="K240" s="9">
        <v>61</v>
      </c>
      <c r="L240" s="9">
        <v>13</v>
      </c>
      <c r="M240" s="9">
        <f t="shared" si="10"/>
        <v>15.25</v>
      </c>
      <c r="N240" s="9">
        <f t="shared" si="11"/>
        <v>3.25</v>
      </c>
      <c r="O240" t="str">
        <f t="shared" si="12"/>
        <v>copy localization\training_deathmetal1.png E:\software\MediaInfo(获取media属性)\localization\training_deathmetal1.png</v>
      </c>
      <c r="P240" t="s">
        <v>2651</v>
      </c>
    </row>
    <row r="241" spans="5:16">
      <c r="E241">
        <v>2569</v>
      </c>
      <c r="J241" s="9" t="s">
        <v>3797</v>
      </c>
      <c r="K241" s="9">
        <v>61</v>
      </c>
      <c r="L241" s="9">
        <v>13</v>
      </c>
      <c r="M241" s="9">
        <f t="shared" si="10"/>
        <v>15.25</v>
      </c>
      <c r="N241" s="9">
        <f t="shared" si="11"/>
        <v>3.25</v>
      </c>
      <c r="O241" t="str">
        <f t="shared" si="12"/>
        <v>copy localization\training_deathmetal2.png E:\software\MediaInfo(获取media属性)\localization\training_deathmetal2.png</v>
      </c>
      <c r="P241" t="s">
        <v>2651</v>
      </c>
    </row>
    <row r="242" spans="5:16">
      <c r="E242">
        <v>2570</v>
      </c>
      <c r="J242" s="9" t="s">
        <v>3798</v>
      </c>
      <c r="K242" s="9">
        <v>61</v>
      </c>
      <c r="L242" s="9">
        <v>13</v>
      </c>
      <c r="M242" s="9">
        <f t="shared" si="10"/>
        <v>15.25</v>
      </c>
      <c r="N242" s="9">
        <f t="shared" si="11"/>
        <v>3.25</v>
      </c>
      <c r="O242" t="str">
        <f t="shared" si="12"/>
        <v>copy localization\training_deathmetal3.png E:\software\MediaInfo(获取media属性)\localization\training_deathmetal3.png</v>
      </c>
      <c r="P242" t="s">
        <v>2651</v>
      </c>
    </row>
    <row r="243" spans="5:16">
      <c r="E243">
        <v>2571</v>
      </c>
      <c r="J243" s="9" t="s">
        <v>3799</v>
      </c>
      <c r="K243" s="9">
        <v>61</v>
      </c>
      <c r="L243" s="9">
        <v>13</v>
      </c>
      <c r="M243" s="9">
        <f t="shared" si="10"/>
        <v>15.25</v>
      </c>
      <c r="N243" s="9">
        <f t="shared" si="11"/>
        <v>3.25</v>
      </c>
      <c r="O243" t="str">
        <f t="shared" si="12"/>
        <v>copy localization\training_deathmetal4.png E:\software\MediaInfo(获取media属性)\localization\training_deathmetal4.png</v>
      </c>
      <c r="P243" t="s">
        <v>2651</v>
      </c>
    </row>
    <row r="244" spans="5:16">
      <c r="E244">
        <v>2572</v>
      </c>
      <c r="J244" s="9" t="s">
        <v>3800</v>
      </c>
      <c r="K244" s="9">
        <v>61</v>
      </c>
      <c r="L244" s="9">
        <v>13</v>
      </c>
      <c r="M244" s="9">
        <f t="shared" si="10"/>
        <v>15.25</v>
      </c>
      <c r="N244" s="9">
        <f t="shared" si="11"/>
        <v>3.25</v>
      </c>
      <c r="O244" t="str">
        <f t="shared" si="12"/>
        <v>copy localization\training_deepblues1.png E:\software\MediaInfo(获取media属性)\localization\training_deepblues1.png</v>
      </c>
      <c r="P244" t="s">
        <v>2651</v>
      </c>
    </row>
    <row r="245" spans="5:16">
      <c r="E245">
        <v>2573</v>
      </c>
      <c r="J245" s="9" t="s">
        <v>3801</v>
      </c>
      <c r="K245" s="9">
        <v>61</v>
      </c>
      <c r="L245" s="9">
        <v>13</v>
      </c>
      <c r="M245" s="9">
        <f t="shared" si="10"/>
        <v>15.25</v>
      </c>
      <c r="N245" s="9">
        <f t="shared" si="11"/>
        <v>3.25</v>
      </c>
      <c r="O245" t="str">
        <f t="shared" si="12"/>
        <v>copy localization\training_deepblues2.png E:\software\MediaInfo(获取media属性)\localization\training_deepblues2.png</v>
      </c>
      <c r="P245" t="s">
        <v>2651</v>
      </c>
    </row>
    <row r="246" spans="5:16">
      <c r="E246">
        <v>2574</v>
      </c>
      <c r="J246" s="9" t="s">
        <v>3802</v>
      </c>
      <c r="K246" s="9">
        <v>61</v>
      </c>
      <c r="L246" s="9">
        <v>13</v>
      </c>
      <c r="M246" s="9">
        <f t="shared" si="10"/>
        <v>15.25</v>
      </c>
      <c r="N246" s="9">
        <f t="shared" si="11"/>
        <v>3.25</v>
      </c>
      <c r="O246" t="str">
        <f t="shared" si="12"/>
        <v>copy localization\training_deepblues3.png E:\software\MediaInfo(获取media属性)\localization\training_deepblues3.png</v>
      </c>
      <c r="P246" t="s">
        <v>2651</v>
      </c>
    </row>
    <row r="247" spans="5:16">
      <c r="E247">
        <v>2575</v>
      </c>
      <c r="J247" s="9" t="s">
        <v>3803</v>
      </c>
      <c r="K247" s="9">
        <v>61</v>
      </c>
      <c r="L247" s="9">
        <v>13</v>
      </c>
      <c r="M247" s="9">
        <f t="shared" si="10"/>
        <v>15.25</v>
      </c>
      <c r="N247" s="9">
        <f t="shared" si="11"/>
        <v>3.25</v>
      </c>
      <c r="O247" t="str">
        <f t="shared" si="12"/>
        <v>copy localization\training_deepblues4.png E:\software\MediaInfo(获取media属性)\localization\training_deepblues4.png</v>
      </c>
      <c r="P247" t="s">
        <v>2651</v>
      </c>
    </row>
    <row r="248" spans="5:16">
      <c r="E248">
        <v>2576</v>
      </c>
      <c r="J248" s="9" t="s">
        <v>3778</v>
      </c>
      <c r="K248" s="9">
        <v>49</v>
      </c>
      <c r="L248" s="9">
        <v>13</v>
      </c>
      <c r="M248" s="9">
        <f t="shared" si="10"/>
        <v>12.25</v>
      </c>
      <c r="N248" s="9">
        <f t="shared" si="11"/>
        <v>3.25</v>
      </c>
      <c r="O248" t="str">
        <f t="shared" si="12"/>
        <v>copy localization\training_direbat.png E:\software\MediaInfo(获取media属性)\localization\training_direbat.png</v>
      </c>
      <c r="P248" t="s">
        <v>2651</v>
      </c>
    </row>
    <row r="249" spans="5:16">
      <c r="E249">
        <v>2577</v>
      </c>
      <c r="J249" s="9" t="s">
        <v>3740</v>
      </c>
      <c r="K249" s="9">
        <v>37</v>
      </c>
      <c r="L249" s="9">
        <v>13</v>
      </c>
      <c r="M249" s="9">
        <f t="shared" si="10"/>
        <v>9.25</v>
      </c>
      <c r="N249" s="9">
        <f t="shared" si="11"/>
        <v>3.25</v>
      </c>
      <c r="O249" t="str">
        <f t="shared" si="12"/>
        <v>copy localization\training_firebeetle.png E:\software\MediaInfo(获取media属性)\localization\training_firebeetle.png</v>
      </c>
      <c r="P249" t="s">
        <v>2651</v>
      </c>
    </row>
    <row r="250" spans="5:16">
      <c r="E250">
        <v>2578</v>
      </c>
      <c r="J250" s="9" t="s">
        <v>3735</v>
      </c>
      <c r="K250" s="9">
        <v>37</v>
      </c>
      <c r="L250" s="9">
        <v>13</v>
      </c>
      <c r="M250" s="9">
        <f t="shared" si="10"/>
        <v>9.25</v>
      </c>
      <c r="N250" s="9">
        <f t="shared" si="11"/>
        <v>3.25</v>
      </c>
      <c r="O250" t="str">
        <f t="shared" si="12"/>
        <v>copy localization\training_fireelemental.png E:\software\MediaInfo(获取media属性)\localization\training_fireelemental.png</v>
      </c>
      <c r="P250" t="s">
        <v>2651</v>
      </c>
    </row>
    <row r="251" spans="5:16">
      <c r="E251">
        <v>2579</v>
      </c>
      <c r="J251" s="9" t="s">
        <v>3728</v>
      </c>
      <c r="K251" s="9">
        <v>61</v>
      </c>
      <c r="L251" s="9">
        <v>13</v>
      </c>
      <c r="M251" s="9">
        <f t="shared" si="10"/>
        <v>15.25</v>
      </c>
      <c r="N251" s="9">
        <f t="shared" si="11"/>
        <v>3.25</v>
      </c>
      <c r="O251" t="str">
        <f t="shared" si="12"/>
        <v>copy localization\training_fireslime.png E:\software\MediaInfo(获取media属性)\localization\training_fireslime.png</v>
      </c>
      <c r="P251" t="s">
        <v>2651</v>
      </c>
    </row>
    <row r="252" spans="5:16">
      <c r="E252">
        <v>2580</v>
      </c>
      <c r="J252" s="9" t="s">
        <v>3747</v>
      </c>
      <c r="K252" s="9">
        <v>25</v>
      </c>
      <c r="L252" s="9">
        <v>13</v>
      </c>
      <c r="M252" s="9">
        <f t="shared" si="10"/>
        <v>6.25</v>
      </c>
      <c r="N252" s="9">
        <f t="shared" si="11"/>
        <v>3.25</v>
      </c>
      <c r="O252" t="str">
        <f t="shared" si="12"/>
        <v>copy localization\training_ghast.png E:\software\MediaInfo(获取media属性)\localization\training_ghast.png</v>
      </c>
      <c r="P252" t="s">
        <v>2651</v>
      </c>
    </row>
    <row r="253" spans="5:16">
      <c r="E253">
        <v>2581</v>
      </c>
      <c r="J253" s="9" t="s">
        <v>3701</v>
      </c>
      <c r="K253" s="9">
        <v>25</v>
      </c>
      <c r="L253" s="9">
        <v>13</v>
      </c>
      <c r="M253" s="9">
        <f t="shared" si="10"/>
        <v>6.25</v>
      </c>
      <c r="N253" s="9">
        <f t="shared" si="11"/>
        <v>3.25</v>
      </c>
      <c r="O253" t="str">
        <f t="shared" si="12"/>
        <v>copy localization\training_ghost.png E:\software\MediaInfo(获取media属性)\localization\training_ghost.png</v>
      </c>
      <c r="P253" t="s">
        <v>2651</v>
      </c>
    </row>
    <row r="254" spans="5:16">
      <c r="E254">
        <v>2582</v>
      </c>
      <c r="J254" s="9" t="s">
        <v>3776</v>
      </c>
      <c r="K254" s="9">
        <v>25</v>
      </c>
      <c r="L254" s="9">
        <v>13</v>
      </c>
      <c r="M254" s="9">
        <f t="shared" si="10"/>
        <v>6.25</v>
      </c>
      <c r="N254" s="9">
        <f t="shared" si="11"/>
        <v>3.25</v>
      </c>
      <c r="O254" t="str">
        <f t="shared" si="12"/>
        <v>copy localization\training_ghoul.png E:\software\MediaInfo(获取media属性)\localization\training_ghoul.png</v>
      </c>
      <c r="P254" t="s">
        <v>2651</v>
      </c>
    </row>
    <row r="255" spans="5:16">
      <c r="E255">
        <v>2583</v>
      </c>
      <c r="J255" s="9" t="s">
        <v>3737</v>
      </c>
      <c r="K255" s="9">
        <v>37</v>
      </c>
      <c r="L255" s="9">
        <v>13</v>
      </c>
      <c r="M255" s="9">
        <f t="shared" si="10"/>
        <v>9.25</v>
      </c>
      <c r="N255" s="9">
        <f t="shared" si="11"/>
        <v>3.25</v>
      </c>
      <c r="O255" t="str">
        <f t="shared" si="12"/>
        <v>copy localization\training_goblin.png E:\software\MediaInfo(获取media属性)\localization\training_goblin.png</v>
      </c>
      <c r="P255" t="s">
        <v>2651</v>
      </c>
    </row>
    <row r="256" spans="5:16">
      <c r="E256">
        <v>2584</v>
      </c>
      <c r="J256" s="9" t="s">
        <v>3767</v>
      </c>
      <c r="K256" s="9">
        <v>37</v>
      </c>
      <c r="L256" s="9">
        <v>13</v>
      </c>
      <c r="M256" s="9">
        <f t="shared" si="10"/>
        <v>9.25</v>
      </c>
      <c r="N256" s="9">
        <f t="shared" si="11"/>
        <v>3.25</v>
      </c>
      <c r="O256" t="str">
        <f t="shared" si="12"/>
        <v>copy localization\training_goblinbomber1.png E:\software\MediaInfo(获取media属性)\localization\training_goblinbomber1.png</v>
      </c>
      <c r="P256" t="s">
        <v>2651</v>
      </c>
    </row>
    <row r="257" spans="5:16">
      <c r="E257">
        <v>2585</v>
      </c>
      <c r="J257" s="9" t="s">
        <v>3768</v>
      </c>
      <c r="K257" s="9">
        <v>37</v>
      </c>
      <c r="L257" s="9">
        <v>13</v>
      </c>
      <c r="M257" s="9">
        <f t="shared" si="10"/>
        <v>9.25</v>
      </c>
      <c r="N257" s="9">
        <f t="shared" si="11"/>
        <v>3.25</v>
      </c>
      <c r="O257" t="str">
        <f t="shared" si="12"/>
        <v>copy localization\training_goblinbomber2.png E:\software\MediaInfo(获取media属性)\localization\training_goblinbomber2.png</v>
      </c>
      <c r="P257" t="s">
        <v>2651</v>
      </c>
    </row>
    <row r="258" spans="5:16">
      <c r="E258">
        <v>2586</v>
      </c>
      <c r="J258" s="9" t="s">
        <v>3771</v>
      </c>
      <c r="K258" s="9">
        <v>61</v>
      </c>
      <c r="L258" s="9">
        <v>13</v>
      </c>
      <c r="M258" s="9">
        <f t="shared" si="10"/>
        <v>15.25</v>
      </c>
      <c r="N258" s="9">
        <f t="shared" si="11"/>
        <v>3.25</v>
      </c>
      <c r="O258" t="str">
        <f t="shared" si="12"/>
        <v>copy localization\training_goblinsentry2.png E:\software\MediaInfo(获取media属性)\localization\training_goblinsentry2.png</v>
      </c>
      <c r="P258" t="s">
        <v>2651</v>
      </c>
    </row>
    <row r="259" spans="5:16">
      <c r="E259">
        <v>2587</v>
      </c>
      <c r="J259" s="9" t="s">
        <v>3813</v>
      </c>
      <c r="K259" s="9">
        <v>61</v>
      </c>
      <c r="L259" s="9">
        <v>13</v>
      </c>
      <c r="M259" s="9">
        <f t="shared" ref="M259:M322" si="13">0.25*K259</f>
        <v>15.25</v>
      </c>
      <c r="N259" s="9">
        <f t="shared" ref="N259:N322" si="14">L259*0.25</f>
        <v>3.25</v>
      </c>
      <c r="O259" t="str">
        <f t="shared" ref="O259:O322" si="15">"copy "&amp;SUBSTITUTE(J259,"/","\") &amp;" E:\software\MediaInfo(获取media属性)\"&amp;SUBSTITUTE(J259,"/","\")</f>
        <v>copy localization\training_goldenlute.png E:\software\MediaInfo(获取media属性)\localization\training_goldenlute.png</v>
      </c>
      <c r="P259" t="s">
        <v>2651</v>
      </c>
    </row>
    <row r="260" spans="5:16">
      <c r="E260">
        <v>2588</v>
      </c>
      <c r="J260" s="9" t="s">
        <v>3719</v>
      </c>
      <c r="K260" s="9">
        <v>37</v>
      </c>
      <c r="L260" s="9">
        <v>13</v>
      </c>
      <c r="M260" s="9">
        <f t="shared" si="13"/>
        <v>9.25</v>
      </c>
      <c r="N260" s="9">
        <f t="shared" si="14"/>
        <v>3.25</v>
      </c>
      <c r="O260" t="str">
        <f t="shared" si="15"/>
        <v>copy localization\training_golem.png E:\software\MediaInfo(获取media属性)\localization\training_golem.png</v>
      </c>
      <c r="P260" t="s">
        <v>2651</v>
      </c>
    </row>
    <row r="261" spans="5:16">
      <c r="E261">
        <v>2589</v>
      </c>
      <c r="J261" s="9" t="s">
        <v>3779</v>
      </c>
      <c r="K261" s="9">
        <v>73</v>
      </c>
      <c r="L261" s="9">
        <v>13</v>
      </c>
      <c r="M261" s="9">
        <f t="shared" si="13"/>
        <v>18.25</v>
      </c>
      <c r="N261" s="9">
        <f t="shared" si="14"/>
        <v>3.25</v>
      </c>
      <c r="O261" t="str">
        <f t="shared" si="15"/>
        <v>copy localization\training_graydirebat.png E:\software\MediaInfo(获取media属性)\localization\training_graydirebat.png</v>
      </c>
      <c r="P261" t="s">
        <v>2651</v>
      </c>
    </row>
    <row r="262" spans="5:16">
      <c r="E262">
        <v>2590</v>
      </c>
      <c r="J262" s="9" t="s">
        <v>3739</v>
      </c>
      <c r="K262" s="9">
        <v>61</v>
      </c>
      <c r="L262" s="9">
        <v>13</v>
      </c>
      <c r="M262" s="9">
        <f t="shared" si="13"/>
        <v>15.25</v>
      </c>
      <c r="N262" s="9">
        <f t="shared" si="14"/>
        <v>3.25</v>
      </c>
      <c r="O262" t="str">
        <f t="shared" si="15"/>
        <v>copy localization\training_graygoblin2.png E:\software\MediaInfo(获取media属性)\localization\training_graygoblin2.png</v>
      </c>
      <c r="P262" t="s">
        <v>2651</v>
      </c>
    </row>
    <row r="263" spans="5:16">
      <c r="E263">
        <v>2591</v>
      </c>
      <c r="J263" s="9" t="s">
        <v>3787</v>
      </c>
      <c r="K263" s="9">
        <v>85</v>
      </c>
      <c r="L263" s="9">
        <v>13</v>
      </c>
      <c r="M263" s="9">
        <f t="shared" si="13"/>
        <v>21.25</v>
      </c>
      <c r="N263" s="9">
        <f t="shared" si="14"/>
        <v>3.25</v>
      </c>
      <c r="O263" t="str">
        <f t="shared" si="15"/>
        <v>copy localization\training_grayminotaur.png E:\software\MediaInfo(获取media属性)\localization\training_grayminotaur.png</v>
      </c>
      <c r="P263" t="s">
        <v>2651</v>
      </c>
    </row>
    <row r="264" spans="5:16">
      <c r="E264">
        <v>2592</v>
      </c>
      <c r="J264" s="9" t="s">
        <v>3744</v>
      </c>
      <c r="K264" s="9">
        <v>37</v>
      </c>
      <c r="L264" s="9">
        <v>13</v>
      </c>
      <c r="M264" s="9">
        <f t="shared" si="13"/>
        <v>9.25</v>
      </c>
      <c r="N264" s="9">
        <f t="shared" si="14"/>
        <v>3.25</v>
      </c>
      <c r="O264" t="str">
        <f t="shared" si="15"/>
        <v>copy localization\training_grayshovemonster2.png E:\software\MediaInfo(获取media属性)\localization\training_grayshovemonster2.png</v>
      </c>
      <c r="P264" t="s">
        <v>2651</v>
      </c>
    </row>
    <row r="265" spans="5:16">
      <c r="E265">
        <v>2593</v>
      </c>
      <c r="J265" s="9" t="s">
        <v>3785</v>
      </c>
      <c r="K265" s="9">
        <v>49</v>
      </c>
      <c r="L265" s="9">
        <v>13</v>
      </c>
      <c r="M265" s="9">
        <f t="shared" si="13"/>
        <v>12.25</v>
      </c>
      <c r="N265" s="9">
        <f t="shared" si="14"/>
        <v>3.25</v>
      </c>
      <c r="O265" t="str">
        <f t="shared" si="15"/>
        <v>copy localization\training_greenbanshee2.png E:\software\MediaInfo(获取media属性)\localization\training_greenbanshee2.png</v>
      </c>
      <c r="P265" t="s">
        <v>2651</v>
      </c>
    </row>
    <row r="266" spans="5:16">
      <c r="E266">
        <v>2594</v>
      </c>
      <c r="J266" s="9" t="s">
        <v>3698</v>
      </c>
      <c r="K266" s="9">
        <v>37</v>
      </c>
      <c r="L266" s="9">
        <v>13</v>
      </c>
      <c r="M266" s="9">
        <f t="shared" si="13"/>
        <v>9.25</v>
      </c>
      <c r="N266" s="9">
        <f t="shared" si="14"/>
        <v>3.25</v>
      </c>
      <c r="O266" t="str">
        <f t="shared" si="15"/>
        <v>copy localization\training_greenbat.png E:\software\MediaInfo(获取media属性)\localization\training_greenbat.png</v>
      </c>
      <c r="P266" t="s">
        <v>2651</v>
      </c>
    </row>
    <row r="267" spans="5:16">
      <c r="E267">
        <v>5000</v>
      </c>
      <c r="J267" s="9" t="s">
        <v>3780</v>
      </c>
      <c r="K267" s="9">
        <v>25</v>
      </c>
      <c r="L267" s="9">
        <v>13</v>
      </c>
      <c r="M267" s="9">
        <f t="shared" si="13"/>
        <v>6.25</v>
      </c>
      <c r="N267" s="9">
        <f t="shared" si="14"/>
        <v>3.25</v>
      </c>
      <c r="O267" t="str">
        <f t="shared" si="15"/>
        <v>copy localization\training_greendragon.png E:\software\MediaInfo(获取media属性)\localization\training_greendragon.png</v>
      </c>
      <c r="P267" t="s">
        <v>2651</v>
      </c>
    </row>
    <row r="268" spans="5:16">
      <c r="E268">
        <v>5001</v>
      </c>
      <c r="J268" s="9" t="s">
        <v>3758</v>
      </c>
      <c r="K268" s="9">
        <v>49</v>
      </c>
      <c r="L268" s="9">
        <v>13</v>
      </c>
      <c r="M268" s="9">
        <f t="shared" si="13"/>
        <v>12.25</v>
      </c>
      <c r="N268" s="9">
        <f t="shared" si="14"/>
        <v>3.25</v>
      </c>
      <c r="O268" t="str">
        <f t="shared" si="15"/>
        <v>copy localization\training_greenmonkey2.png E:\software\MediaInfo(获取media属性)\localization\training_greenmonkey2.png</v>
      </c>
      <c r="P268" t="s">
        <v>2651</v>
      </c>
    </row>
    <row r="269" spans="5:16">
      <c r="E269">
        <v>5002</v>
      </c>
      <c r="J269" s="9" t="s">
        <v>3690</v>
      </c>
      <c r="K269" s="9">
        <v>49</v>
      </c>
      <c r="L269" s="9">
        <v>13</v>
      </c>
      <c r="M269" s="9">
        <f t="shared" si="13"/>
        <v>12.25</v>
      </c>
      <c r="N269" s="9">
        <f t="shared" si="14"/>
        <v>3.25</v>
      </c>
      <c r="O269" t="str">
        <f t="shared" si="15"/>
        <v>copy localization\training_greenslime.png E:\software\MediaInfo(获取media属性)\localization\training_greenslime.png</v>
      </c>
      <c r="P269" t="s">
        <v>2651</v>
      </c>
    </row>
    <row r="270" spans="5:16">
      <c r="E270">
        <v>5003</v>
      </c>
      <c r="J270" s="9" t="s">
        <v>3766</v>
      </c>
      <c r="K270" s="9">
        <v>49</v>
      </c>
      <c r="L270" s="9">
        <v>13</v>
      </c>
      <c r="M270" s="9">
        <f t="shared" si="13"/>
        <v>12.25</v>
      </c>
      <c r="N270" s="9">
        <f t="shared" si="14"/>
        <v>3.25</v>
      </c>
      <c r="O270" t="str">
        <f t="shared" si="15"/>
        <v>copy localization\training_harpy.png E:\software\MediaInfo(获取media属性)\localization\training_harpy.png</v>
      </c>
      <c r="P270" t="s">
        <v>2651</v>
      </c>
    </row>
    <row r="271" spans="5:16">
      <c r="E271">
        <v>5004</v>
      </c>
      <c r="J271" s="9" t="s">
        <v>3745</v>
      </c>
      <c r="K271" s="9">
        <v>37</v>
      </c>
      <c r="L271" s="9">
        <v>13</v>
      </c>
      <c r="M271" s="9">
        <f t="shared" si="13"/>
        <v>9.25</v>
      </c>
      <c r="N271" s="9">
        <f t="shared" si="14"/>
        <v>3.25</v>
      </c>
      <c r="O271" t="str">
        <f t="shared" si="15"/>
        <v>copy localization\training_hellhound.png E:\software\MediaInfo(获取media属性)\localization\training_hellhound.png</v>
      </c>
      <c r="P271" t="s">
        <v>2651</v>
      </c>
    </row>
    <row r="272" spans="5:16">
      <c r="E272">
        <v>5005</v>
      </c>
      <c r="J272" s="9" t="s">
        <v>3741</v>
      </c>
      <c r="K272" s="9">
        <v>37</v>
      </c>
      <c r="L272" s="9">
        <v>13</v>
      </c>
      <c r="M272" s="9">
        <f t="shared" si="13"/>
        <v>9.25</v>
      </c>
      <c r="N272" s="9">
        <f t="shared" si="14"/>
        <v>3.25</v>
      </c>
      <c r="O272" t="str">
        <f t="shared" si="15"/>
        <v>copy localization\training_icebeetle.png E:\software\MediaInfo(获取media属性)\localization\training_icebeetle.png</v>
      </c>
      <c r="P272" t="s">
        <v>2651</v>
      </c>
    </row>
    <row r="273" spans="5:16">
      <c r="E273">
        <v>5006</v>
      </c>
      <c r="J273" s="9" t="s">
        <v>3736</v>
      </c>
      <c r="K273" s="9">
        <v>37</v>
      </c>
      <c r="L273" s="9">
        <v>13</v>
      </c>
      <c r="M273" s="9">
        <f t="shared" si="13"/>
        <v>9.25</v>
      </c>
      <c r="N273" s="9">
        <f t="shared" si="14"/>
        <v>3.25</v>
      </c>
      <c r="O273" t="str">
        <f t="shared" si="15"/>
        <v>copy localization\training_iceelemental.png E:\software\MediaInfo(获取media属性)\localization\training_iceelemental.png</v>
      </c>
      <c r="P273" t="s">
        <v>2651</v>
      </c>
    </row>
    <row r="274" spans="5:16">
      <c r="E274">
        <v>5007</v>
      </c>
      <c r="J274" s="9" t="s">
        <v>3729</v>
      </c>
      <c r="K274" s="9">
        <v>61</v>
      </c>
      <c r="L274" s="9">
        <v>13</v>
      </c>
      <c r="M274" s="9">
        <f t="shared" si="13"/>
        <v>15.25</v>
      </c>
      <c r="N274" s="9">
        <f t="shared" si="14"/>
        <v>3.25</v>
      </c>
      <c r="O274" t="str">
        <f t="shared" si="15"/>
        <v>copy localization\training_iceslime.png E:\software\MediaInfo(获取media属性)\localization\training_iceslime.png</v>
      </c>
      <c r="P274" t="s">
        <v>2651</v>
      </c>
    </row>
    <row r="275" spans="5:16">
      <c r="E275">
        <v>5008</v>
      </c>
      <c r="J275" s="9" t="s">
        <v>3792</v>
      </c>
      <c r="K275" s="9">
        <v>61</v>
      </c>
      <c r="L275" s="9">
        <v>13</v>
      </c>
      <c r="M275" s="9">
        <f t="shared" si="13"/>
        <v>15.25</v>
      </c>
      <c r="N275" s="9">
        <f t="shared" si="14"/>
        <v>3.25</v>
      </c>
      <c r="O275" t="str">
        <f t="shared" si="15"/>
        <v>copy localization\training_kingconga1.png E:\software\MediaInfo(获取media属性)\localization\training_kingconga1.png</v>
      </c>
      <c r="P275" t="s">
        <v>2651</v>
      </c>
    </row>
    <row r="276" spans="5:16">
      <c r="E276">
        <v>5009</v>
      </c>
      <c r="J276" s="9" t="s">
        <v>3793</v>
      </c>
      <c r="K276" s="9">
        <v>61</v>
      </c>
      <c r="L276" s="9">
        <v>13</v>
      </c>
      <c r="M276" s="9">
        <f t="shared" si="13"/>
        <v>15.25</v>
      </c>
      <c r="N276" s="9">
        <f t="shared" si="14"/>
        <v>3.25</v>
      </c>
      <c r="O276" t="str">
        <f t="shared" si="15"/>
        <v>copy localization\training_kingconga2.png E:\software\MediaInfo(获取media属性)\localization\training_kingconga2.png</v>
      </c>
      <c r="P276" t="s">
        <v>2651</v>
      </c>
    </row>
    <row r="277" spans="5:16">
      <c r="E277">
        <v>5010</v>
      </c>
      <c r="J277" s="9" t="s">
        <v>3794</v>
      </c>
      <c r="K277" s="9">
        <v>61</v>
      </c>
      <c r="L277" s="9">
        <v>13</v>
      </c>
      <c r="M277" s="9">
        <f t="shared" si="13"/>
        <v>15.25</v>
      </c>
      <c r="N277" s="9">
        <f t="shared" si="14"/>
        <v>3.25</v>
      </c>
      <c r="O277" t="str">
        <f t="shared" si="15"/>
        <v>copy localization\training_kingconga3.png E:\software\MediaInfo(获取media属性)\localization\training_kingconga3.png</v>
      </c>
      <c r="P277" t="s">
        <v>2651</v>
      </c>
    </row>
    <row r="278" spans="5:16">
      <c r="E278">
        <v>5011</v>
      </c>
      <c r="J278" s="9" t="s">
        <v>3795</v>
      </c>
      <c r="K278" s="9">
        <v>61</v>
      </c>
      <c r="L278" s="9">
        <v>13</v>
      </c>
      <c r="M278" s="9">
        <f t="shared" si="13"/>
        <v>15.25</v>
      </c>
      <c r="N278" s="9">
        <f t="shared" si="14"/>
        <v>3.25</v>
      </c>
      <c r="O278" t="str">
        <f t="shared" si="15"/>
        <v>copy localization\training_kingconga4.png E:\software\MediaInfo(获取media属性)\localization\training_kingconga4.png</v>
      </c>
      <c r="P278" t="s">
        <v>2651</v>
      </c>
    </row>
    <row r="279" spans="5:16">
      <c r="E279">
        <v>5012</v>
      </c>
      <c r="J279" s="9" t="s">
        <v>3754</v>
      </c>
      <c r="K279" s="9">
        <v>25</v>
      </c>
      <c r="L279" s="9">
        <v>13</v>
      </c>
      <c r="M279" s="9">
        <f t="shared" si="13"/>
        <v>6.25</v>
      </c>
      <c r="N279" s="9">
        <f t="shared" si="14"/>
        <v>3.25</v>
      </c>
      <c r="O279" t="str">
        <f t="shared" si="15"/>
        <v>copy localization\training_lich.png E:\software\MediaInfo(获取media属性)\localization\training_lich.png</v>
      </c>
      <c r="P279" t="s">
        <v>2651</v>
      </c>
    </row>
    <row r="280" spans="5:16">
      <c r="E280">
        <v>5013</v>
      </c>
      <c r="J280" s="9" t="s">
        <v>3760</v>
      </c>
      <c r="K280" s="9">
        <v>49</v>
      </c>
      <c r="L280" s="9">
        <v>13</v>
      </c>
      <c r="M280" s="9">
        <f t="shared" si="13"/>
        <v>12.25</v>
      </c>
      <c r="N280" s="9">
        <f t="shared" si="14"/>
        <v>3.25</v>
      </c>
      <c r="O280" t="str">
        <f t="shared" si="15"/>
        <v>copy localization\training_magicmonkey2.png E:\software\MediaInfo(获取media属性)\localization\training_magicmonkey2.png</v>
      </c>
      <c r="P280" t="s">
        <v>2651</v>
      </c>
    </row>
    <row r="281" spans="5:16">
      <c r="E281">
        <v>5014</v>
      </c>
      <c r="J281" s="9" t="s">
        <v>3786</v>
      </c>
      <c r="K281" s="9">
        <v>61</v>
      </c>
      <c r="L281" s="9">
        <v>13</v>
      </c>
      <c r="M281" s="9">
        <f t="shared" si="13"/>
        <v>15.25</v>
      </c>
      <c r="N281" s="9">
        <f t="shared" si="14"/>
        <v>3.25</v>
      </c>
      <c r="O281" t="str">
        <f t="shared" si="15"/>
        <v>copy localization\training_minotaur.png E:\software\MediaInfo(获取media属性)\localization\training_minotaur.png</v>
      </c>
      <c r="P281" t="s">
        <v>2651</v>
      </c>
    </row>
    <row r="282" spans="5:16">
      <c r="E282">
        <v>5015</v>
      </c>
      <c r="J282" s="9" t="s">
        <v>3725</v>
      </c>
      <c r="K282" s="9">
        <v>25</v>
      </c>
      <c r="L282" s="9">
        <v>13</v>
      </c>
      <c r="M282" s="9">
        <f t="shared" si="13"/>
        <v>6.25</v>
      </c>
      <c r="N282" s="9">
        <f t="shared" si="14"/>
        <v>3.25</v>
      </c>
      <c r="O282" t="str">
        <f t="shared" si="15"/>
        <v>copy localization\training_mole.png E:\software\MediaInfo(获取media属性)\localization\training_mole.png</v>
      </c>
      <c r="P282" t="s">
        <v>2651</v>
      </c>
    </row>
    <row r="283" spans="5:16">
      <c r="E283">
        <v>5016</v>
      </c>
      <c r="J283" s="9" t="s">
        <v>3790</v>
      </c>
      <c r="K283" s="9">
        <v>61</v>
      </c>
      <c r="L283" s="9">
        <v>13</v>
      </c>
      <c r="M283" s="9">
        <f t="shared" si="13"/>
        <v>15.25</v>
      </c>
      <c r="N283" s="9">
        <f t="shared" si="14"/>
        <v>3.25</v>
      </c>
      <c r="O283" t="str">
        <f t="shared" si="15"/>
        <v>copy localization\training_mommy.png E:\software\MediaInfo(获取media属性)\localization\training_mommy.png</v>
      </c>
      <c r="P283" t="s">
        <v>2651</v>
      </c>
    </row>
    <row r="284" spans="5:16">
      <c r="E284">
        <v>5017</v>
      </c>
      <c r="J284" s="9" t="s">
        <v>3699</v>
      </c>
      <c r="K284" s="9">
        <v>25</v>
      </c>
      <c r="L284" s="9">
        <v>13</v>
      </c>
      <c r="M284" s="9">
        <f t="shared" si="13"/>
        <v>6.25</v>
      </c>
      <c r="N284" s="9">
        <f t="shared" si="14"/>
        <v>3.25</v>
      </c>
      <c r="O284" t="str">
        <f t="shared" si="15"/>
        <v>copy localization\training_monkey.png E:\software\MediaInfo(获取media属性)\localization\training_monkey.png</v>
      </c>
      <c r="P284" t="s">
        <v>2651</v>
      </c>
    </row>
    <row r="285" spans="5:16">
      <c r="E285">
        <v>5018</v>
      </c>
      <c r="J285" s="9" t="s">
        <v>3716</v>
      </c>
      <c r="K285" s="9">
        <v>37</v>
      </c>
      <c r="L285" s="9">
        <v>13</v>
      </c>
      <c r="M285" s="9">
        <f t="shared" si="13"/>
        <v>9.25</v>
      </c>
      <c r="N285" s="9">
        <f t="shared" si="14"/>
        <v>3.25</v>
      </c>
      <c r="O285" t="str">
        <f t="shared" si="15"/>
        <v>copy localization\training_mushroom.png E:\software\MediaInfo(获取media属性)\localization\training_mushroom.png</v>
      </c>
      <c r="P285" t="s">
        <v>2651</v>
      </c>
    </row>
    <row r="286" spans="5:16">
      <c r="E286">
        <v>5019</v>
      </c>
      <c r="J286" s="9" t="s">
        <v>3810</v>
      </c>
      <c r="K286" s="9">
        <v>49</v>
      </c>
      <c r="L286" s="9">
        <v>13</v>
      </c>
      <c r="M286" s="9">
        <f t="shared" si="13"/>
        <v>12.25</v>
      </c>
      <c r="N286" s="9">
        <f t="shared" si="14"/>
        <v>3.25</v>
      </c>
      <c r="O286" t="str">
        <f t="shared" si="15"/>
        <v>copy localization\training_necrodancer2.png E:\software\MediaInfo(获取media属性)\localization\training_necrodancer2.png</v>
      </c>
      <c r="P286" t="s">
        <v>2651</v>
      </c>
    </row>
    <row r="287" spans="5:16">
      <c r="E287">
        <v>5020</v>
      </c>
      <c r="J287" s="9" t="s">
        <v>3812</v>
      </c>
      <c r="K287" s="9">
        <v>61</v>
      </c>
      <c r="L287" s="9">
        <v>13</v>
      </c>
      <c r="M287" s="9">
        <f t="shared" si="13"/>
        <v>15.25</v>
      </c>
      <c r="N287" s="9">
        <f t="shared" si="14"/>
        <v>3.25</v>
      </c>
      <c r="O287" t="str">
        <f t="shared" si="15"/>
        <v>copy localization\training_necrodancer4.png E:\software\MediaInfo(获取media属性)\localization\training_necrodancer4.png</v>
      </c>
      <c r="P287" t="s">
        <v>2651</v>
      </c>
    </row>
    <row r="288" spans="5:16">
      <c r="E288">
        <v>5021</v>
      </c>
      <c r="J288" s="9" t="s">
        <v>3762</v>
      </c>
      <c r="K288" s="9">
        <v>49</v>
      </c>
      <c r="L288" s="9">
        <v>13</v>
      </c>
      <c r="M288" s="9">
        <f t="shared" si="13"/>
        <v>12.25</v>
      </c>
      <c r="N288" s="9">
        <f t="shared" si="14"/>
        <v>3.25</v>
      </c>
      <c r="O288" t="str">
        <f t="shared" si="15"/>
        <v>copy localization\training_neonwarlock.png E:\software\MediaInfo(获取media属性)\localization\training_neonwarlock.png</v>
      </c>
      <c r="P288" t="s">
        <v>2651</v>
      </c>
    </row>
    <row r="289" spans="5:16">
      <c r="E289">
        <v>5022</v>
      </c>
      <c r="J289" s="9" t="s">
        <v>3788</v>
      </c>
      <c r="K289" s="9">
        <v>25</v>
      </c>
      <c r="L289" s="9">
        <v>13</v>
      </c>
      <c r="M289" s="9">
        <f t="shared" si="13"/>
        <v>6.25</v>
      </c>
      <c r="N289" s="9">
        <f t="shared" si="14"/>
        <v>3.25</v>
      </c>
      <c r="O289" t="str">
        <f t="shared" si="15"/>
        <v>copy localization\training_nightmare.png E:\software\MediaInfo(获取media属性)\localization\training_nightmare.png</v>
      </c>
      <c r="P289" t="s">
        <v>2651</v>
      </c>
    </row>
    <row r="290" spans="5:16">
      <c r="E290">
        <v>5023</v>
      </c>
      <c r="J290" s="9" t="s">
        <v>3791</v>
      </c>
      <c r="K290" s="9">
        <v>37</v>
      </c>
      <c r="L290" s="9">
        <v>13</v>
      </c>
      <c r="M290" s="9">
        <f t="shared" si="13"/>
        <v>9.25</v>
      </c>
      <c r="N290" s="9">
        <f t="shared" si="14"/>
        <v>3.25</v>
      </c>
      <c r="O290" t="str">
        <f t="shared" si="15"/>
        <v>copy localization\training_ogre.png E:\software\MediaInfo(获取media属性)\localization\training_ogre.png</v>
      </c>
      <c r="P290" t="s">
        <v>2651</v>
      </c>
    </row>
    <row r="291" spans="5:16">
      <c r="E291">
        <v>5024</v>
      </c>
      <c r="J291" s="9" t="s">
        <v>3772</v>
      </c>
      <c r="K291" s="9">
        <v>49</v>
      </c>
      <c r="L291" s="9">
        <v>13</v>
      </c>
      <c r="M291" s="9">
        <f t="shared" si="13"/>
        <v>12.25</v>
      </c>
      <c r="N291" s="9">
        <f t="shared" si="14"/>
        <v>3.25</v>
      </c>
      <c r="O291" t="str">
        <f t="shared" si="15"/>
        <v>copy localization\training_oozegolem.png E:\software\MediaInfo(获取media属性)\localization\training_oozegolem.png</v>
      </c>
      <c r="P291" t="s">
        <v>2651</v>
      </c>
    </row>
    <row r="292" spans="5:16">
      <c r="E292">
        <v>5025</v>
      </c>
      <c r="J292" s="9" t="s">
        <v>3775</v>
      </c>
      <c r="K292" s="9">
        <v>49</v>
      </c>
      <c r="L292" s="9">
        <v>13</v>
      </c>
      <c r="M292" s="9">
        <f t="shared" si="13"/>
        <v>12.25</v>
      </c>
      <c r="N292" s="9">
        <f t="shared" si="14"/>
        <v>3.25</v>
      </c>
      <c r="O292" t="str">
        <f t="shared" si="15"/>
        <v>copy localization\training_orangearmadillo2.png E:\software\MediaInfo(获取media属性)\localization\training_orangearmadillo2.png</v>
      </c>
      <c r="P292" t="s">
        <v>2651</v>
      </c>
    </row>
    <row r="293" spans="5:16">
      <c r="E293">
        <v>5026</v>
      </c>
      <c r="J293" s="9" t="s">
        <v>3692</v>
      </c>
      <c r="K293" s="9">
        <v>49</v>
      </c>
      <c r="L293" s="9">
        <v>13</v>
      </c>
      <c r="M293" s="9">
        <f t="shared" si="13"/>
        <v>12.25</v>
      </c>
      <c r="N293" s="9">
        <f t="shared" si="14"/>
        <v>3.25</v>
      </c>
      <c r="O293" t="str">
        <f t="shared" si="15"/>
        <v>copy localization\training_orangeslime.png E:\software\MediaInfo(获取media属性)\localization\training_orangeslime.png</v>
      </c>
      <c r="P293" t="s">
        <v>2651</v>
      </c>
    </row>
    <row r="294" spans="5:16">
      <c r="E294">
        <v>5027</v>
      </c>
      <c r="J294" s="9" t="s">
        <v>3777</v>
      </c>
      <c r="K294" s="9">
        <v>37</v>
      </c>
      <c r="L294" s="9">
        <v>13</v>
      </c>
      <c r="M294" s="9">
        <f t="shared" si="13"/>
        <v>9.25</v>
      </c>
      <c r="N294" s="9">
        <f t="shared" si="14"/>
        <v>3.25</v>
      </c>
      <c r="O294" t="str">
        <f t="shared" si="15"/>
        <v>copy localization\training_pixie.png E:\software\MediaInfo(获取media属性)\localization\training_pixie.png</v>
      </c>
      <c r="P294" t="s">
        <v>2651</v>
      </c>
    </row>
    <row r="295" spans="5:16">
      <c r="E295">
        <v>5028</v>
      </c>
      <c r="J295" s="9" t="s">
        <v>3718</v>
      </c>
      <c r="K295" s="9">
        <v>61</v>
      </c>
      <c r="L295" s="9">
        <v>13</v>
      </c>
      <c r="M295" s="9">
        <f t="shared" si="13"/>
        <v>15.25</v>
      </c>
      <c r="N295" s="9">
        <f t="shared" si="14"/>
        <v>3.25</v>
      </c>
      <c r="O295" t="str">
        <f t="shared" si="15"/>
        <v>copy localization\training_purplemushroom2.png E:\software\MediaInfo(获取media属性)\localization\training_purplemushroom2.png</v>
      </c>
      <c r="P295" t="s">
        <v>2651</v>
      </c>
    </row>
    <row r="296" spans="5:16">
      <c r="E296">
        <v>5029</v>
      </c>
      <c r="J296" s="9" t="s">
        <v>3697</v>
      </c>
      <c r="K296" s="9">
        <v>37</v>
      </c>
      <c r="L296" s="9">
        <v>13</v>
      </c>
      <c r="M296" s="9">
        <f t="shared" si="13"/>
        <v>9.25</v>
      </c>
      <c r="N296" s="9">
        <f t="shared" si="14"/>
        <v>3.25</v>
      </c>
      <c r="O296" t="str">
        <f t="shared" si="15"/>
        <v>copy localization\training_redbat.png E:\software\MediaInfo(获取media属性)\localization\training_redbat.png</v>
      </c>
      <c r="P296" t="s">
        <v>2651</v>
      </c>
    </row>
    <row r="297" spans="5:16">
      <c r="E297">
        <v>5030</v>
      </c>
      <c r="J297" s="9" t="s">
        <v>3781</v>
      </c>
      <c r="K297" s="9">
        <v>25</v>
      </c>
      <c r="L297" s="9">
        <v>13</v>
      </c>
      <c r="M297" s="9">
        <f t="shared" si="13"/>
        <v>6.25</v>
      </c>
      <c r="N297" s="9">
        <f t="shared" si="14"/>
        <v>3.25</v>
      </c>
      <c r="O297" t="str">
        <f t="shared" si="15"/>
        <v>copy localization\training_reddragon.png E:\software\MediaInfo(获取media属性)\localization\training_reddragon.png</v>
      </c>
      <c r="P297" t="s">
        <v>2651</v>
      </c>
    </row>
    <row r="298" spans="5:16">
      <c r="E298">
        <v>5031</v>
      </c>
      <c r="J298" s="9" t="s">
        <v>3755</v>
      </c>
      <c r="K298" s="9">
        <v>37</v>
      </c>
      <c r="L298" s="9">
        <v>13</v>
      </c>
      <c r="M298" s="9">
        <f t="shared" si="13"/>
        <v>9.25</v>
      </c>
      <c r="N298" s="9">
        <f t="shared" si="14"/>
        <v>3.25</v>
      </c>
      <c r="O298" t="str">
        <f t="shared" si="15"/>
        <v>copy localization\training_redlich.png E:\software\MediaInfo(获取media属性)\localization\training_redlich.png</v>
      </c>
      <c r="P298" t="s">
        <v>2651</v>
      </c>
    </row>
    <row r="299" spans="5:16">
      <c r="E299">
        <v>5032</v>
      </c>
      <c r="J299" s="9" t="s">
        <v>3749</v>
      </c>
      <c r="K299" s="9">
        <v>25</v>
      </c>
      <c r="L299" s="9">
        <v>13</v>
      </c>
      <c r="M299" s="9">
        <f t="shared" si="13"/>
        <v>6.25</v>
      </c>
      <c r="N299" s="9">
        <f t="shared" si="14"/>
        <v>3.25</v>
      </c>
      <c r="O299" t="str">
        <f t="shared" si="15"/>
        <v>copy localization\training_sarcophagus.png E:\software\MediaInfo(获取media属性)\localization\training_sarcophagus.png</v>
      </c>
      <c r="P299" t="s">
        <v>2651</v>
      </c>
    </row>
    <row r="300" spans="5:16">
      <c r="E300">
        <v>5033</v>
      </c>
      <c r="J300" s="9" t="s">
        <v>3742</v>
      </c>
      <c r="K300" s="9">
        <v>37</v>
      </c>
      <c r="L300" s="9">
        <v>13</v>
      </c>
      <c r="M300" s="9">
        <f t="shared" si="13"/>
        <v>9.25</v>
      </c>
      <c r="N300" s="9">
        <f t="shared" si="14"/>
        <v>3.25</v>
      </c>
      <c r="O300" t="str">
        <f t="shared" si="15"/>
        <v>copy localization\training_shovemonster.png E:\software\MediaInfo(获取media属性)\localization\training_shovemonster.png</v>
      </c>
      <c r="P300" t="s">
        <v>2651</v>
      </c>
    </row>
    <row r="301" spans="5:16">
      <c r="E301">
        <v>5034</v>
      </c>
      <c r="J301" s="9" t="s">
        <v>3693</v>
      </c>
      <c r="K301" s="9">
        <v>25</v>
      </c>
      <c r="L301" s="9">
        <v>13</v>
      </c>
      <c r="M301" s="9">
        <f t="shared" si="13"/>
        <v>6.25</v>
      </c>
      <c r="N301" s="9">
        <f t="shared" si="14"/>
        <v>3.25</v>
      </c>
      <c r="O301" t="str">
        <f t="shared" si="15"/>
        <v>copy localization\training_skeleton.png E:\software\MediaInfo(获取media属性)\localization\training_skeleton.png</v>
      </c>
      <c r="P301" t="s">
        <v>2651</v>
      </c>
    </row>
    <row r="302" spans="5:16">
      <c r="E302">
        <v>5035</v>
      </c>
      <c r="J302" s="9" t="s">
        <v>3730</v>
      </c>
      <c r="K302" s="9">
        <v>49</v>
      </c>
      <c r="L302" s="9">
        <v>13</v>
      </c>
      <c r="M302" s="9">
        <f t="shared" si="13"/>
        <v>12.25</v>
      </c>
      <c r="N302" s="9">
        <f t="shared" si="14"/>
        <v>3.25</v>
      </c>
      <c r="O302" t="str">
        <f t="shared" si="15"/>
        <v>copy localization\training_skeletonknight.png E:\software\MediaInfo(获取media属性)\localization\training_skeletonknight.png</v>
      </c>
      <c r="P302" t="s">
        <v>2651</v>
      </c>
    </row>
    <row r="303" spans="5:16">
      <c r="E303">
        <v>5036</v>
      </c>
      <c r="J303" s="9" t="s">
        <v>3711</v>
      </c>
      <c r="K303" s="9">
        <v>49</v>
      </c>
      <c r="L303" s="9">
        <v>13</v>
      </c>
      <c r="M303" s="9">
        <f t="shared" si="13"/>
        <v>12.25</v>
      </c>
      <c r="N303" s="9">
        <f t="shared" si="14"/>
        <v>3.25</v>
      </c>
      <c r="O303" t="str">
        <f t="shared" si="15"/>
        <v>copy localization\training_skeletonmage.png E:\software\MediaInfo(获取media属性)\localization\training_skeletonmage.png</v>
      </c>
      <c r="P303" t="s">
        <v>2651</v>
      </c>
    </row>
    <row r="304" spans="5:16">
      <c r="E304">
        <v>5037</v>
      </c>
      <c r="J304" s="9" t="s">
        <v>3769</v>
      </c>
      <c r="K304" s="9">
        <v>25</v>
      </c>
      <c r="L304" s="9">
        <v>13</v>
      </c>
      <c r="M304" s="9">
        <f t="shared" si="13"/>
        <v>6.25</v>
      </c>
      <c r="N304" s="9">
        <f t="shared" si="14"/>
        <v>3.25</v>
      </c>
      <c r="O304" t="str">
        <f t="shared" si="15"/>
        <v>copy localization\training_spider.png E:\software\MediaInfo(获取media属性)\localization\training_spider.png</v>
      </c>
      <c r="P304" t="s">
        <v>2651</v>
      </c>
    </row>
    <row r="305" spans="5:16">
      <c r="E305">
        <v>5038</v>
      </c>
      <c r="J305" s="9" t="s">
        <v>3724</v>
      </c>
      <c r="K305" s="9">
        <v>37</v>
      </c>
      <c r="L305" s="9">
        <v>13</v>
      </c>
      <c r="M305" s="9">
        <f t="shared" si="13"/>
        <v>9.25</v>
      </c>
      <c r="N305" s="9">
        <f t="shared" si="14"/>
        <v>3.25</v>
      </c>
      <c r="O305" t="str">
        <f t="shared" si="15"/>
        <v>copy localization\training_tarmonster.png E:\software\MediaInfo(获取media属性)\localization\training_tarmonster.png</v>
      </c>
      <c r="P305" t="s">
        <v>2651</v>
      </c>
    </row>
    <row r="306" spans="5:16">
      <c r="E306">
        <v>5039</v>
      </c>
      <c r="J306" s="9" t="s">
        <v>3727</v>
      </c>
      <c r="K306" s="9">
        <v>37</v>
      </c>
      <c r="L306" s="9">
        <v>13</v>
      </c>
      <c r="M306" s="9">
        <f t="shared" si="13"/>
        <v>9.25</v>
      </c>
      <c r="N306" s="9">
        <f t="shared" si="14"/>
        <v>3.25</v>
      </c>
      <c r="O306" t="str">
        <f t="shared" si="15"/>
        <v>copy localization\training_wallmimic.png E:\software\MediaInfo(获取media属性)\localization\training_wallmimic.png</v>
      </c>
      <c r="P306" t="s">
        <v>2651</v>
      </c>
    </row>
    <row r="307" spans="5:16">
      <c r="E307">
        <v>5040</v>
      </c>
      <c r="J307" s="9" t="s">
        <v>3761</v>
      </c>
      <c r="K307" s="9">
        <v>25</v>
      </c>
      <c r="L307" s="9">
        <v>13</v>
      </c>
      <c r="M307" s="9">
        <f t="shared" si="13"/>
        <v>6.25</v>
      </c>
      <c r="N307" s="9">
        <f t="shared" si="14"/>
        <v>3.25</v>
      </c>
      <c r="O307" t="str">
        <f t="shared" si="15"/>
        <v>copy localization\training_warlock.png E:\software\MediaInfo(获取media属性)\localization\training_warlock.png</v>
      </c>
      <c r="P307" t="s">
        <v>2651</v>
      </c>
    </row>
    <row r="308" spans="5:16">
      <c r="E308">
        <v>5041</v>
      </c>
      <c r="J308" s="9" t="s">
        <v>3700</v>
      </c>
      <c r="K308" s="9">
        <v>37</v>
      </c>
      <c r="L308" s="9">
        <v>13</v>
      </c>
      <c r="M308" s="9">
        <f t="shared" si="13"/>
        <v>9.25</v>
      </c>
      <c r="N308" s="9">
        <f t="shared" si="14"/>
        <v>3.25</v>
      </c>
      <c r="O308" t="str">
        <f t="shared" si="15"/>
        <v>copy localization\training_whitemonkey.png E:\software\MediaInfo(获取media属性)\localization\training_whitemonkey.png</v>
      </c>
      <c r="P308" t="s">
        <v>2651</v>
      </c>
    </row>
    <row r="309" spans="5:16">
      <c r="E309">
        <v>5042</v>
      </c>
      <c r="J309" s="9" t="s">
        <v>3726</v>
      </c>
      <c r="K309" s="9">
        <v>25</v>
      </c>
      <c r="L309" s="9">
        <v>13</v>
      </c>
      <c r="M309" s="9">
        <f t="shared" si="13"/>
        <v>6.25</v>
      </c>
      <c r="N309" s="9">
        <f t="shared" si="14"/>
        <v>3.25</v>
      </c>
      <c r="O309" t="str">
        <f t="shared" si="15"/>
        <v>copy localization\training_wight.png E:\software\MediaInfo(获取media属性)\localization\training_wight.png</v>
      </c>
      <c r="P309" t="s">
        <v>2651</v>
      </c>
    </row>
    <row r="310" spans="5:16">
      <c r="E310">
        <v>5043</v>
      </c>
      <c r="J310" s="9" t="s">
        <v>3703</v>
      </c>
      <c r="K310" s="9">
        <v>25</v>
      </c>
      <c r="L310" s="9">
        <v>13</v>
      </c>
      <c r="M310" s="9">
        <f t="shared" si="13"/>
        <v>6.25</v>
      </c>
      <c r="N310" s="9">
        <f t="shared" si="14"/>
        <v>3.25</v>
      </c>
      <c r="O310" t="str">
        <f t="shared" si="15"/>
        <v>copy localization\training_wraith.png E:\software\MediaInfo(获取media属性)\localization\training_wraith.png</v>
      </c>
      <c r="P310" t="s">
        <v>2651</v>
      </c>
    </row>
    <row r="311" spans="5:16">
      <c r="E311">
        <v>5044</v>
      </c>
      <c r="J311" s="9" t="s">
        <v>3722</v>
      </c>
      <c r="K311" s="9">
        <v>49</v>
      </c>
      <c r="L311" s="9">
        <v>13</v>
      </c>
      <c r="M311" s="9">
        <f t="shared" si="13"/>
        <v>12.25</v>
      </c>
      <c r="N311" s="9">
        <f t="shared" si="14"/>
        <v>3.25</v>
      </c>
      <c r="O311" t="str">
        <f t="shared" si="15"/>
        <v>copy localization\training_yellowarmadillo.png E:\software\MediaInfo(获取media属性)\localization\training_yellowarmadillo.png</v>
      </c>
      <c r="P311" t="s">
        <v>2651</v>
      </c>
    </row>
    <row r="312" spans="5:16">
      <c r="E312">
        <v>5045</v>
      </c>
      <c r="J312" s="9" t="s">
        <v>3708</v>
      </c>
      <c r="K312" s="9">
        <v>73</v>
      </c>
      <c r="L312" s="9">
        <v>13</v>
      </c>
      <c r="M312" s="9">
        <f t="shared" si="13"/>
        <v>18.25</v>
      </c>
      <c r="N312" s="9">
        <f t="shared" si="14"/>
        <v>3.25</v>
      </c>
      <c r="O312" t="str">
        <f t="shared" si="15"/>
        <v>copy localization\training_yellowarmoredskeleton2.png E:\software\MediaInfo(获取media属性)\localization\training_yellowarmoredskeleton2.png</v>
      </c>
      <c r="P312" t="s">
        <v>2651</v>
      </c>
    </row>
    <row r="313" spans="5:16">
      <c r="E313">
        <v>5046</v>
      </c>
      <c r="J313" s="9" t="s">
        <v>3751</v>
      </c>
      <c r="K313" s="9">
        <v>49</v>
      </c>
      <c r="L313" s="9">
        <v>13</v>
      </c>
      <c r="M313" s="9">
        <f t="shared" si="13"/>
        <v>12.25</v>
      </c>
      <c r="N313" s="9">
        <f t="shared" si="14"/>
        <v>3.25</v>
      </c>
      <c r="O313" t="str">
        <f t="shared" si="15"/>
        <v>copy localization\training_yellowsarcophagus2.png E:\software\MediaInfo(获取media属性)\localization\training_yellowsarcophagus2.png</v>
      </c>
      <c r="P313" t="s">
        <v>2651</v>
      </c>
    </row>
    <row r="314" spans="5:16">
      <c r="E314">
        <v>5047</v>
      </c>
      <c r="J314" s="9" t="s">
        <v>3694</v>
      </c>
      <c r="K314" s="9">
        <v>37</v>
      </c>
      <c r="L314" s="9">
        <v>13</v>
      </c>
      <c r="M314" s="9">
        <f t="shared" si="13"/>
        <v>9.25</v>
      </c>
      <c r="N314" s="9">
        <f t="shared" si="14"/>
        <v>3.25</v>
      </c>
      <c r="O314" t="str">
        <f t="shared" si="15"/>
        <v>copy localization\training_yellowskeleton.png E:\software\MediaInfo(获取media属性)\localization\training_yellowskeleton.png</v>
      </c>
      <c r="P314" t="s">
        <v>2651</v>
      </c>
    </row>
    <row r="315" spans="5:16">
      <c r="E315">
        <v>5048</v>
      </c>
      <c r="J315" s="9" t="s">
        <v>3732</v>
      </c>
      <c r="K315" s="9">
        <v>73</v>
      </c>
      <c r="L315" s="9">
        <v>13</v>
      </c>
      <c r="M315" s="9">
        <f t="shared" si="13"/>
        <v>18.25</v>
      </c>
      <c r="N315" s="9">
        <f t="shared" si="14"/>
        <v>3.25</v>
      </c>
      <c r="O315" t="str">
        <f t="shared" si="15"/>
        <v>copy localization\training_yellowskeletonknight2.png E:\software\MediaInfo(获取media属性)\localization\training_yellowskeletonknight2.png</v>
      </c>
      <c r="P315" t="s">
        <v>2651</v>
      </c>
    </row>
    <row r="316" spans="5:16">
      <c r="E316">
        <v>5049</v>
      </c>
      <c r="J316" s="9" t="s">
        <v>3713</v>
      </c>
      <c r="K316" s="9">
        <v>73</v>
      </c>
      <c r="L316" s="9">
        <v>13</v>
      </c>
      <c r="M316" s="9">
        <f t="shared" si="13"/>
        <v>18.25</v>
      </c>
      <c r="N316" s="9">
        <f t="shared" si="14"/>
        <v>3.25</v>
      </c>
      <c r="O316" t="str">
        <f t="shared" si="15"/>
        <v>copy localization\training_yellowskeletonmage2.png E:\software\MediaInfo(获取media属性)\localization\training_yellowskeletonmage2.png</v>
      </c>
      <c r="P316" t="s">
        <v>2651</v>
      </c>
    </row>
    <row r="317" spans="5:16">
      <c r="E317">
        <v>5050</v>
      </c>
      <c r="J317" s="9" t="s">
        <v>3746</v>
      </c>
      <c r="K317" s="9">
        <v>49</v>
      </c>
      <c r="L317" s="9">
        <v>13</v>
      </c>
      <c r="M317" s="9">
        <f t="shared" si="13"/>
        <v>12.25</v>
      </c>
      <c r="N317" s="9">
        <f t="shared" si="14"/>
        <v>3.25</v>
      </c>
      <c r="O317" t="str">
        <f t="shared" si="15"/>
        <v>copy localization\training_yeti.png E:\software\MediaInfo(获取media属性)\localization\training_yeti.png</v>
      </c>
      <c r="P317" t="s">
        <v>2651</v>
      </c>
    </row>
    <row r="318" spans="5:16">
      <c r="E318">
        <v>5051</v>
      </c>
      <c r="J318" s="9" t="s">
        <v>3702</v>
      </c>
      <c r="K318" s="9">
        <v>25</v>
      </c>
      <c r="L318" s="9">
        <v>13</v>
      </c>
      <c r="M318" s="9">
        <f t="shared" si="13"/>
        <v>6.25</v>
      </c>
      <c r="N318" s="9">
        <f t="shared" si="14"/>
        <v>3.25</v>
      </c>
      <c r="O318" t="str">
        <f t="shared" si="15"/>
        <v>copy localization\training_zombie.png E:\software\MediaInfo(获取media属性)\localization\training_zombie.png</v>
      </c>
      <c r="P318" t="s">
        <v>2651</v>
      </c>
    </row>
    <row r="319" spans="5:16">
      <c r="E319">
        <v>5052</v>
      </c>
    </row>
    <row r="320" spans="5:16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workbookViewId="0">
      <selection activeCell="C57" sqref="C57"/>
    </sheetView>
  </sheetViews>
  <sheetFormatPr defaultRowHeight="14.25"/>
  <cols>
    <col min="1" max="1" width="23.125" bestFit="1" customWidth="1"/>
    <col min="2" max="2" width="81" bestFit="1" customWidth="1"/>
    <col min="3" max="3" width="77.125" bestFit="1" customWidth="1"/>
    <col min="4" max="4" width="52.75" bestFit="1" customWidth="1"/>
    <col min="5" max="5" width="15.125" bestFit="1" customWidth="1"/>
  </cols>
  <sheetData>
    <row r="1" spans="1:4">
      <c r="A1" s="9" t="s">
        <v>1402</v>
      </c>
      <c r="B1" s="11" t="s">
        <v>1403</v>
      </c>
      <c r="C1" s="11" t="s">
        <v>1726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2479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2042</v>
      </c>
      <c r="D37" s="1" t="s">
        <v>148</v>
      </c>
    </row>
    <row r="38" spans="1:4">
      <c r="A38">
        <v>37</v>
      </c>
      <c r="B38" s="1" t="s">
        <v>45</v>
      </c>
      <c r="C38" s="1" t="s">
        <v>2043</v>
      </c>
      <c r="D38" s="1" t="s">
        <v>148</v>
      </c>
    </row>
    <row r="39" spans="1:4">
      <c r="A39">
        <v>38</v>
      </c>
      <c r="B39" s="1" t="s">
        <v>46</v>
      </c>
      <c r="C39" s="1" t="s">
        <v>2479</v>
      </c>
      <c r="D39" s="1" t="s">
        <v>148</v>
      </c>
    </row>
    <row r="40" spans="1:4">
      <c r="A40">
        <v>39</v>
      </c>
      <c r="B40" s="1" t="s">
        <v>47</v>
      </c>
      <c r="C40" s="1" t="s">
        <v>2044</v>
      </c>
      <c r="D40" s="1" t="s">
        <v>148</v>
      </c>
    </row>
    <row r="41" spans="1:4">
      <c r="A41">
        <v>40</v>
      </c>
      <c r="B41" s="1" t="s">
        <v>48</v>
      </c>
      <c r="C41" s="1" t="s">
        <v>2479</v>
      </c>
      <c r="D41" s="1" t="s">
        <v>148</v>
      </c>
    </row>
    <row r="42" spans="1:4">
      <c r="A42">
        <v>41</v>
      </c>
      <c r="B42" s="1" t="s">
        <v>49</v>
      </c>
      <c r="C42" s="1" t="s">
        <v>2045</v>
      </c>
      <c r="D42" s="1" t="s">
        <v>148</v>
      </c>
    </row>
    <row r="43" spans="1:4">
      <c r="A43">
        <v>42</v>
      </c>
      <c r="B43" s="1" t="s">
        <v>50</v>
      </c>
      <c r="C43" s="1" t="s">
        <v>2479</v>
      </c>
      <c r="D43" s="1" t="s">
        <v>148</v>
      </c>
    </row>
    <row r="44" spans="1:4">
      <c r="A44">
        <v>43</v>
      </c>
      <c r="B44" s="1" t="s">
        <v>51</v>
      </c>
      <c r="C44" s="1" t="s">
        <v>2046</v>
      </c>
      <c r="D44" s="1" t="s">
        <v>148</v>
      </c>
    </row>
    <row r="45" spans="1:4">
      <c r="A45">
        <v>44</v>
      </c>
      <c r="B45" s="1" t="s">
        <v>52</v>
      </c>
      <c r="C45" s="1" t="s">
        <v>2479</v>
      </c>
      <c r="D45" s="1" t="s">
        <v>148</v>
      </c>
    </row>
    <row r="46" spans="1:4">
      <c r="A46">
        <v>45</v>
      </c>
      <c r="B46" s="1" t="s">
        <v>53</v>
      </c>
      <c r="C46" s="1" t="s">
        <v>2103</v>
      </c>
      <c r="D46" s="1" t="s">
        <v>148</v>
      </c>
    </row>
    <row r="47" spans="1:4">
      <c r="A47">
        <v>46</v>
      </c>
      <c r="B47" s="1" t="s">
        <v>54</v>
      </c>
      <c r="C47" s="1" t="s">
        <v>2479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/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1444</v>
      </c>
      <c r="D68" s="1" t="s">
        <v>148</v>
      </c>
    </row>
    <row r="69" spans="1:4">
      <c r="A69">
        <v>68</v>
      </c>
      <c r="B69" s="1" t="s">
        <v>76</v>
      </c>
      <c r="C69" s="1" t="s">
        <v>1385</v>
      </c>
      <c r="D69" s="1" t="s">
        <v>148</v>
      </c>
    </row>
    <row r="70" spans="1:4">
      <c r="A70">
        <v>69</v>
      </c>
      <c r="B70" s="1" t="s">
        <v>77</v>
      </c>
      <c r="C70" s="1" t="s">
        <v>1386</v>
      </c>
      <c r="D70" s="1" t="s">
        <v>148</v>
      </c>
    </row>
    <row r="71" spans="1:4">
      <c r="A71">
        <v>70</v>
      </c>
      <c r="B71" s="1" t="s">
        <v>78</v>
      </c>
      <c r="C71" s="1" t="s">
        <v>1387</v>
      </c>
      <c r="D71" s="1" t="s">
        <v>148</v>
      </c>
    </row>
    <row r="72" spans="1:4">
      <c r="A72">
        <v>71</v>
      </c>
      <c r="B72" s="1" t="s">
        <v>79</v>
      </c>
      <c r="C72" s="1" t="s">
        <v>1386</v>
      </c>
      <c r="D72" s="1" t="s">
        <v>148</v>
      </c>
    </row>
    <row r="73" spans="1:4">
      <c r="A73">
        <v>72</v>
      </c>
      <c r="B73" s="1" t="s">
        <v>80</v>
      </c>
      <c r="C73" s="1" t="s">
        <v>1385</v>
      </c>
      <c r="D73" s="1" t="s">
        <v>148</v>
      </c>
    </row>
    <row r="74" spans="1:4">
      <c r="A74">
        <v>73</v>
      </c>
      <c r="B74" s="1" t="s">
        <v>81</v>
      </c>
      <c r="C74" s="1" t="s">
        <v>2590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1968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1854</v>
      </c>
      <c r="D91" s="1" t="s">
        <v>148</v>
      </c>
    </row>
    <row r="92" spans="1:4">
      <c r="A92">
        <v>91</v>
      </c>
      <c r="B92" s="1" t="s">
        <v>98</v>
      </c>
      <c r="C92" s="1" t="s">
        <v>1969</v>
      </c>
      <c r="D92" s="1" t="s">
        <v>148</v>
      </c>
    </row>
    <row r="93" spans="1:4">
      <c r="A93">
        <v>92</v>
      </c>
      <c r="B93" s="1" t="s">
        <v>99</v>
      </c>
      <c r="C93" s="1" t="s">
        <v>1872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1873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/>
      <c r="D103" s="1" t="s">
        <v>148</v>
      </c>
    </row>
    <row r="104" spans="1:4">
      <c r="A104">
        <v>103</v>
      </c>
      <c r="B104" s="1" t="s">
        <v>109</v>
      </c>
      <c r="C104" s="1"/>
      <c r="D104" s="1" t="s">
        <v>148</v>
      </c>
    </row>
    <row r="105" spans="1:4">
      <c r="A105">
        <v>104</v>
      </c>
      <c r="B105" s="1" t="s">
        <v>110</v>
      </c>
      <c r="C105" s="1" t="s">
        <v>1806</v>
      </c>
      <c r="D105" s="1" t="s">
        <v>148</v>
      </c>
    </row>
    <row r="106" spans="1:4">
      <c r="A106">
        <v>105</v>
      </c>
      <c r="B106" s="1" t="s">
        <v>64</v>
      </c>
      <c r="C106" s="1" t="s">
        <v>2479</v>
      </c>
      <c r="D106" s="1" t="s">
        <v>148</v>
      </c>
    </row>
    <row r="107" spans="1:4">
      <c r="A107">
        <v>106</v>
      </c>
      <c r="B107" s="1" t="s">
        <v>111</v>
      </c>
      <c r="C107" s="1" t="s">
        <v>1807</v>
      </c>
      <c r="D107" s="1" t="s">
        <v>148</v>
      </c>
    </row>
    <row r="108" spans="1:4">
      <c r="A108">
        <v>107</v>
      </c>
      <c r="B108" s="1" t="s">
        <v>112</v>
      </c>
      <c r="C108" s="1" t="s">
        <v>1808</v>
      </c>
      <c r="D108" s="1" t="s">
        <v>148</v>
      </c>
    </row>
    <row r="109" spans="1:4">
      <c r="A109">
        <v>108</v>
      </c>
      <c r="B109" s="1" t="s">
        <v>113</v>
      </c>
      <c r="C109" s="1" t="s">
        <v>1759</v>
      </c>
      <c r="D109" s="1" t="s">
        <v>148</v>
      </c>
    </row>
    <row r="110" spans="1:4">
      <c r="A110">
        <v>109</v>
      </c>
      <c r="B110" s="1" t="s">
        <v>66</v>
      </c>
      <c r="C110" s="1" t="s">
        <v>2479</v>
      </c>
      <c r="D110" s="1" t="s">
        <v>148</v>
      </c>
    </row>
    <row r="111" spans="1:4">
      <c r="A111">
        <v>110</v>
      </c>
      <c r="B111" s="1" t="s">
        <v>114</v>
      </c>
      <c r="C111" s="1" t="s">
        <v>1679</v>
      </c>
      <c r="D111" s="1" t="s">
        <v>148</v>
      </c>
    </row>
    <row r="112" spans="1:4">
      <c r="A112">
        <v>111</v>
      </c>
      <c r="B112" s="1" t="s">
        <v>66</v>
      </c>
      <c r="C112" s="1" t="s">
        <v>2479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2104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1755</v>
      </c>
      <c r="D129" s="1" t="s">
        <v>148</v>
      </c>
    </row>
    <row r="130" spans="1:4">
      <c r="A130">
        <v>129</v>
      </c>
      <c r="B130" s="1" t="s">
        <v>129</v>
      </c>
      <c r="C130" s="1" t="s">
        <v>1758</v>
      </c>
      <c r="D130" s="1" t="s">
        <v>148</v>
      </c>
    </row>
    <row r="131" spans="1:4">
      <c r="A131">
        <v>130</v>
      </c>
      <c r="B131" s="1" t="s">
        <v>130</v>
      </c>
      <c r="C131" s="1" t="s">
        <v>1874</v>
      </c>
      <c r="D131" s="1" t="s">
        <v>148</v>
      </c>
    </row>
    <row r="132" spans="1:4">
      <c r="A132">
        <v>131</v>
      </c>
      <c r="B132" s="1" t="s">
        <v>131</v>
      </c>
      <c r="C132" s="1" t="s">
        <v>1809</v>
      </c>
      <c r="D132" s="1" t="s">
        <v>148</v>
      </c>
    </row>
    <row r="133" spans="1:4">
      <c r="A133">
        <v>132</v>
      </c>
      <c r="B133" s="1" t="s">
        <v>132</v>
      </c>
      <c r="C133" s="1" t="s">
        <v>1875</v>
      </c>
      <c r="D133" s="1" t="s">
        <v>148</v>
      </c>
    </row>
    <row r="134" spans="1:4">
      <c r="A134">
        <v>133</v>
      </c>
      <c r="B134" s="1" t="s">
        <v>133</v>
      </c>
      <c r="C134" s="1" t="s">
        <v>1876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1877</v>
      </c>
      <c r="D136" s="1" t="s">
        <v>148</v>
      </c>
    </row>
    <row r="137" spans="1:4">
      <c r="A137">
        <v>136</v>
      </c>
      <c r="B137" s="1" t="s">
        <v>136</v>
      </c>
      <c r="C137" s="1" t="s">
        <v>1876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1762</v>
      </c>
      <c r="D139" s="1" t="s">
        <v>148</v>
      </c>
    </row>
    <row r="140" spans="1:4">
      <c r="A140">
        <v>139</v>
      </c>
      <c r="B140" s="1" t="s">
        <v>139</v>
      </c>
      <c r="C140" s="1" t="s">
        <v>1763</v>
      </c>
      <c r="D140" s="1" t="s">
        <v>148</v>
      </c>
    </row>
    <row r="141" spans="1:4">
      <c r="A141">
        <v>140</v>
      </c>
      <c r="B141" s="1" t="s">
        <v>140</v>
      </c>
      <c r="C141" s="1" t="s">
        <v>1756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1878</v>
      </c>
      <c r="D162" s="1" t="s">
        <v>164</v>
      </c>
    </row>
    <row r="163" spans="1:4">
      <c r="A163">
        <v>162</v>
      </c>
      <c r="B163" s="1" t="s">
        <v>163</v>
      </c>
      <c r="C163" s="1" t="s">
        <v>1679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1878</v>
      </c>
      <c r="D177" s="1" t="s">
        <v>165</v>
      </c>
    </row>
    <row r="178" spans="1:4">
      <c r="A178">
        <v>177</v>
      </c>
      <c r="B178" s="1" t="s">
        <v>163</v>
      </c>
      <c r="C178" s="1" t="s">
        <v>1679</v>
      </c>
      <c r="D178" s="1" t="s">
        <v>165</v>
      </c>
    </row>
    <row r="179" spans="1:4">
      <c r="A179">
        <v>180</v>
      </c>
      <c r="B179" s="1" t="s">
        <v>166</v>
      </c>
      <c r="C179" s="1" t="s">
        <v>1879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1880</v>
      </c>
      <c r="D193" s="1" t="s">
        <v>271</v>
      </c>
    </row>
    <row r="194" spans="1:4">
      <c r="A194">
        <v>195</v>
      </c>
      <c r="B194" s="1" t="s">
        <v>181</v>
      </c>
      <c r="C194" s="1" t="s">
        <v>1881</v>
      </c>
      <c r="D194" s="1" t="s">
        <v>271</v>
      </c>
    </row>
    <row r="195" spans="1:4">
      <c r="A195">
        <v>196</v>
      </c>
      <c r="B195" s="1" t="s">
        <v>182</v>
      </c>
      <c r="C195" s="1" t="s">
        <v>1882</v>
      </c>
      <c r="D195" s="1" t="s">
        <v>271</v>
      </c>
    </row>
    <row r="196" spans="1:4">
      <c r="A196">
        <v>197</v>
      </c>
      <c r="B196" s="1" t="s">
        <v>183</v>
      </c>
      <c r="C196" s="1" t="s">
        <v>1883</v>
      </c>
      <c r="D196" s="1" t="s">
        <v>271</v>
      </c>
    </row>
    <row r="197" spans="1:4">
      <c r="A197">
        <v>198</v>
      </c>
      <c r="B197" s="1" t="s">
        <v>184</v>
      </c>
      <c r="C197" s="1" t="s">
        <v>1884</v>
      </c>
      <c r="D197" s="1" t="s">
        <v>271</v>
      </c>
    </row>
    <row r="198" spans="1:4">
      <c r="A198">
        <v>200</v>
      </c>
      <c r="B198" s="1" t="s">
        <v>185</v>
      </c>
      <c r="C198" s="1" t="s">
        <v>1885</v>
      </c>
      <c r="D198" s="1" t="s">
        <v>271</v>
      </c>
    </row>
    <row r="199" spans="1:4">
      <c r="A199">
        <v>201</v>
      </c>
      <c r="B199" s="1" t="s">
        <v>186</v>
      </c>
      <c r="C199" s="1" t="s">
        <v>1886</v>
      </c>
      <c r="D199" s="1" t="s">
        <v>271</v>
      </c>
    </row>
    <row r="200" spans="1:4">
      <c r="A200">
        <v>202</v>
      </c>
      <c r="B200" s="1" t="s">
        <v>187</v>
      </c>
      <c r="C200" s="1" t="s">
        <v>1887</v>
      </c>
      <c r="D200" s="1" t="s">
        <v>271</v>
      </c>
    </row>
    <row r="201" spans="1:4">
      <c r="A201">
        <v>203</v>
      </c>
      <c r="B201" s="1" t="s">
        <v>188</v>
      </c>
      <c r="C201" s="1" t="s">
        <v>1888</v>
      </c>
      <c r="D201" s="1" t="s">
        <v>271</v>
      </c>
    </row>
    <row r="202" spans="1:4">
      <c r="A202">
        <v>204</v>
      </c>
      <c r="B202" s="1" t="s">
        <v>189</v>
      </c>
      <c r="C202" s="1" t="s">
        <v>2591</v>
      </c>
      <c r="D202" s="1" t="s">
        <v>271</v>
      </c>
    </row>
    <row r="203" spans="1:4">
      <c r="A203">
        <v>205</v>
      </c>
      <c r="B203" s="1" t="s">
        <v>190</v>
      </c>
      <c r="C203" s="1" t="s">
        <v>1889</v>
      </c>
      <c r="D203" s="1" t="s">
        <v>271</v>
      </c>
    </row>
    <row r="204" spans="1:4">
      <c r="A204">
        <v>206</v>
      </c>
      <c r="B204" s="1" t="s">
        <v>191</v>
      </c>
      <c r="C204" s="1" t="s">
        <v>1890</v>
      </c>
      <c r="D204" s="1" t="s">
        <v>271</v>
      </c>
    </row>
    <row r="205" spans="1:4">
      <c r="A205">
        <v>207</v>
      </c>
      <c r="B205" s="1" t="s">
        <v>186</v>
      </c>
      <c r="C205" s="1" t="s">
        <v>1886</v>
      </c>
      <c r="D205" s="1" t="s">
        <v>271</v>
      </c>
    </row>
    <row r="206" spans="1:4">
      <c r="A206">
        <v>208</v>
      </c>
      <c r="B206" s="1" t="s">
        <v>192</v>
      </c>
      <c r="C206" s="1" t="s">
        <v>1891</v>
      </c>
      <c r="D206" s="1" t="s">
        <v>271</v>
      </c>
    </row>
    <row r="207" spans="1:4">
      <c r="A207">
        <v>209</v>
      </c>
      <c r="B207" s="1" t="s">
        <v>193</v>
      </c>
      <c r="C207" s="1" t="s">
        <v>1892</v>
      </c>
      <c r="D207" s="1" t="s">
        <v>271</v>
      </c>
    </row>
    <row r="208" spans="1:4">
      <c r="A208">
        <v>210</v>
      </c>
      <c r="B208" s="1" t="s">
        <v>194</v>
      </c>
      <c r="C208" s="1" t="s">
        <v>1893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1894</v>
      </c>
      <c r="D210" s="1" t="s">
        <v>271</v>
      </c>
    </row>
    <row r="211" spans="1:4">
      <c r="A211">
        <v>213</v>
      </c>
      <c r="B211" s="1" t="s">
        <v>197</v>
      </c>
      <c r="C211" s="1" t="s">
        <v>1895</v>
      </c>
      <c r="D211" s="1" t="s">
        <v>271</v>
      </c>
    </row>
    <row r="212" spans="1:4">
      <c r="A212">
        <v>214</v>
      </c>
      <c r="B212" s="1" t="s">
        <v>198</v>
      </c>
      <c r="C212" s="1" t="s">
        <v>1896</v>
      </c>
      <c r="D212" s="1" t="s">
        <v>271</v>
      </c>
    </row>
    <row r="213" spans="1:4">
      <c r="A213">
        <v>215</v>
      </c>
      <c r="B213" s="1" t="s">
        <v>199</v>
      </c>
      <c r="C213" s="1" t="s">
        <v>1897</v>
      </c>
      <c r="D213" s="1" t="s">
        <v>271</v>
      </c>
    </row>
    <row r="214" spans="1:4">
      <c r="A214">
        <v>216</v>
      </c>
      <c r="B214" s="1" t="s">
        <v>200</v>
      </c>
      <c r="C214" s="1" t="s">
        <v>1898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1727</v>
      </c>
      <c r="D216" s="1" t="s">
        <v>271</v>
      </c>
    </row>
    <row r="217" spans="1:4">
      <c r="A217">
        <v>219</v>
      </c>
      <c r="B217" s="1" t="s">
        <v>203</v>
      </c>
      <c r="C217" s="1" t="s">
        <v>1728</v>
      </c>
      <c r="D217" s="1" t="s">
        <v>271</v>
      </c>
    </row>
    <row r="218" spans="1:4">
      <c r="A218">
        <v>220</v>
      </c>
      <c r="B218" s="1" t="s">
        <v>204</v>
      </c>
      <c r="C218" s="1" t="s">
        <v>1729</v>
      </c>
      <c r="D218" s="1" t="s">
        <v>271</v>
      </c>
    </row>
    <row r="219" spans="1:4">
      <c r="A219">
        <v>221</v>
      </c>
      <c r="B219" s="1" t="s">
        <v>205</v>
      </c>
      <c r="C219" s="1" t="s">
        <v>1730</v>
      </c>
      <c r="D219" s="1" t="s">
        <v>271</v>
      </c>
    </row>
    <row r="220" spans="1:4">
      <c r="A220">
        <v>222</v>
      </c>
      <c r="B220" s="1" t="s">
        <v>206</v>
      </c>
      <c r="C220" s="1" t="s">
        <v>1731</v>
      </c>
      <c r="D220" s="1" t="s">
        <v>271</v>
      </c>
    </row>
    <row r="221" spans="1:4">
      <c r="A221">
        <v>223</v>
      </c>
      <c r="B221" s="1" t="s">
        <v>207</v>
      </c>
      <c r="C221" s="1" t="s">
        <v>1732</v>
      </c>
      <c r="D221" s="1" t="s">
        <v>271</v>
      </c>
    </row>
    <row r="222" spans="1:4">
      <c r="A222">
        <v>224</v>
      </c>
      <c r="B222" s="1" t="s">
        <v>208</v>
      </c>
      <c r="C222" s="1" t="s">
        <v>1733</v>
      </c>
      <c r="D222" s="1" t="s">
        <v>271</v>
      </c>
    </row>
    <row r="223" spans="1:4">
      <c r="A223">
        <v>225</v>
      </c>
      <c r="B223" s="1" t="s">
        <v>209</v>
      </c>
      <c r="C223" s="1" t="s">
        <v>1734</v>
      </c>
      <c r="D223" s="1" t="s">
        <v>271</v>
      </c>
    </row>
    <row r="224" spans="1:4">
      <c r="A224">
        <v>226</v>
      </c>
      <c r="B224" s="1" t="s">
        <v>210</v>
      </c>
      <c r="C224" s="1" t="s">
        <v>1735</v>
      </c>
      <c r="D224" s="1" t="s">
        <v>271</v>
      </c>
    </row>
    <row r="225" spans="1:4">
      <c r="A225">
        <v>227</v>
      </c>
      <c r="B225" s="1" t="s">
        <v>211</v>
      </c>
      <c r="C225" s="1" t="s">
        <v>1736</v>
      </c>
      <c r="D225" s="1" t="s">
        <v>271</v>
      </c>
    </row>
    <row r="226" spans="1:4">
      <c r="A226">
        <v>228</v>
      </c>
      <c r="B226" s="1" t="s">
        <v>212</v>
      </c>
      <c r="C226" s="1" t="s">
        <v>1737</v>
      </c>
      <c r="D226" s="1" t="s">
        <v>271</v>
      </c>
    </row>
    <row r="227" spans="1:4">
      <c r="A227">
        <v>229</v>
      </c>
      <c r="B227" s="1" t="s">
        <v>213</v>
      </c>
      <c r="C227" s="1" t="s">
        <v>1738</v>
      </c>
      <c r="D227" s="1" t="s">
        <v>271</v>
      </c>
    </row>
    <row r="228" spans="1:4">
      <c r="A228">
        <v>230</v>
      </c>
      <c r="B228" s="1" t="s">
        <v>214</v>
      </c>
      <c r="C228" s="1" t="s">
        <v>1899</v>
      </c>
      <c r="D228" s="1" t="s">
        <v>271</v>
      </c>
    </row>
    <row r="229" spans="1:4">
      <c r="A229">
        <v>231</v>
      </c>
      <c r="B229" s="1" t="s">
        <v>215</v>
      </c>
      <c r="C229" s="1" t="s">
        <v>1900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1901</v>
      </c>
      <c r="D233" s="1" t="s">
        <v>271</v>
      </c>
    </row>
    <row r="234" spans="1:4">
      <c r="A234">
        <v>236</v>
      </c>
      <c r="B234" s="1" t="s">
        <v>220</v>
      </c>
      <c r="C234" s="1" t="s">
        <v>1902</v>
      </c>
      <c r="D234" s="1" t="s">
        <v>271</v>
      </c>
    </row>
    <row r="235" spans="1:4">
      <c r="A235">
        <v>237</v>
      </c>
      <c r="B235" s="1" t="s">
        <v>56</v>
      </c>
      <c r="C235" s="1" t="s">
        <v>1751</v>
      </c>
      <c r="D235" s="1" t="s">
        <v>271</v>
      </c>
    </row>
    <row r="236" spans="1:4">
      <c r="A236">
        <v>238</v>
      </c>
      <c r="B236" s="1" t="s">
        <v>221</v>
      </c>
      <c r="C236" s="1" t="s">
        <v>1988</v>
      </c>
      <c r="D236" s="1" t="s">
        <v>271</v>
      </c>
    </row>
    <row r="237" spans="1:4">
      <c r="A237">
        <v>239</v>
      </c>
      <c r="B237" s="1" t="s">
        <v>222</v>
      </c>
      <c r="C237" s="1" t="s">
        <v>1903</v>
      </c>
      <c r="D237" s="1" t="s">
        <v>271</v>
      </c>
    </row>
    <row r="238" spans="1:4">
      <c r="A238">
        <v>240</v>
      </c>
      <c r="B238" s="1" t="s">
        <v>223</v>
      </c>
      <c r="C238" s="1" t="s">
        <v>1989</v>
      </c>
      <c r="D238" s="1" t="s">
        <v>271</v>
      </c>
    </row>
    <row r="239" spans="1:4">
      <c r="A239">
        <v>241</v>
      </c>
      <c r="B239" s="1" t="s">
        <v>219</v>
      </c>
      <c r="C239" s="1" t="s">
        <v>1904</v>
      </c>
      <c r="D239" s="1" t="s">
        <v>271</v>
      </c>
    </row>
    <row r="240" spans="1:4">
      <c r="A240">
        <v>242</v>
      </c>
      <c r="B240" s="1" t="s">
        <v>224</v>
      </c>
      <c r="C240" s="1" t="s">
        <v>1905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1906</v>
      </c>
      <c r="D242" s="1" t="s">
        <v>271</v>
      </c>
    </row>
    <row r="243" spans="1:4">
      <c r="A243">
        <v>245</v>
      </c>
      <c r="B243" s="1" t="s">
        <v>226</v>
      </c>
      <c r="C243" s="1" t="s">
        <v>1907</v>
      </c>
      <c r="D243" s="1" t="s">
        <v>271</v>
      </c>
    </row>
    <row r="244" spans="1:4">
      <c r="A244">
        <v>246</v>
      </c>
      <c r="B244" s="1" t="s">
        <v>227</v>
      </c>
      <c r="C244" s="1" t="s">
        <v>1908</v>
      </c>
      <c r="D244" s="1" t="s">
        <v>271</v>
      </c>
    </row>
    <row r="245" spans="1:4">
      <c r="A245">
        <v>247</v>
      </c>
      <c r="B245" s="1" t="s">
        <v>228</v>
      </c>
      <c r="C245" s="1" t="s">
        <v>1909</v>
      </c>
      <c r="D245" s="1" t="s">
        <v>271</v>
      </c>
    </row>
    <row r="246" spans="1:4">
      <c r="A246">
        <v>248</v>
      </c>
      <c r="B246" s="1" t="s">
        <v>229</v>
      </c>
      <c r="C246" s="1" t="s">
        <v>1910</v>
      </c>
      <c r="D246" s="1" t="s">
        <v>271</v>
      </c>
    </row>
    <row r="247" spans="1:4">
      <c r="A247">
        <v>249</v>
      </c>
      <c r="B247" s="1" t="s">
        <v>230</v>
      </c>
      <c r="C247" s="1" t="s">
        <v>1990</v>
      </c>
      <c r="D247" s="1" t="s">
        <v>271</v>
      </c>
    </row>
    <row r="248" spans="1:4">
      <c r="A248">
        <v>250</v>
      </c>
      <c r="B248" s="1" t="s">
        <v>231</v>
      </c>
      <c r="C248" s="1" t="s">
        <v>1991</v>
      </c>
      <c r="D248" s="1" t="s">
        <v>271</v>
      </c>
    </row>
    <row r="249" spans="1:4">
      <c r="A249">
        <v>251</v>
      </c>
      <c r="B249" s="1" t="s">
        <v>232</v>
      </c>
      <c r="C249" s="1" t="s">
        <v>1992</v>
      </c>
      <c r="D249" s="1" t="s">
        <v>271</v>
      </c>
    </row>
    <row r="250" spans="1:4">
      <c r="A250">
        <v>252</v>
      </c>
      <c r="B250" s="1" t="s">
        <v>233</v>
      </c>
      <c r="C250" s="1" t="s">
        <v>1993</v>
      </c>
      <c r="D250" s="1" t="s">
        <v>271</v>
      </c>
    </row>
    <row r="251" spans="1:4">
      <c r="A251">
        <v>253</v>
      </c>
      <c r="B251" s="1" t="s">
        <v>234</v>
      </c>
      <c r="C251" s="1" t="s">
        <v>1994</v>
      </c>
      <c r="D251" s="1" t="s">
        <v>271</v>
      </c>
    </row>
    <row r="252" spans="1:4">
      <c r="A252">
        <v>254</v>
      </c>
      <c r="B252" s="1" t="s">
        <v>235</v>
      </c>
      <c r="C252" s="1" t="s">
        <v>1995</v>
      </c>
      <c r="D252" s="1" t="s">
        <v>271</v>
      </c>
    </row>
    <row r="253" spans="1:4">
      <c r="A253">
        <v>255</v>
      </c>
      <c r="B253" s="1" t="s">
        <v>236</v>
      </c>
      <c r="C253" s="1" t="s">
        <v>1911</v>
      </c>
      <c r="D253" s="1" t="s">
        <v>271</v>
      </c>
    </row>
    <row r="254" spans="1:4">
      <c r="A254">
        <v>256</v>
      </c>
      <c r="B254" s="1" t="s">
        <v>237</v>
      </c>
      <c r="C254" s="1" t="s">
        <v>1810</v>
      </c>
      <c r="D254" s="1" t="s">
        <v>271</v>
      </c>
    </row>
    <row r="255" spans="1:4">
      <c r="A255">
        <v>257</v>
      </c>
      <c r="B255" s="1" t="s">
        <v>238</v>
      </c>
      <c r="C255" s="1" t="s">
        <v>1811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1944</v>
      </c>
      <c r="D257" s="1" t="s">
        <v>271</v>
      </c>
    </row>
    <row r="258" spans="1:4">
      <c r="A258">
        <v>260</v>
      </c>
      <c r="B258" s="1" t="s">
        <v>241</v>
      </c>
      <c r="C258" s="1" t="s">
        <v>1945</v>
      </c>
      <c r="D258" s="1" t="s">
        <v>271</v>
      </c>
    </row>
    <row r="259" spans="1:4">
      <c r="A259">
        <v>261</v>
      </c>
      <c r="B259" s="1" t="s">
        <v>242</v>
      </c>
      <c r="C259" s="1" t="s">
        <v>1912</v>
      </c>
      <c r="D259" s="1" t="s">
        <v>271</v>
      </c>
    </row>
    <row r="260" spans="1:4">
      <c r="A260">
        <v>262</v>
      </c>
      <c r="B260" s="1" t="s">
        <v>243</v>
      </c>
      <c r="C260" s="1" t="s">
        <v>1913</v>
      </c>
      <c r="D260" s="1" t="s">
        <v>271</v>
      </c>
    </row>
    <row r="261" spans="1:4">
      <c r="A261">
        <v>263</v>
      </c>
      <c r="B261" s="1" t="s">
        <v>244</v>
      </c>
      <c r="C261" s="1" t="s">
        <v>1812</v>
      </c>
      <c r="D261" s="1" t="s">
        <v>271</v>
      </c>
    </row>
    <row r="262" spans="1:4">
      <c r="A262">
        <v>264</v>
      </c>
      <c r="B262" s="1" t="s">
        <v>245</v>
      </c>
      <c r="C262" s="1" t="s">
        <v>1813</v>
      </c>
      <c r="D262" s="1" t="s">
        <v>271</v>
      </c>
    </row>
    <row r="263" spans="1:4">
      <c r="A263">
        <v>265</v>
      </c>
      <c r="B263" s="1" t="s">
        <v>246</v>
      </c>
      <c r="C263" s="1" t="s">
        <v>1914</v>
      </c>
      <c r="D263" s="1" t="s">
        <v>271</v>
      </c>
    </row>
    <row r="264" spans="1:4">
      <c r="A264">
        <v>266</v>
      </c>
      <c r="B264" s="1" t="s">
        <v>247</v>
      </c>
      <c r="C264" s="1" t="s">
        <v>1814</v>
      </c>
      <c r="D264" s="1" t="s">
        <v>271</v>
      </c>
    </row>
    <row r="265" spans="1:4">
      <c r="A265">
        <v>267</v>
      </c>
      <c r="B265" s="1" t="s">
        <v>248</v>
      </c>
      <c r="C265" s="1" t="s">
        <v>1815</v>
      </c>
      <c r="D265" s="1" t="s">
        <v>271</v>
      </c>
    </row>
    <row r="266" spans="1:4">
      <c r="A266">
        <v>268</v>
      </c>
      <c r="B266" s="1" t="s">
        <v>249</v>
      </c>
      <c r="C266" s="1" t="s">
        <v>1816</v>
      </c>
      <c r="D266" s="1" t="s">
        <v>271</v>
      </c>
    </row>
    <row r="267" spans="1:4">
      <c r="A267">
        <v>269</v>
      </c>
      <c r="B267" s="1" t="s">
        <v>250</v>
      </c>
      <c r="C267" s="1" t="s">
        <v>1996</v>
      </c>
      <c r="D267" s="1" t="s">
        <v>271</v>
      </c>
    </row>
    <row r="268" spans="1:4">
      <c r="A268">
        <v>270</v>
      </c>
      <c r="B268" s="1" t="s">
        <v>251</v>
      </c>
      <c r="C268" s="1" t="s">
        <v>1817</v>
      </c>
      <c r="D268" s="1" t="s">
        <v>271</v>
      </c>
    </row>
    <row r="269" spans="1:4">
      <c r="A269">
        <v>271</v>
      </c>
      <c r="B269" s="1" t="s">
        <v>252</v>
      </c>
      <c r="C269" s="1" t="s">
        <v>1818</v>
      </c>
      <c r="D269" s="1" t="s">
        <v>271</v>
      </c>
    </row>
    <row r="270" spans="1:4">
      <c r="A270">
        <v>272</v>
      </c>
      <c r="B270" s="1" t="s">
        <v>253</v>
      </c>
      <c r="C270" s="1" t="s">
        <v>1819</v>
      </c>
      <c r="D270" s="1" t="s">
        <v>271</v>
      </c>
    </row>
    <row r="271" spans="1:4">
      <c r="A271">
        <v>273</v>
      </c>
      <c r="B271" s="1" t="s">
        <v>254</v>
      </c>
      <c r="C271" s="1" t="s">
        <v>1820</v>
      </c>
      <c r="D271" s="1" t="s">
        <v>271</v>
      </c>
    </row>
    <row r="272" spans="1:4">
      <c r="A272">
        <v>274</v>
      </c>
      <c r="B272" s="1" t="s">
        <v>255</v>
      </c>
      <c r="C272" s="1" t="s">
        <v>1821</v>
      </c>
      <c r="D272" s="1" t="s">
        <v>271</v>
      </c>
    </row>
    <row r="273" spans="1:4">
      <c r="A273">
        <v>275</v>
      </c>
      <c r="B273" s="1" t="s">
        <v>256</v>
      </c>
      <c r="C273" s="1" t="s">
        <v>1822</v>
      </c>
      <c r="D273" s="1" t="s">
        <v>271</v>
      </c>
    </row>
    <row r="274" spans="1:4">
      <c r="A274">
        <v>276</v>
      </c>
      <c r="B274" s="1" t="s">
        <v>257</v>
      </c>
      <c r="C274" s="1" t="s">
        <v>1823</v>
      </c>
      <c r="D274" s="1" t="s">
        <v>271</v>
      </c>
    </row>
    <row r="275" spans="1:4">
      <c r="A275">
        <v>277</v>
      </c>
      <c r="B275" s="1" t="s">
        <v>258</v>
      </c>
      <c r="C275" s="1" t="s">
        <v>1997</v>
      </c>
      <c r="D275" s="1" t="s">
        <v>271</v>
      </c>
    </row>
    <row r="276" spans="1:4">
      <c r="A276">
        <v>278</v>
      </c>
      <c r="B276" s="1"/>
      <c r="C276" s="1" t="s">
        <v>2479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1915</v>
      </c>
      <c r="D279" s="1" t="s">
        <v>271</v>
      </c>
    </row>
    <row r="280" spans="1:4">
      <c r="A280">
        <v>282</v>
      </c>
      <c r="B280" s="1" t="s">
        <v>260</v>
      </c>
      <c r="C280" s="1" t="s">
        <v>1916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1917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1918</v>
      </c>
      <c r="D287" s="1" t="s">
        <v>271</v>
      </c>
    </row>
    <row r="288" spans="1:4">
      <c r="A288">
        <v>290</v>
      </c>
      <c r="B288" s="1" t="s">
        <v>268</v>
      </c>
      <c r="C288" s="1" t="s">
        <v>1826</v>
      </c>
      <c r="D288" s="1" t="s">
        <v>271</v>
      </c>
    </row>
    <row r="289" spans="1:4">
      <c r="A289">
        <v>291</v>
      </c>
      <c r="B289" s="1" t="s">
        <v>269</v>
      </c>
      <c r="C289" s="1" t="s">
        <v>1919</v>
      </c>
      <c r="D289" s="1" t="s">
        <v>271</v>
      </c>
    </row>
    <row r="290" spans="1:4">
      <c r="A290">
        <v>292</v>
      </c>
      <c r="B290" s="1" t="s">
        <v>220</v>
      </c>
      <c r="C290" s="1" t="s">
        <v>1902</v>
      </c>
      <c r="D290" s="1" t="s">
        <v>271</v>
      </c>
    </row>
    <row r="291" spans="1:4">
      <c r="A291">
        <v>293</v>
      </c>
      <c r="B291" s="1" t="s">
        <v>270</v>
      </c>
      <c r="C291" s="1" t="s">
        <v>1998</v>
      </c>
      <c r="D291" s="1" t="s">
        <v>271</v>
      </c>
    </row>
    <row r="292" spans="1:4">
      <c r="A292">
        <v>300</v>
      </c>
      <c r="B292" s="1" t="s">
        <v>272</v>
      </c>
      <c r="C292" s="1" t="s">
        <v>1739</v>
      </c>
      <c r="D292" s="1" t="s">
        <v>1198</v>
      </c>
    </row>
    <row r="293" spans="1:4">
      <c r="A293">
        <v>301</v>
      </c>
      <c r="B293" s="1" t="s">
        <v>273</v>
      </c>
      <c r="C293" s="1" t="s">
        <v>1740</v>
      </c>
      <c r="D293" s="1" t="s">
        <v>1198</v>
      </c>
    </row>
    <row r="294" spans="1:4">
      <c r="A294">
        <v>302</v>
      </c>
      <c r="B294" s="1" t="s">
        <v>274</v>
      </c>
      <c r="C294" s="1" t="s">
        <v>1741</v>
      </c>
      <c r="D294" s="1" t="s">
        <v>1198</v>
      </c>
    </row>
    <row r="295" spans="1:4">
      <c r="A295">
        <v>303</v>
      </c>
      <c r="B295" s="1" t="s">
        <v>275</v>
      </c>
      <c r="C295" s="1" t="s">
        <v>1742</v>
      </c>
      <c r="D295" s="1" t="s">
        <v>1198</v>
      </c>
    </row>
    <row r="296" spans="1:4">
      <c r="A296">
        <v>304</v>
      </c>
      <c r="B296" s="1" t="s">
        <v>276</v>
      </c>
      <c r="C296" s="1" t="s">
        <v>1743</v>
      </c>
      <c r="D296" s="1" t="s">
        <v>1198</v>
      </c>
    </row>
    <row r="297" spans="1:4">
      <c r="A297">
        <v>305</v>
      </c>
      <c r="B297" s="1" t="s">
        <v>277</v>
      </c>
      <c r="C297" s="1" t="s">
        <v>1744</v>
      </c>
      <c r="D297" s="1" t="s">
        <v>1198</v>
      </c>
    </row>
    <row r="298" spans="1:4">
      <c r="A298">
        <v>306</v>
      </c>
      <c r="B298" s="1" t="s">
        <v>278</v>
      </c>
      <c r="C298" s="1" t="s">
        <v>1745</v>
      </c>
      <c r="D298" s="1" t="s">
        <v>1198</v>
      </c>
    </row>
    <row r="299" spans="1:4">
      <c r="A299">
        <v>307</v>
      </c>
      <c r="B299" s="1" t="s">
        <v>279</v>
      </c>
      <c r="C299" s="1" t="s">
        <v>1746</v>
      </c>
      <c r="D299" s="1" t="s">
        <v>1198</v>
      </c>
    </row>
    <row r="300" spans="1:4">
      <c r="A300">
        <v>308</v>
      </c>
      <c r="B300" s="1" t="s">
        <v>280</v>
      </c>
      <c r="C300" s="1" t="s">
        <v>1747</v>
      </c>
      <c r="D300" s="1" t="s">
        <v>1198</v>
      </c>
    </row>
    <row r="301" spans="1:4">
      <c r="A301">
        <v>309</v>
      </c>
      <c r="B301" s="1" t="s">
        <v>281</v>
      </c>
      <c r="C301" s="1" t="s">
        <v>1748</v>
      </c>
      <c r="D301" s="1" t="s">
        <v>1198</v>
      </c>
    </row>
    <row r="302" spans="1:4">
      <c r="A302">
        <v>310</v>
      </c>
      <c r="B302" s="1" t="s">
        <v>282</v>
      </c>
      <c r="C302" s="1" t="s">
        <v>1749</v>
      </c>
      <c r="D302" s="1" t="s">
        <v>1198</v>
      </c>
    </row>
    <row r="303" spans="1:4">
      <c r="A303">
        <v>311</v>
      </c>
      <c r="B303" s="1" t="s">
        <v>283</v>
      </c>
      <c r="C303" s="1" t="s">
        <v>2048</v>
      </c>
      <c r="D303" s="1" t="s">
        <v>1198</v>
      </c>
    </row>
    <row r="304" spans="1:4">
      <c r="A304">
        <v>312</v>
      </c>
      <c r="B304" s="1" t="s">
        <v>284</v>
      </c>
      <c r="C304" s="1" t="s">
        <v>1750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1760</v>
      </c>
      <c r="D316" s="1" t="s">
        <v>1199</v>
      </c>
    </row>
    <row r="317" spans="1:4">
      <c r="A317">
        <v>325</v>
      </c>
      <c r="B317" s="1" t="s">
        <v>295</v>
      </c>
      <c r="C317" s="1" t="s">
        <v>1761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1999</v>
      </c>
      <c r="D377" s="1" t="s">
        <v>1199</v>
      </c>
    </row>
    <row r="378" spans="1:4">
      <c r="A378">
        <v>386</v>
      </c>
      <c r="B378" s="1" t="s">
        <v>351</v>
      </c>
      <c r="C378" s="1" t="s">
        <v>2000</v>
      </c>
      <c r="D378" s="1" t="s">
        <v>1199</v>
      </c>
    </row>
    <row r="379" spans="1:4">
      <c r="A379">
        <v>387</v>
      </c>
      <c r="B379" s="1" t="s">
        <v>352</v>
      </c>
      <c r="C379" s="1" t="s">
        <v>2001</v>
      </c>
      <c r="D379" s="1" t="s">
        <v>1199</v>
      </c>
    </row>
    <row r="380" spans="1:4">
      <c r="A380">
        <v>388</v>
      </c>
      <c r="B380" s="1" t="s">
        <v>353</v>
      </c>
      <c r="C380" s="1" t="s">
        <v>2002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1824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2003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1825</v>
      </c>
      <c r="D421" s="1" t="s">
        <v>1199</v>
      </c>
    </row>
    <row r="422" spans="1:4">
      <c r="A422">
        <v>430</v>
      </c>
      <c r="B422" s="1" t="s">
        <v>395</v>
      </c>
      <c r="C422" s="1" t="s">
        <v>1826</v>
      </c>
      <c r="D422" s="1" t="s">
        <v>1199</v>
      </c>
    </row>
    <row r="423" spans="1:4">
      <c r="A423">
        <v>431</v>
      </c>
      <c r="B423" s="1" t="s">
        <v>396</v>
      </c>
      <c r="C423" s="1" t="s">
        <v>1827</v>
      </c>
      <c r="D423" s="1" t="s">
        <v>1199</v>
      </c>
    </row>
    <row r="424" spans="1:4">
      <c r="A424">
        <v>432</v>
      </c>
      <c r="B424" s="1" t="s">
        <v>397</v>
      </c>
      <c r="C424" s="1" t="s">
        <v>1828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1772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2004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1599</v>
      </c>
      <c r="D501" s="1" t="s">
        <v>1199</v>
      </c>
    </row>
    <row r="502" spans="1:4">
      <c r="A502">
        <v>510</v>
      </c>
      <c r="B502" s="1" t="s">
        <v>473</v>
      </c>
      <c r="C502" s="1" t="s">
        <v>1600</v>
      </c>
      <c r="D502" s="1" t="s">
        <v>1199</v>
      </c>
    </row>
    <row r="503" spans="1:4">
      <c r="A503">
        <v>511</v>
      </c>
      <c r="B503" s="1" t="s">
        <v>474</v>
      </c>
      <c r="C503" s="1" t="s">
        <v>1601</v>
      </c>
      <c r="D503" s="1" t="s">
        <v>1199</v>
      </c>
    </row>
    <row r="504" spans="1:4">
      <c r="A504">
        <v>513</v>
      </c>
      <c r="B504" s="1" t="s">
        <v>475</v>
      </c>
      <c r="C504" s="1" t="s">
        <v>2005</v>
      </c>
      <c r="D504" s="1" t="s">
        <v>1199</v>
      </c>
    </row>
    <row r="505" spans="1:4">
      <c r="A505">
        <v>514</v>
      </c>
      <c r="B505" s="1" t="s">
        <v>476</v>
      </c>
      <c r="C505" s="1" t="s">
        <v>1946</v>
      </c>
      <c r="D505" s="1" t="s">
        <v>1199</v>
      </c>
    </row>
    <row r="506" spans="1:4">
      <c r="A506">
        <v>515</v>
      </c>
      <c r="B506" s="1" t="s">
        <v>477</v>
      </c>
      <c r="C506" s="1" t="s">
        <v>1920</v>
      </c>
      <c r="D506" s="1" t="s">
        <v>1199</v>
      </c>
    </row>
    <row r="507" spans="1:4">
      <c r="A507">
        <v>516</v>
      </c>
      <c r="B507" s="1" t="s">
        <v>478</v>
      </c>
      <c r="C507" s="1" t="s">
        <v>1921</v>
      </c>
      <c r="D507" s="1" t="s">
        <v>1199</v>
      </c>
    </row>
    <row r="508" spans="1:4">
      <c r="A508">
        <v>517</v>
      </c>
      <c r="B508" s="1" t="s">
        <v>479</v>
      </c>
      <c r="C508" s="1" t="s">
        <v>1829</v>
      </c>
      <c r="D508" s="1" t="s">
        <v>1199</v>
      </c>
    </row>
    <row r="509" spans="1:4">
      <c r="A509">
        <v>518</v>
      </c>
      <c r="B509" s="1" t="s">
        <v>480</v>
      </c>
      <c r="C509" s="1" t="s">
        <v>1830</v>
      </c>
      <c r="D509" s="1" t="s">
        <v>1199</v>
      </c>
    </row>
    <row r="510" spans="1:4">
      <c r="A510">
        <v>519</v>
      </c>
      <c r="B510" s="1" t="s">
        <v>481</v>
      </c>
      <c r="C510" s="1" t="s">
        <v>2006</v>
      </c>
      <c r="D510" s="1" t="s">
        <v>1199</v>
      </c>
    </row>
    <row r="511" spans="1:4">
      <c r="A511">
        <v>520</v>
      </c>
      <c r="B511" s="1" t="s">
        <v>482</v>
      </c>
      <c r="C511" s="1" t="s">
        <v>2007</v>
      </c>
      <c r="D511" s="1" t="s">
        <v>1199</v>
      </c>
    </row>
    <row r="512" spans="1:4">
      <c r="A512">
        <v>521</v>
      </c>
      <c r="B512" s="1" t="s">
        <v>483</v>
      </c>
      <c r="C512" s="1" t="s">
        <v>2105</v>
      </c>
      <c r="D512" s="1" t="s">
        <v>1199</v>
      </c>
    </row>
    <row r="513" spans="1:4">
      <c r="A513">
        <v>522</v>
      </c>
      <c r="B513" s="1" t="s">
        <v>484</v>
      </c>
      <c r="C513" s="1" t="s">
        <v>2106</v>
      </c>
      <c r="D513" s="1" t="s">
        <v>1199</v>
      </c>
    </row>
    <row r="514" spans="1:4">
      <c r="A514">
        <v>523</v>
      </c>
      <c r="B514" s="1" t="s">
        <v>485</v>
      </c>
      <c r="C514" s="1" t="s">
        <v>2107</v>
      </c>
      <c r="D514" s="1" t="s">
        <v>1199</v>
      </c>
    </row>
    <row r="515" spans="1:4">
      <c r="A515">
        <v>524</v>
      </c>
      <c r="B515" s="1" t="s">
        <v>486</v>
      </c>
      <c r="C515" s="1" t="s">
        <v>2008</v>
      </c>
      <c r="D515" s="1" t="s">
        <v>1199</v>
      </c>
    </row>
    <row r="516" spans="1:4">
      <c r="A516">
        <v>525</v>
      </c>
      <c r="B516" s="1" t="s">
        <v>487</v>
      </c>
      <c r="C516" s="1" t="s">
        <v>2009</v>
      </c>
      <c r="D516" s="1" t="s">
        <v>1199</v>
      </c>
    </row>
    <row r="517" spans="1:4">
      <c r="A517">
        <v>526</v>
      </c>
      <c r="B517" s="1" t="s">
        <v>488</v>
      </c>
      <c r="C517" s="1" t="s">
        <v>2010</v>
      </c>
      <c r="D517" s="1" t="s">
        <v>1199</v>
      </c>
    </row>
    <row r="518" spans="1:4">
      <c r="A518">
        <v>527</v>
      </c>
      <c r="B518" s="1" t="s">
        <v>489</v>
      </c>
      <c r="C518" s="1" t="s">
        <v>2011</v>
      </c>
      <c r="D518" s="1" t="s">
        <v>1199</v>
      </c>
    </row>
    <row r="519" spans="1:4">
      <c r="A519">
        <v>528</v>
      </c>
      <c r="B519" s="1" t="s">
        <v>490</v>
      </c>
      <c r="C519" s="1" t="s">
        <v>2012</v>
      </c>
      <c r="D519" s="1" t="s">
        <v>1199</v>
      </c>
    </row>
    <row r="520" spans="1:4">
      <c r="A520">
        <v>529</v>
      </c>
      <c r="B520" s="1" t="s">
        <v>491</v>
      </c>
      <c r="C520" s="1" t="s">
        <v>1922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2474</v>
      </c>
      <c r="D522" s="1" t="s">
        <v>1199</v>
      </c>
    </row>
    <row r="523" spans="1:4">
      <c r="A523">
        <v>532</v>
      </c>
      <c r="B523" s="1" t="s">
        <v>493</v>
      </c>
      <c r="C523" s="1" t="s">
        <v>1923</v>
      </c>
      <c r="D523" s="1" t="s">
        <v>1199</v>
      </c>
    </row>
    <row r="524" spans="1:4">
      <c r="A524">
        <v>533</v>
      </c>
      <c r="B524" s="1" t="s">
        <v>494</v>
      </c>
      <c r="C524" s="1" t="s">
        <v>1831</v>
      </c>
      <c r="D524" s="1" t="s">
        <v>1199</v>
      </c>
    </row>
    <row r="525" spans="1:4">
      <c r="A525">
        <v>534</v>
      </c>
      <c r="B525" s="1" t="s">
        <v>495</v>
      </c>
      <c r="C525" s="1" t="s">
        <v>1832</v>
      </c>
      <c r="D525" s="1" t="s">
        <v>1199</v>
      </c>
    </row>
    <row r="526" spans="1:4">
      <c r="A526">
        <v>535</v>
      </c>
      <c r="B526" s="1" t="s">
        <v>496</v>
      </c>
      <c r="C526" s="1" t="s">
        <v>1858</v>
      </c>
      <c r="D526" s="1" t="s">
        <v>1199</v>
      </c>
    </row>
    <row r="527" spans="1:4">
      <c r="A527">
        <v>536</v>
      </c>
      <c r="B527" s="1" t="s">
        <v>497</v>
      </c>
      <c r="C527" s="1" t="s">
        <v>1859</v>
      </c>
      <c r="D527" s="1" t="s">
        <v>1199</v>
      </c>
    </row>
    <row r="528" spans="1:4">
      <c r="A528">
        <v>537</v>
      </c>
      <c r="B528" s="1" t="s">
        <v>498</v>
      </c>
      <c r="C528" s="1" t="s">
        <v>2013</v>
      </c>
      <c r="D528" s="1" t="s">
        <v>1199</v>
      </c>
    </row>
    <row r="529" spans="1:4">
      <c r="A529">
        <v>538</v>
      </c>
      <c r="B529" s="1" t="s">
        <v>499</v>
      </c>
      <c r="C529" s="1" t="s">
        <v>2014</v>
      </c>
      <c r="D529" s="1" t="s">
        <v>1199</v>
      </c>
    </row>
    <row r="530" spans="1:4">
      <c r="A530">
        <v>539</v>
      </c>
      <c r="B530" s="1" t="s">
        <v>500</v>
      </c>
      <c r="C530" s="1" t="s">
        <v>2015</v>
      </c>
      <c r="D530" s="1" t="s">
        <v>1199</v>
      </c>
    </row>
    <row r="531" spans="1:4">
      <c r="A531">
        <v>540</v>
      </c>
      <c r="B531" s="1" t="s">
        <v>501</v>
      </c>
      <c r="C531" s="1" t="s">
        <v>1833</v>
      </c>
      <c r="D531" s="1" t="s">
        <v>1199</v>
      </c>
    </row>
    <row r="532" spans="1:4">
      <c r="A532">
        <v>541</v>
      </c>
      <c r="B532" s="1" t="s">
        <v>502</v>
      </c>
      <c r="C532" s="1" t="s">
        <v>1860</v>
      </c>
      <c r="D532" s="1" t="s">
        <v>1199</v>
      </c>
    </row>
    <row r="533" spans="1:4">
      <c r="A533">
        <v>542</v>
      </c>
      <c r="B533" s="1" t="s">
        <v>503</v>
      </c>
      <c r="C533" s="1" t="s">
        <v>2016</v>
      </c>
      <c r="D533" s="1" t="s">
        <v>1199</v>
      </c>
    </row>
    <row r="534" spans="1:4">
      <c r="A534">
        <v>543</v>
      </c>
      <c r="B534" s="1" t="s">
        <v>504</v>
      </c>
      <c r="C534" s="1" t="s">
        <v>2017</v>
      </c>
      <c r="D534" s="1" t="s">
        <v>1199</v>
      </c>
    </row>
    <row r="535" spans="1:4">
      <c r="A535">
        <v>544</v>
      </c>
      <c r="B535" s="1" t="s">
        <v>505</v>
      </c>
      <c r="C535" s="1" t="s">
        <v>1861</v>
      </c>
      <c r="D535" s="1" t="s">
        <v>1199</v>
      </c>
    </row>
    <row r="536" spans="1:4">
      <c r="A536">
        <v>545</v>
      </c>
      <c r="B536" s="1" t="s">
        <v>506</v>
      </c>
      <c r="C536" s="1" t="s">
        <v>1970</v>
      </c>
      <c r="D536" s="1" t="s">
        <v>1199</v>
      </c>
    </row>
    <row r="537" spans="1:4">
      <c r="A537">
        <v>546</v>
      </c>
      <c r="B537" s="1" t="s">
        <v>507</v>
      </c>
      <c r="C537" s="1" t="s">
        <v>1834</v>
      </c>
      <c r="D537" s="1" t="s">
        <v>1199</v>
      </c>
    </row>
    <row r="538" spans="1:4">
      <c r="A538">
        <v>547</v>
      </c>
      <c r="B538" s="1" t="s">
        <v>508</v>
      </c>
      <c r="C538" s="1" t="s">
        <v>1862</v>
      </c>
      <c r="D538" s="1" t="s">
        <v>1199</v>
      </c>
    </row>
    <row r="539" spans="1:4">
      <c r="A539">
        <v>548</v>
      </c>
      <c r="B539" s="1" t="s">
        <v>509</v>
      </c>
      <c r="C539" s="1" t="s">
        <v>1863</v>
      </c>
      <c r="D539" s="1" t="s">
        <v>1199</v>
      </c>
    </row>
    <row r="540" spans="1:4">
      <c r="A540">
        <v>549</v>
      </c>
      <c r="B540" s="1" t="s">
        <v>510</v>
      </c>
      <c r="C540" s="1" t="s">
        <v>1835</v>
      </c>
      <c r="D540" s="1" t="s">
        <v>1199</v>
      </c>
    </row>
    <row r="541" spans="1:4">
      <c r="A541">
        <v>550</v>
      </c>
      <c r="B541" s="1" t="s">
        <v>511</v>
      </c>
      <c r="C541" s="1" t="s">
        <v>1836</v>
      </c>
      <c r="D541" s="1" t="s">
        <v>1199</v>
      </c>
    </row>
    <row r="542" spans="1:4">
      <c r="A542">
        <v>551</v>
      </c>
      <c r="B542" s="1" t="s">
        <v>512</v>
      </c>
      <c r="C542" s="1" t="s">
        <v>1837</v>
      </c>
      <c r="D542" s="1" t="s">
        <v>1199</v>
      </c>
    </row>
    <row r="543" spans="1:4">
      <c r="A543">
        <v>552</v>
      </c>
      <c r="B543" s="1" t="s">
        <v>513</v>
      </c>
      <c r="C543" s="1" t="s">
        <v>2018</v>
      </c>
      <c r="D543" s="1" t="s">
        <v>1199</v>
      </c>
    </row>
    <row r="544" spans="1:4">
      <c r="A544">
        <v>553</v>
      </c>
      <c r="B544" s="1" t="s">
        <v>514</v>
      </c>
      <c r="C544" s="1" t="s">
        <v>2019</v>
      </c>
      <c r="D544" s="1" t="s">
        <v>1199</v>
      </c>
    </row>
    <row r="545" spans="1:4">
      <c r="A545">
        <v>554</v>
      </c>
      <c r="B545" s="1" t="s">
        <v>515</v>
      </c>
      <c r="C545" s="1" t="s">
        <v>2020</v>
      </c>
      <c r="D545" s="1" t="s">
        <v>1199</v>
      </c>
    </row>
    <row r="546" spans="1:4">
      <c r="A546">
        <v>555</v>
      </c>
      <c r="B546" s="1" t="s">
        <v>516</v>
      </c>
      <c r="C546" s="1" t="s">
        <v>2021</v>
      </c>
      <c r="D546" s="1" t="s">
        <v>1199</v>
      </c>
    </row>
    <row r="547" spans="1:4">
      <c r="A547">
        <v>556</v>
      </c>
      <c r="B547" s="1" t="s">
        <v>517</v>
      </c>
      <c r="C547" s="1" t="s">
        <v>1838</v>
      </c>
      <c r="D547" s="1" t="s">
        <v>1199</v>
      </c>
    </row>
    <row r="548" spans="1:4">
      <c r="A548">
        <v>557</v>
      </c>
      <c r="B548" s="1" t="s">
        <v>518</v>
      </c>
      <c r="C548" s="1" t="s">
        <v>1839</v>
      </c>
      <c r="D548" s="1" t="s">
        <v>1199</v>
      </c>
    </row>
    <row r="549" spans="1:4">
      <c r="A549">
        <v>558</v>
      </c>
      <c r="B549" s="1" t="s">
        <v>519</v>
      </c>
      <c r="C549" s="1" t="s">
        <v>1840</v>
      </c>
      <c r="D549" s="1" t="s">
        <v>1199</v>
      </c>
    </row>
    <row r="550" spans="1:4">
      <c r="A550">
        <v>559</v>
      </c>
      <c r="B550" s="1" t="s">
        <v>520</v>
      </c>
      <c r="C550" s="1" t="s">
        <v>1841</v>
      </c>
      <c r="D550" s="1" t="s">
        <v>1199</v>
      </c>
    </row>
    <row r="551" spans="1:4">
      <c r="A551">
        <v>560</v>
      </c>
      <c r="B551" s="1" t="s">
        <v>521</v>
      </c>
      <c r="C551" s="1" t="s">
        <v>2475</v>
      </c>
      <c r="D551" s="1" t="s">
        <v>1199</v>
      </c>
    </row>
    <row r="552" spans="1:4">
      <c r="A552">
        <v>561</v>
      </c>
      <c r="B552" s="1" t="s">
        <v>522</v>
      </c>
      <c r="C552" s="1"/>
      <c r="D552" s="1" t="s">
        <v>1199</v>
      </c>
    </row>
    <row r="553" spans="1:4">
      <c r="A553">
        <v>562</v>
      </c>
      <c r="B553" s="1" t="s">
        <v>523</v>
      </c>
      <c r="C553" s="1" t="s">
        <v>1924</v>
      </c>
      <c r="D553" s="1" t="s">
        <v>1199</v>
      </c>
    </row>
    <row r="554" spans="1:4">
      <c r="A554">
        <v>563</v>
      </c>
      <c r="B554" s="1" t="s">
        <v>524</v>
      </c>
      <c r="C554" s="1"/>
      <c r="D554" s="1" t="s">
        <v>1199</v>
      </c>
    </row>
    <row r="555" spans="1:4">
      <c r="A555">
        <v>564</v>
      </c>
      <c r="B555" s="1" t="s">
        <v>525</v>
      </c>
      <c r="C555" s="1" t="s">
        <v>1842</v>
      </c>
      <c r="D555" s="1" t="s">
        <v>1199</v>
      </c>
    </row>
    <row r="556" spans="1:4">
      <c r="A556">
        <v>565</v>
      </c>
      <c r="B556" s="1" t="s">
        <v>526</v>
      </c>
      <c r="C556" s="1"/>
      <c r="D556" s="1" t="s">
        <v>1199</v>
      </c>
    </row>
    <row r="557" spans="1:4">
      <c r="A557">
        <v>566</v>
      </c>
      <c r="B557" s="1" t="s">
        <v>527</v>
      </c>
      <c r="C557" s="1" t="s">
        <v>2022</v>
      </c>
      <c r="D557" s="1" t="s">
        <v>1199</v>
      </c>
    </row>
    <row r="558" spans="1:4">
      <c r="A558">
        <v>567</v>
      </c>
      <c r="B558" s="1" t="s">
        <v>528</v>
      </c>
      <c r="C558" s="1" t="s">
        <v>2023</v>
      </c>
      <c r="D558" s="1" t="s">
        <v>1199</v>
      </c>
    </row>
    <row r="559" spans="1:4">
      <c r="A559">
        <v>568</v>
      </c>
      <c r="B559" s="1" t="s">
        <v>529</v>
      </c>
      <c r="C559" s="1" t="s">
        <v>1843</v>
      </c>
      <c r="D559" s="1" t="s">
        <v>1199</v>
      </c>
    </row>
    <row r="560" spans="1:4">
      <c r="A560">
        <v>569</v>
      </c>
      <c r="B560" s="1" t="s">
        <v>530</v>
      </c>
      <c r="C560" s="1" t="s">
        <v>2024</v>
      </c>
      <c r="D560" s="1" t="s">
        <v>1199</v>
      </c>
    </row>
    <row r="561" spans="1:4">
      <c r="A561">
        <v>570</v>
      </c>
      <c r="B561" s="1" t="s">
        <v>523</v>
      </c>
      <c r="C561" s="1" t="s">
        <v>1924</v>
      </c>
      <c r="D561" s="1" t="s">
        <v>1199</v>
      </c>
    </row>
    <row r="562" spans="1:4">
      <c r="A562">
        <v>571</v>
      </c>
      <c r="B562" s="1" t="s">
        <v>531</v>
      </c>
      <c r="C562" s="1" t="s">
        <v>1925</v>
      </c>
      <c r="D562" s="1" t="s">
        <v>1199</v>
      </c>
    </row>
    <row r="563" spans="1:4">
      <c r="A563">
        <v>572</v>
      </c>
      <c r="B563" s="1" t="s">
        <v>532</v>
      </c>
      <c r="C563" s="1" t="s">
        <v>1926</v>
      </c>
      <c r="D563" s="1" t="s">
        <v>1199</v>
      </c>
    </row>
    <row r="564" spans="1:4">
      <c r="A564">
        <v>573</v>
      </c>
      <c r="B564" s="1" t="s">
        <v>533</v>
      </c>
      <c r="C564" s="1" t="s">
        <v>2025</v>
      </c>
      <c r="D564" s="1" t="s">
        <v>1199</v>
      </c>
    </row>
    <row r="565" spans="1:4">
      <c r="A565">
        <v>574</v>
      </c>
      <c r="B565" s="1" t="s">
        <v>1844</v>
      </c>
      <c r="C565" s="1"/>
      <c r="D565" s="1" t="s">
        <v>1199</v>
      </c>
    </row>
    <row r="566" spans="1:4">
      <c r="A566">
        <v>575</v>
      </c>
      <c r="B566" s="1" t="s">
        <v>535</v>
      </c>
      <c r="C566" s="1" t="s">
        <v>2026</v>
      </c>
      <c r="D566" s="1" t="s">
        <v>1199</v>
      </c>
    </row>
    <row r="567" spans="1:4">
      <c r="A567">
        <v>576</v>
      </c>
      <c r="B567" s="1" t="s">
        <v>536</v>
      </c>
      <c r="C567" s="1" t="s">
        <v>2027</v>
      </c>
      <c r="D567" s="1" t="s">
        <v>1199</v>
      </c>
    </row>
    <row r="568" spans="1:4">
      <c r="A568">
        <v>577</v>
      </c>
      <c r="B568" s="1" t="s">
        <v>537</v>
      </c>
      <c r="C568" s="1" t="s">
        <v>1947</v>
      </c>
      <c r="D568" s="1" t="s">
        <v>1199</v>
      </c>
    </row>
    <row r="569" spans="1:4">
      <c r="A569">
        <v>578</v>
      </c>
      <c r="B569" s="1" t="s">
        <v>538</v>
      </c>
      <c r="C569" s="1" t="s">
        <v>1948</v>
      </c>
      <c r="D569" s="1" t="s">
        <v>1199</v>
      </c>
    </row>
    <row r="570" spans="1:4">
      <c r="A570">
        <v>579</v>
      </c>
      <c r="B570" s="1" t="s">
        <v>539</v>
      </c>
      <c r="C570" s="1" t="s">
        <v>2476</v>
      </c>
      <c r="D570" s="1" t="s">
        <v>1199</v>
      </c>
    </row>
    <row r="571" spans="1:4">
      <c r="A571">
        <v>580</v>
      </c>
      <c r="B571" s="1" t="s">
        <v>540</v>
      </c>
      <c r="C571" s="1" t="s">
        <v>1949</v>
      </c>
      <c r="D571" s="1" t="s">
        <v>1199</v>
      </c>
    </row>
    <row r="572" spans="1:4">
      <c r="A572">
        <v>581</v>
      </c>
      <c r="B572" s="1" t="s">
        <v>269</v>
      </c>
      <c r="C572" s="1" t="s">
        <v>1919</v>
      </c>
      <c r="D572" s="1" t="s">
        <v>1199</v>
      </c>
    </row>
    <row r="573" spans="1:4">
      <c r="A573">
        <v>582</v>
      </c>
      <c r="B573" s="1" t="s">
        <v>541</v>
      </c>
      <c r="C573" s="1" t="s">
        <v>2028</v>
      </c>
      <c r="D573" s="1" t="s">
        <v>1199</v>
      </c>
    </row>
    <row r="574" spans="1:4">
      <c r="A574">
        <v>583</v>
      </c>
      <c r="B574" s="1" t="s">
        <v>542</v>
      </c>
      <c r="C574" s="1" t="s">
        <v>2029</v>
      </c>
      <c r="D574" s="1" t="s">
        <v>1199</v>
      </c>
    </row>
    <row r="575" spans="1:4">
      <c r="A575">
        <v>584</v>
      </c>
      <c r="B575" s="1" t="s">
        <v>543</v>
      </c>
      <c r="C575" s="1" t="s">
        <v>1950</v>
      </c>
      <c r="D575" s="1" t="s">
        <v>1199</v>
      </c>
    </row>
    <row r="576" spans="1:4">
      <c r="A576">
        <v>585</v>
      </c>
      <c r="B576" s="1" t="s">
        <v>544</v>
      </c>
      <c r="C576" s="1" t="s">
        <v>1951</v>
      </c>
      <c r="D576" s="1" t="s">
        <v>1199</v>
      </c>
    </row>
    <row r="577" spans="1:4">
      <c r="A577">
        <v>586</v>
      </c>
      <c r="B577" s="1" t="s">
        <v>545</v>
      </c>
      <c r="C577" s="1" t="s">
        <v>1952</v>
      </c>
      <c r="D577" s="1" t="s">
        <v>1199</v>
      </c>
    </row>
    <row r="578" spans="1:4">
      <c r="A578">
        <v>587</v>
      </c>
      <c r="B578" s="1" t="s">
        <v>546</v>
      </c>
      <c r="C578" s="1" t="s">
        <v>1953</v>
      </c>
      <c r="D578" s="1" t="s">
        <v>1199</v>
      </c>
    </row>
    <row r="579" spans="1:4">
      <c r="A579">
        <v>588</v>
      </c>
      <c r="B579" s="1" t="s">
        <v>547</v>
      </c>
      <c r="C579" s="1" t="s">
        <v>1954</v>
      </c>
      <c r="D579" s="1" t="s">
        <v>1199</v>
      </c>
    </row>
    <row r="580" spans="1:4">
      <c r="A580">
        <v>589</v>
      </c>
      <c r="B580" s="1" t="s">
        <v>548</v>
      </c>
      <c r="C580" s="1" t="s">
        <v>1955</v>
      </c>
      <c r="D580" s="1" t="s">
        <v>1199</v>
      </c>
    </row>
    <row r="581" spans="1:4">
      <c r="A581">
        <v>590</v>
      </c>
      <c r="B581" s="1" t="s">
        <v>537</v>
      </c>
      <c r="C581" s="1" t="s">
        <v>1947</v>
      </c>
      <c r="D581" s="1" t="s">
        <v>1199</v>
      </c>
    </row>
    <row r="582" spans="1:4">
      <c r="A582">
        <v>591</v>
      </c>
      <c r="B582" s="1" t="s">
        <v>538</v>
      </c>
      <c r="C582" s="1" t="s">
        <v>1948</v>
      </c>
      <c r="D582" s="1" t="s">
        <v>1199</v>
      </c>
    </row>
    <row r="583" spans="1:4">
      <c r="A583">
        <v>592</v>
      </c>
      <c r="B583" s="1" t="s">
        <v>549</v>
      </c>
      <c r="C583" s="1" t="s">
        <v>1956</v>
      </c>
      <c r="D583" s="1" t="s">
        <v>1199</v>
      </c>
    </row>
    <row r="584" spans="1:4">
      <c r="A584">
        <v>593</v>
      </c>
      <c r="B584" s="1" t="s">
        <v>394</v>
      </c>
      <c r="C584" s="1" t="s">
        <v>1825</v>
      </c>
      <c r="D584" s="1" t="s">
        <v>1199</v>
      </c>
    </row>
    <row r="585" spans="1:4">
      <c r="A585">
        <v>594</v>
      </c>
      <c r="B585" s="1" t="s">
        <v>540</v>
      </c>
      <c r="C585" s="1" t="s">
        <v>1949</v>
      </c>
      <c r="D585" s="1" t="s">
        <v>1199</v>
      </c>
    </row>
    <row r="586" spans="1:4">
      <c r="A586">
        <v>595</v>
      </c>
      <c r="B586" s="1" t="s">
        <v>550</v>
      </c>
      <c r="C586" s="1" t="s">
        <v>1845</v>
      </c>
      <c r="D586" s="1" t="s">
        <v>1199</v>
      </c>
    </row>
    <row r="587" spans="1:4">
      <c r="A587">
        <v>596</v>
      </c>
      <c r="B587" s="1" t="s">
        <v>551</v>
      </c>
      <c r="C587" s="1" t="s">
        <v>1846</v>
      </c>
      <c r="D587" s="1" t="s">
        <v>1199</v>
      </c>
    </row>
    <row r="588" spans="1:4">
      <c r="A588">
        <v>597</v>
      </c>
      <c r="B588" s="1" t="s">
        <v>552</v>
      </c>
      <c r="C588" s="1" t="s">
        <v>1602</v>
      </c>
      <c r="D588" s="1" t="s">
        <v>1199</v>
      </c>
    </row>
    <row r="589" spans="1:4">
      <c r="A589">
        <v>598</v>
      </c>
      <c r="B589" s="1" t="s">
        <v>553</v>
      </c>
      <c r="C589" s="1" t="s">
        <v>1603</v>
      </c>
      <c r="D589" s="1" t="s">
        <v>1199</v>
      </c>
    </row>
    <row r="590" spans="1:4">
      <c r="A590">
        <v>599</v>
      </c>
      <c r="B590" s="1" t="s">
        <v>554</v>
      </c>
      <c r="C590" s="1" t="s">
        <v>1604</v>
      </c>
      <c r="D590" s="1" t="s">
        <v>1199</v>
      </c>
    </row>
    <row r="591" spans="1:4">
      <c r="A591">
        <v>600</v>
      </c>
      <c r="B591" s="1" t="s">
        <v>555</v>
      </c>
      <c r="C591" s="1" t="s">
        <v>1605</v>
      </c>
      <c r="D591" s="1" t="s">
        <v>1199</v>
      </c>
    </row>
    <row r="592" spans="1:4">
      <c r="A592">
        <v>601</v>
      </c>
      <c r="B592" s="1" t="s">
        <v>556</v>
      </c>
      <c r="C592" s="1" t="s">
        <v>1957</v>
      </c>
      <c r="D592" s="1" t="s">
        <v>1199</v>
      </c>
    </row>
    <row r="593" spans="1:4">
      <c r="A593">
        <v>602</v>
      </c>
      <c r="B593" s="1" t="s">
        <v>557</v>
      </c>
      <c r="C593" s="1" t="s">
        <v>1958</v>
      </c>
      <c r="D593" s="1" t="s">
        <v>1199</v>
      </c>
    </row>
    <row r="594" spans="1:4">
      <c r="A594">
        <v>603</v>
      </c>
      <c r="B594" s="1" t="s">
        <v>558</v>
      </c>
      <c r="C594" s="1" t="s">
        <v>1959</v>
      </c>
      <c r="D594" s="1" t="s">
        <v>1199</v>
      </c>
    </row>
    <row r="595" spans="1:4">
      <c r="A595">
        <v>604</v>
      </c>
      <c r="B595" s="1" t="s">
        <v>559</v>
      </c>
      <c r="C595" s="1" t="s">
        <v>1606</v>
      </c>
      <c r="D595" s="1" t="s">
        <v>1199</v>
      </c>
    </row>
    <row r="596" spans="1:4">
      <c r="A596">
        <v>605</v>
      </c>
      <c r="B596" s="1" t="s">
        <v>560</v>
      </c>
      <c r="C596" s="1" t="s">
        <v>1607</v>
      </c>
      <c r="D596" s="1" t="s">
        <v>1199</v>
      </c>
    </row>
    <row r="597" spans="1:4">
      <c r="A597">
        <v>606</v>
      </c>
      <c r="B597" s="1" t="s">
        <v>561</v>
      </c>
      <c r="C597" s="1" t="s">
        <v>1960</v>
      </c>
      <c r="D597" s="1" t="s">
        <v>1199</v>
      </c>
    </row>
    <row r="598" spans="1:4">
      <c r="A598">
        <v>607</v>
      </c>
      <c r="B598" s="1" t="s">
        <v>562</v>
      </c>
      <c r="C598" s="1" t="s">
        <v>1961</v>
      </c>
      <c r="D598" s="1" t="s">
        <v>1199</v>
      </c>
    </row>
    <row r="599" spans="1:4">
      <c r="A599">
        <v>608</v>
      </c>
      <c r="B599" s="1" t="s">
        <v>563</v>
      </c>
      <c r="C599" s="1" t="s">
        <v>1962</v>
      </c>
      <c r="D599" s="1" t="s">
        <v>1199</v>
      </c>
    </row>
    <row r="600" spans="1:4">
      <c r="A600">
        <v>609</v>
      </c>
      <c r="B600" s="1" t="s">
        <v>564</v>
      </c>
      <c r="C600" s="1" t="s">
        <v>1963</v>
      </c>
      <c r="D600" s="1" t="s">
        <v>1199</v>
      </c>
    </row>
    <row r="601" spans="1:4">
      <c r="A601">
        <v>610</v>
      </c>
      <c r="B601" s="1" t="s">
        <v>565</v>
      </c>
      <c r="C601" s="1" t="s">
        <v>1964</v>
      </c>
      <c r="D601" s="1" t="s">
        <v>1199</v>
      </c>
    </row>
    <row r="602" spans="1:4">
      <c r="A602">
        <v>611</v>
      </c>
      <c r="B602" s="1" t="s">
        <v>566</v>
      </c>
      <c r="C602" s="1" t="s">
        <v>1965</v>
      </c>
      <c r="D602" s="1" t="s">
        <v>1199</v>
      </c>
    </row>
    <row r="603" spans="1:4">
      <c r="A603">
        <v>612</v>
      </c>
      <c r="B603" s="1" t="s">
        <v>567</v>
      </c>
      <c r="C603" s="1" t="s">
        <v>1966</v>
      </c>
      <c r="D603" s="1" t="s">
        <v>1199</v>
      </c>
    </row>
    <row r="604" spans="1:4">
      <c r="A604">
        <v>613</v>
      </c>
      <c r="B604" s="1" t="s">
        <v>568</v>
      </c>
      <c r="C604" s="1" t="s">
        <v>1608</v>
      </c>
      <c r="D604" s="1" t="s">
        <v>1199</v>
      </c>
    </row>
    <row r="605" spans="1:4">
      <c r="A605">
        <v>614</v>
      </c>
      <c r="B605" s="1" t="s">
        <v>569</v>
      </c>
      <c r="C605" s="1" t="s">
        <v>1847</v>
      </c>
      <c r="D605" s="1" t="s">
        <v>1199</v>
      </c>
    </row>
    <row r="606" spans="1:4">
      <c r="A606">
        <v>615</v>
      </c>
      <c r="B606" s="1" t="s">
        <v>570</v>
      </c>
      <c r="C606" s="1" t="s">
        <v>1609</v>
      </c>
      <c r="D606" s="1" t="s">
        <v>1199</v>
      </c>
    </row>
    <row r="607" spans="1:4">
      <c r="A607">
        <v>616</v>
      </c>
      <c r="B607" s="1" t="s">
        <v>571</v>
      </c>
      <c r="C607" s="1" t="s">
        <v>1848</v>
      </c>
      <c r="D607" s="1" t="s">
        <v>1199</v>
      </c>
    </row>
    <row r="608" spans="1:4">
      <c r="A608">
        <v>617</v>
      </c>
      <c r="B608" s="1" t="s">
        <v>572</v>
      </c>
      <c r="C608" s="1" t="s">
        <v>2030</v>
      </c>
      <c r="D608" s="1" t="s">
        <v>1199</v>
      </c>
    </row>
    <row r="609" spans="1:4">
      <c r="A609">
        <v>618</v>
      </c>
      <c r="B609" s="1" t="s">
        <v>573</v>
      </c>
      <c r="C609" s="1" t="s">
        <v>1849</v>
      </c>
      <c r="D609" s="1" t="s">
        <v>1199</v>
      </c>
    </row>
    <row r="610" spans="1:4">
      <c r="A610">
        <v>619</v>
      </c>
      <c r="B610" s="1" t="s">
        <v>574</v>
      </c>
      <c r="C610" s="1" t="s">
        <v>1850</v>
      </c>
      <c r="D610" s="1" t="s">
        <v>1199</v>
      </c>
    </row>
    <row r="611" spans="1:4">
      <c r="A611">
        <v>620</v>
      </c>
      <c r="B611" s="1" t="s">
        <v>575</v>
      </c>
      <c r="C611" s="1" t="s">
        <v>1851</v>
      </c>
      <c r="D611" s="1" t="s">
        <v>1199</v>
      </c>
    </row>
    <row r="612" spans="1:4">
      <c r="A612">
        <v>621</v>
      </c>
      <c r="B612" s="1" t="s">
        <v>576</v>
      </c>
      <c r="C612" s="1" t="s">
        <v>1852</v>
      </c>
      <c r="D612" s="1" t="s">
        <v>1199</v>
      </c>
    </row>
    <row r="613" spans="1:4">
      <c r="A613">
        <v>622</v>
      </c>
      <c r="B613" s="1" t="s">
        <v>577</v>
      </c>
      <c r="C613" s="1" t="s">
        <v>1853</v>
      </c>
      <c r="D613" s="1" t="s">
        <v>1199</v>
      </c>
    </row>
    <row r="614" spans="1:4">
      <c r="A614">
        <v>623</v>
      </c>
      <c r="B614" s="1" t="s">
        <v>578</v>
      </c>
      <c r="C614" s="1" t="s">
        <v>1850</v>
      </c>
      <c r="D614" s="1" t="s">
        <v>1199</v>
      </c>
    </row>
    <row r="615" spans="1:4">
      <c r="A615">
        <v>650</v>
      </c>
      <c r="B615" s="1" t="s">
        <v>579</v>
      </c>
      <c r="C615" s="1" t="s">
        <v>2467</v>
      </c>
      <c r="D615" s="1" t="s">
        <v>1200</v>
      </c>
    </row>
    <row r="616" spans="1:4">
      <c r="A616">
        <v>651</v>
      </c>
      <c r="B616" s="1" t="s">
        <v>580</v>
      </c>
      <c r="C616" s="1" t="s">
        <v>2468</v>
      </c>
      <c r="D616" s="1" t="s">
        <v>1200</v>
      </c>
    </row>
    <row r="617" spans="1:4">
      <c r="A617">
        <v>652</v>
      </c>
      <c r="B617" s="1" t="s">
        <v>581</v>
      </c>
      <c r="C617" s="1" t="s">
        <v>2469</v>
      </c>
      <c r="D617" s="1" t="s">
        <v>1200</v>
      </c>
    </row>
    <row r="618" spans="1:4">
      <c r="A618">
        <v>653</v>
      </c>
      <c r="B618" s="1" t="s">
        <v>582</v>
      </c>
      <c r="C618" s="1" t="s">
        <v>2470</v>
      </c>
      <c r="D618" s="1" t="s">
        <v>1200</v>
      </c>
    </row>
    <row r="619" spans="1:4">
      <c r="A619">
        <v>654</v>
      </c>
      <c r="B619" s="1" t="s">
        <v>583</v>
      </c>
      <c r="C619" s="1" t="s">
        <v>2471</v>
      </c>
      <c r="D619" s="1" t="s">
        <v>1200</v>
      </c>
    </row>
    <row r="620" spans="1:4">
      <c r="A620">
        <v>655</v>
      </c>
      <c r="B620" s="1" t="s">
        <v>584</v>
      </c>
      <c r="C620" s="1" t="s">
        <v>2472</v>
      </c>
      <c r="D620" s="1" t="s">
        <v>1200</v>
      </c>
    </row>
    <row r="621" spans="1:4">
      <c r="A621">
        <v>656</v>
      </c>
      <c r="B621" s="1" t="s">
        <v>585</v>
      </c>
      <c r="C621" s="1" t="s">
        <v>2473</v>
      </c>
      <c r="D621" s="1" t="s">
        <v>1200</v>
      </c>
    </row>
    <row r="622" spans="1:4">
      <c r="A622">
        <v>700</v>
      </c>
      <c r="B622" s="1" t="s">
        <v>586</v>
      </c>
      <c r="C622" s="1" t="s">
        <v>1610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1611</v>
      </c>
      <c r="D624" s="1" t="s">
        <v>1201</v>
      </c>
    </row>
    <row r="625" spans="1:4">
      <c r="A625">
        <v>703</v>
      </c>
      <c r="B625" s="1" t="s">
        <v>589</v>
      </c>
      <c r="C625" s="1" t="s">
        <v>1612</v>
      </c>
      <c r="D625" s="1" t="s">
        <v>1201</v>
      </c>
    </row>
    <row r="626" spans="1:4">
      <c r="A626">
        <v>704</v>
      </c>
      <c r="B626" s="1" t="s">
        <v>590</v>
      </c>
      <c r="C626" s="1" t="s">
        <v>1613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1614</v>
      </c>
      <c r="D628" s="1" t="s">
        <v>1201</v>
      </c>
    </row>
    <row r="629" spans="1:4">
      <c r="A629">
        <v>707</v>
      </c>
      <c r="B629" s="1" t="s">
        <v>593</v>
      </c>
      <c r="C629" s="1" t="s">
        <v>1703</v>
      </c>
      <c r="D629" s="1" t="s">
        <v>1201</v>
      </c>
    </row>
    <row r="630" spans="1:4">
      <c r="A630">
        <v>708</v>
      </c>
      <c r="B630" s="1" t="s">
        <v>594</v>
      </c>
      <c r="C630" s="1" t="s">
        <v>1615</v>
      </c>
      <c r="D630" s="1" t="s">
        <v>1201</v>
      </c>
    </row>
    <row r="631" spans="1:4">
      <c r="A631">
        <v>709</v>
      </c>
      <c r="B631" s="1" t="s">
        <v>595</v>
      </c>
      <c r="C631" s="1" t="s">
        <v>1864</v>
      </c>
      <c r="D631" s="1" t="s">
        <v>1201</v>
      </c>
    </row>
    <row r="632" spans="1:4">
      <c r="A632">
        <v>710</v>
      </c>
      <c r="B632" s="1" t="s">
        <v>596</v>
      </c>
      <c r="C632" s="1" t="s">
        <v>1855</v>
      </c>
      <c r="D632" s="1" t="s">
        <v>1201</v>
      </c>
    </row>
    <row r="633" spans="1:4">
      <c r="A633">
        <v>711</v>
      </c>
      <c r="B633" s="1" t="s">
        <v>27</v>
      </c>
      <c r="C633" s="1" t="s">
        <v>2034</v>
      </c>
      <c r="D633" s="1" t="s">
        <v>1201</v>
      </c>
    </row>
    <row r="634" spans="1:4">
      <c r="A634">
        <v>712</v>
      </c>
      <c r="B634" s="1" t="s">
        <v>597</v>
      </c>
      <c r="C634" s="1" t="s">
        <v>1856</v>
      </c>
      <c r="D634" s="1" t="s">
        <v>1201</v>
      </c>
    </row>
    <row r="635" spans="1:4">
      <c r="A635">
        <v>713</v>
      </c>
      <c r="B635" s="1" t="s">
        <v>598</v>
      </c>
      <c r="C635" s="1" t="s">
        <v>2035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2036</v>
      </c>
      <c r="D637" s="1" t="s">
        <v>1202</v>
      </c>
    </row>
    <row r="638" spans="1:4">
      <c r="A638">
        <v>901</v>
      </c>
      <c r="B638" s="1" t="s">
        <v>601</v>
      </c>
      <c r="C638" s="1" t="s">
        <v>1752</v>
      </c>
      <c r="D638" s="1" t="s">
        <v>1202</v>
      </c>
    </row>
    <row r="639" spans="1:4">
      <c r="A639">
        <v>902</v>
      </c>
      <c r="B639" s="1" t="s">
        <v>602</v>
      </c>
      <c r="C639" s="1" t="s">
        <v>2108</v>
      </c>
      <c r="D639" s="1" t="s">
        <v>1202</v>
      </c>
    </row>
    <row r="640" spans="1:4">
      <c r="A640">
        <v>903</v>
      </c>
      <c r="B640" s="1" t="s">
        <v>603</v>
      </c>
      <c r="C640" s="1" t="s">
        <v>2037</v>
      </c>
      <c r="D640" s="1" t="s">
        <v>1202</v>
      </c>
    </row>
    <row r="641" spans="1:4">
      <c r="A641">
        <v>904</v>
      </c>
      <c r="B641" s="1" t="s">
        <v>604</v>
      </c>
      <c r="C641" s="1" t="s">
        <v>2047</v>
      </c>
      <c r="D641" s="1" t="s">
        <v>1202</v>
      </c>
    </row>
    <row r="642" spans="1:4">
      <c r="A642">
        <v>905</v>
      </c>
      <c r="B642" s="1" t="s">
        <v>605</v>
      </c>
      <c r="C642" s="1" t="s">
        <v>2031</v>
      </c>
      <c r="D642" s="1" t="s">
        <v>1202</v>
      </c>
    </row>
    <row r="643" spans="1:4">
      <c r="A643">
        <v>906</v>
      </c>
      <c r="B643" s="1" t="s">
        <v>606</v>
      </c>
      <c r="C643" s="1" t="s">
        <v>2479</v>
      </c>
      <c r="D643" s="1" t="s">
        <v>1202</v>
      </c>
    </row>
    <row r="644" spans="1:4">
      <c r="A644">
        <v>907</v>
      </c>
      <c r="B644" s="1" t="s">
        <v>607</v>
      </c>
      <c r="C644" s="1" t="s">
        <v>2032</v>
      </c>
      <c r="D644" s="1" t="s">
        <v>1202</v>
      </c>
    </row>
    <row r="645" spans="1:4">
      <c r="A645">
        <v>908</v>
      </c>
      <c r="B645" s="1" t="s">
        <v>608</v>
      </c>
      <c r="C645" s="1" t="s">
        <v>2033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1616</v>
      </c>
      <c r="D648" s="1" t="s">
        <v>1202</v>
      </c>
    </row>
    <row r="649" spans="1:4">
      <c r="A649">
        <v>912</v>
      </c>
      <c r="B649" s="1" t="s">
        <v>611</v>
      </c>
      <c r="C649" s="1" t="s">
        <v>1617</v>
      </c>
      <c r="D649" s="1" t="s">
        <v>1202</v>
      </c>
    </row>
    <row r="650" spans="1:4">
      <c r="A650">
        <v>913</v>
      </c>
      <c r="B650" s="1" t="s">
        <v>612</v>
      </c>
      <c r="C650" s="1" t="s">
        <v>1618</v>
      </c>
      <c r="D650" s="1" t="s">
        <v>1202</v>
      </c>
    </row>
    <row r="651" spans="1:4">
      <c r="A651">
        <v>914</v>
      </c>
      <c r="B651" s="1" t="s">
        <v>613</v>
      </c>
      <c r="C651" s="1" t="s">
        <v>1971</v>
      </c>
      <c r="D651" s="1" t="s">
        <v>1202</v>
      </c>
    </row>
    <row r="652" spans="1:4">
      <c r="A652">
        <v>915</v>
      </c>
      <c r="B652" s="1" t="s">
        <v>614</v>
      </c>
      <c r="C652" s="1" t="s">
        <v>1927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1972</v>
      </c>
      <c r="D654" s="1" t="s">
        <v>1202</v>
      </c>
    </row>
    <row r="655" spans="1:4">
      <c r="A655">
        <v>918</v>
      </c>
      <c r="B655" s="1" t="s">
        <v>617</v>
      </c>
      <c r="C655" s="1" t="s">
        <v>1973</v>
      </c>
      <c r="D655" s="1" t="s">
        <v>1202</v>
      </c>
    </row>
    <row r="656" spans="1:4">
      <c r="A656">
        <v>919</v>
      </c>
      <c r="B656" s="1" t="s">
        <v>618</v>
      </c>
      <c r="C656" s="1" t="s">
        <v>1974</v>
      </c>
      <c r="D656" s="1" t="s">
        <v>1202</v>
      </c>
    </row>
    <row r="657" spans="1:4">
      <c r="A657">
        <v>920</v>
      </c>
      <c r="B657" s="1" t="s">
        <v>619</v>
      </c>
      <c r="C657" s="1" t="s">
        <v>1975</v>
      </c>
      <c r="D657" s="1" t="s">
        <v>1202</v>
      </c>
    </row>
    <row r="658" spans="1:4">
      <c r="A658">
        <v>921</v>
      </c>
      <c r="B658" s="1" t="s">
        <v>620</v>
      </c>
      <c r="C658" s="1" t="s">
        <v>1928</v>
      </c>
      <c r="D658" s="1" t="s">
        <v>1202</v>
      </c>
    </row>
    <row r="659" spans="1:4">
      <c r="A659">
        <v>922</v>
      </c>
      <c r="B659" s="1" t="s">
        <v>621</v>
      </c>
      <c r="C659" s="1" t="s">
        <v>1976</v>
      </c>
      <c r="D659" s="1" t="s">
        <v>1202</v>
      </c>
    </row>
    <row r="660" spans="1:4">
      <c r="A660">
        <v>923</v>
      </c>
      <c r="B660" s="1" t="s">
        <v>622</v>
      </c>
      <c r="C660" s="1" t="s">
        <v>1929</v>
      </c>
      <c r="D660" s="1" t="s">
        <v>1202</v>
      </c>
    </row>
    <row r="661" spans="1:4">
      <c r="A661">
        <v>924</v>
      </c>
      <c r="B661" s="1" t="s">
        <v>623</v>
      </c>
      <c r="C661" s="1" t="s">
        <v>1977</v>
      </c>
      <c r="D661" s="1" t="s">
        <v>1202</v>
      </c>
    </row>
    <row r="662" spans="1:4">
      <c r="A662">
        <v>925</v>
      </c>
      <c r="B662" s="1" t="s">
        <v>624</v>
      </c>
      <c r="C662" s="1" t="s">
        <v>1978</v>
      </c>
      <c r="D662" s="1" t="s">
        <v>1202</v>
      </c>
    </row>
    <row r="663" spans="1:4">
      <c r="A663">
        <v>926</v>
      </c>
      <c r="B663" s="1" t="s">
        <v>625</v>
      </c>
      <c r="C663" s="1" t="s">
        <v>1979</v>
      </c>
      <c r="D663" s="1" t="s">
        <v>1202</v>
      </c>
    </row>
    <row r="664" spans="1:4">
      <c r="A664">
        <v>927</v>
      </c>
      <c r="B664" s="1" t="s">
        <v>626</v>
      </c>
      <c r="C664" s="1" t="s">
        <v>1980</v>
      </c>
      <c r="D664" s="1" t="s">
        <v>1202</v>
      </c>
    </row>
    <row r="665" spans="1:4">
      <c r="A665">
        <v>928</v>
      </c>
      <c r="B665" s="1" t="s">
        <v>627</v>
      </c>
      <c r="C665" s="1" t="s">
        <v>1981</v>
      </c>
      <c r="D665" s="1" t="s">
        <v>1202</v>
      </c>
    </row>
    <row r="666" spans="1:4">
      <c r="A666">
        <v>929</v>
      </c>
      <c r="B666" s="1" t="s">
        <v>628</v>
      </c>
      <c r="C666" s="1" t="s">
        <v>1982</v>
      </c>
      <c r="D666" s="1" t="s">
        <v>1202</v>
      </c>
    </row>
    <row r="667" spans="1:4">
      <c r="A667">
        <v>930</v>
      </c>
      <c r="B667" s="1" t="s">
        <v>629</v>
      </c>
      <c r="C667" s="1" t="s">
        <v>2592</v>
      </c>
      <c r="D667" s="1" t="s">
        <v>1202</v>
      </c>
    </row>
    <row r="668" spans="1:4">
      <c r="A668">
        <v>931</v>
      </c>
      <c r="B668" s="1" t="s">
        <v>630</v>
      </c>
      <c r="C668" s="1" t="s">
        <v>1983</v>
      </c>
      <c r="D668" s="1" t="s">
        <v>1202</v>
      </c>
    </row>
    <row r="669" spans="1:4">
      <c r="A669">
        <v>932</v>
      </c>
      <c r="B669" s="1" t="s">
        <v>631</v>
      </c>
      <c r="C669" s="1" t="s">
        <v>1930</v>
      </c>
      <c r="D669" s="1" t="s">
        <v>1202</v>
      </c>
    </row>
    <row r="670" spans="1:4">
      <c r="A670">
        <v>933</v>
      </c>
      <c r="B670" s="1" t="s">
        <v>632</v>
      </c>
      <c r="C670" s="1" t="s">
        <v>1931</v>
      </c>
      <c r="D670" s="1" t="s">
        <v>1202</v>
      </c>
    </row>
    <row r="671" spans="1:4">
      <c r="A671">
        <v>934</v>
      </c>
      <c r="B671" s="1" t="s">
        <v>633</v>
      </c>
      <c r="C671" s="1" t="s">
        <v>1984</v>
      </c>
      <c r="D671" s="1" t="s">
        <v>1202</v>
      </c>
    </row>
    <row r="672" spans="1:4">
      <c r="A672">
        <v>935</v>
      </c>
      <c r="B672" s="1" t="s">
        <v>634</v>
      </c>
      <c r="C672" s="1" t="s">
        <v>1932</v>
      </c>
      <c r="D672" s="1" t="s">
        <v>1202</v>
      </c>
    </row>
    <row r="673" spans="1:4">
      <c r="A673">
        <v>936</v>
      </c>
      <c r="B673" s="1" t="s">
        <v>635</v>
      </c>
      <c r="C673" s="1" t="s">
        <v>1933</v>
      </c>
      <c r="D673" s="1" t="s">
        <v>1202</v>
      </c>
    </row>
    <row r="674" spans="1:4">
      <c r="A674">
        <v>937</v>
      </c>
      <c r="B674" s="1" t="s">
        <v>636</v>
      </c>
      <c r="C674" s="1" t="s">
        <v>1985</v>
      </c>
      <c r="D674" s="1" t="s">
        <v>1202</v>
      </c>
    </row>
    <row r="675" spans="1:4">
      <c r="A675">
        <v>938</v>
      </c>
      <c r="B675" s="1" t="s">
        <v>637</v>
      </c>
      <c r="C675" s="1" t="s">
        <v>1967</v>
      </c>
      <c r="D675" s="1" t="s">
        <v>1202</v>
      </c>
    </row>
    <row r="676" spans="1:4">
      <c r="A676">
        <v>939</v>
      </c>
      <c r="B676" s="1" t="s">
        <v>638</v>
      </c>
      <c r="C676" s="1" t="s">
        <v>1986</v>
      </c>
      <c r="D676" s="1" t="s">
        <v>1202</v>
      </c>
    </row>
    <row r="677" spans="1:4">
      <c r="A677">
        <v>940</v>
      </c>
      <c r="B677" s="1" t="s">
        <v>639</v>
      </c>
      <c r="C677" s="1" t="s">
        <v>1987</v>
      </c>
      <c r="D677" s="1" t="s">
        <v>1202</v>
      </c>
    </row>
    <row r="678" spans="1:4">
      <c r="A678">
        <v>941</v>
      </c>
      <c r="B678" s="1" t="s">
        <v>640</v>
      </c>
      <c r="C678" s="1" t="s">
        <v>1934</v>
      </c>
      <c r="D678" s="1" t="s">
        <v>1202</v>
      </c>
    </row>
    <row r="679" spans="1:4">
      <c r="A679">
        <v>942</v>
      </c>
      <c r="B679" s="1" t="s">
        <v>641</v>
      </c>
      <c r="C679" s="1" t="s">
        <v>1935</v>
      </c>
      <c r="D679" s="1" t="s">
        <v>1202</v>
      </c>
    </row>
    <row r="680" spans="1:4">
      <c r="A680">
        <v>943</v>
      </c>
      <c r="B680" s="1" t="s">
        <v>642</v>
      </c>
      <c r="C680" s="1" t="s">
        <v>1807</v>
      </c>
      <c r="D680" s="1" t="s">
        <v>1202</v>
      </c>
    </row>
    <row r="681" spans="1:4">
      <c r="A681">
        <v>944</v>
      </c>
      <c r="B681" s="1" t="s">
        <v>643</v>
      </c>
      <c r="C681" s="1" t="s">
        <v>1936</v>
      </c>
      <c r="D681" s="1" t="s">
        <v>1202</v>
      </c>
    </row>
    <row r="682" spans="1:4">
      <c r="A682">
        <v>945</v>
      </c>
      <c r="B682" s="1" t="s">
        <v>644</v>
      </c>
      <c r="C682" s="1" t="s">
        <v>1937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1938</v>
      </c>
      <c r="D684" s="1" t="s">
        <v>1202</v>
      </c>
    </row>
    <row r="685" spans="1:4">
      <c r="A685">
        <v>948</v>
      </c>
      <c r="B685" s="1" t="s">
        <v>646</v>
      </c>
      <c r="C685" s="1" t="s">
        <v>1939</v>
      </c>
      <c r="D685" s="1" t="s">
        <v>1202</v>
      </c>
    </row>
    <row r="686" spans="1:4">
      <c r="A686">
        <v>949</v>
      </c>
      <c r="B686" s="1" t="s">
        <v>647</v>
      </c>
      <c r="C686" s="1" t="s">
        <v>1757</v>
      </c>
      <c r="D686" s="1" t="s">
        <v>1202</v>
      </c>
    </row>
    <row r="687" spans="1:4">
      <c r="A687">
        <v>950</v>
      </c>
      <c r="B687" s="1" t="s">
        <v>648</v>
      </c>
      <c r="C687" s="1" t="s">
        <v>1758</v>
      </c>
      <c r="D687" s="1" t="s">
        <v>1202</v>
      </c>
    </row>
    <row r="688" spans="1:4">
      <c r="A688">
        <v>951</v>
      </c>
      <c r="B688" s="1" t="s">
        <v>649</v>
      </c>
      <c r="C688" s="1" t="s">
        <v>1619</v>
      </c>
      <c r="D688" s="1" t="s">
        <v>1202</v>
      </c>
    </row>
    <row r="689" spans="1:4">
      <c r="A689">
        <v>952</v>
      </c>
      <c r="B689" s="1" t="s">
        <v>650</v>
      </c>
      <c r="C689" s="1" t="s">
        <v>1762</v>
      </c>
      <c r="D689" s="1" t="s">
        <v>1202</v>
      </c>
    </row>
    <row r="690" spans="1:4">
      <c r="A690">
        <v>953</v>
      </c>
      <c r="B690" s="1" t="s">
        <v>651</v>
      </c>
      <c r="C690" s="1" t="s">
        <v>1763</v>
      </c>
      <c r="D690" s="1" t="s">
        <v>1202</v>
      </c>
    </row>
    <row r="691" spans="1:4">
      <c r="A691">
        <v>954</v>
      </c>
      <c r="B691" s="1" t="s">
        <v>652</v>
      </c>
      <c r="C691" s="1" t="s">
        <v>1620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1940</v>
      </c>
      <c r="D693" s="1" t="s">
        <v>1202</v>
      </c>
    </row>
    <row r="694" spans="1:4">
      <c r="A694">
        <v>957</v>
      </c>
      <c r="B694" s="1" t="s">
        <v>655</v>
      </c>
      <c r="C694" s="1" t="s">
        <v>2038</v>
      </c>
      <c r="D694" s="1" t="s">
        <v>1202</v>
      </c>
    </row>
    <row r="695" spans="1:4">
      <c r="A695">
        <v>958</v>
      </c>
      <c r="B695" s="1" t="s">
        <v>656</v>
      </c>
      <c r="C695" s="1" t="s">
        <v>1941</v>
      </c>
      <c r="D695" s="1" t="s">
        <v>1202</v>
      </c>
    </row>
    <row r="696" spans="1:4">
      <c r="A696">
        <v>959</v>
      </c>
      <c r="B696" s="1" t="s">
        <v>657</v>
      </c>
      <c r="C696" s="1" t="s">
        <v>1942</v>
      </c>
      <c r="D696" s="1" t="s">
        <v>1202</v>
      </c>
    </row>
    <row r="697" spans="1:4">
      <c r="A697">
        <v>960</v>
      </c>
      <c r="B697" s="1" t="s">
        <v>658</v>
      </c>
      <c r="C697" s="1" t="s">
        <v>2039</v>
      </c>
      <c r="D697" s="1" t="s">
        <v>1202</v>
      </c>
    </row>
    <row r="698" spans="1:4">
      <c r="A698">
        <v>961</v>
      </c>
      <c r="B698" s="1" t="s">
        <v>659</v>
      </c>
      <c r="C698" s="1" t="s">
        <v>1941</v>
      </c>
      <c r="D698" s="1" t="s">
        <v>1202</v>
      </c>
    </row>
    <row r="699" spans="1:4">
      <c r="A699">
        <v>962</v>
      </c>
      <c r="B699" s="1" t="s">
        <v>657</v>
      </c>
      <c r="C699" s="1" t="s">
        <v>1942</v>
      </c>
      <c r="D699" s="1" t="s">
        <v>1202</v>
      </c>
    </row>
    <row r="700" spans="1:4">
      <c r="A700">
        <v>963</v>
      </c>
      <c r="B700" s="1" t="s">
        <v>655</v>
      </c>
      <c r="C700" s="1" t="s">
        <v>2040</v>
      </c>
      <c r="D700" s="1" t="s">
        <v>1202</v>
      </c>
    </row>
    <row r="701" spans="1:4">
      <c r="A701">
        <v>964</v>
      </c>
      <c r="B701" s="1" t="s">
        <v>660</v>
      </c>
      <c r="C701" s="1" t="s">
        <v>2041</v>
      </c>
      <c r="D701" s="1" t="s">
        <v>1202</v>
      </c>
    </row>
    <row r="702" spans="1:4">
      <c r="A702">
        <v>965</v>
      </c>
      <c r="B702" s="1" t="s">
        <v>658</v>
      </c>
      <c r="C702" s="1" t="s">
        <v>2039</v>
      </c>
      <c r="D702" s="1" t="s">
        <v>1202</v>
      </c>
    </row>
    <row r="703" spans="1:4">
      <c r="A703">
        <v>966</v>
      </c>
      <c r="B703" s="1" t="s">
        <v>660</v>
      </c>
      <c r="C703" s="1" t="s">
        <v>2041</v>
      </c>
      <c r="D703" s="1" t="s">
        <v>1202</v>
      </c>
    </row>
    <row r="704" spans="1:4">
      <c r="A704">
        <v>967</v>
      </c>
      <c r="B704" s="1" t="s">
        <v>661</v>
      </c>
      <c r="C704" s="1" t="s">
        <v>2649</v>
      </c>
      <c r="D704" s="1" t="s">
        <v>1202</v>
      </c>
    </row>
    <row r="705" spans="1:4">
      <c r="A705">
        <v>968</v>
      </c>
      <c r="B705" s="1" t="s">
        <v>660</v>
      </c>
      <c r="C705" s="1" t="s">
        <v>2041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1703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1621</v>
      </c>
      <c r="D710" s="1" t="s">
        <v>1203</v>
      </c>
    </row>
    <row r="711" spans="1:4">
      <c r="A711">
        <v>1004</v>
      </c>
      <c r="B711" s="1" t="s">
        <v>667</v>
      </c>
      <c r="C711" s="1" t="s">
        <v>1622</v>
      </c>
      <c r="D711" s="1" t="s">
        <v>1203</v>
      </c>
    </row>
    <row r="712" spans="1:4">
      <c r="A712">
        <v>1005</v>
      </c>
      <c r="B712" s="1" t="s">
        <v>668</v>
      </c>
      <c r="C712" s="1" t="s">
        <v>1943</v>
      </c>
      <c r="D712" s="1" t="s">
        <v>1203</v>
      </c>
    </row>
    <row r="713" spans="1:4">
      <c r="A713">
        <v>1006</v>
      </c>
      <c r="B713" s="1" t="s">
        <v>110</v>
      </c>
      <c r="C713" s="1" t="s">
        <v>1623</v>
      </c>
      <c r="D713" s="1" t="s">
        <v>1203</v>
      </c>
    </row>
    <row r="714" spans="1:4">
      <c r="A714">
        <v>1007</v>
      </c>
      <c r="B714" s="1" t="s">
        <v>669</v>
      </c>
      <c r="C714" s="1" t="s">
        <v>1624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1764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1765</v>
      </c>
      <c r="D731" s="1" t="s">
        <v>684</v>
      </c>
    </row>
    <row r="732" spans="1:4">
      <c r="A732">
        <v>1201</v>
      </c>
      <c r="B732" s="1" t="s">
        <v>685</v>
      </c>
      <c r="C732" s="1" t="s">
        <v>1625</v>
      </c>
      <c r="D732" s="1" t="s">
        <v>684</v>
      </c>
    </row>
    <row r="733" spans="1:4">
      <c r="A733">
        <v>1202</v>
      </c>
      <c r="B733" s="1" t="s">
        <v>686</v>
      </c>
      <c r="C733" s="1" t="s">
        <v>1766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1767</v>
      </c>
      <c r="D735" s="1" t="s">
        <v>1205</v>
      </c>
    </row>
    <row r="736" spans="1:4">
      <c r="A736">
        <v>1301</v>
      </c>
      <c r="B736" s="1" t="s">
        <v>689</v>
      </c>
      <c r="C736" s="1" t="s">
        <v>1768</v>
      </c>
      <c r="D736" s="1" t="s">
        <v>1205</v>
      </c>
    </row>
    <row r="737" spans="1:4">
      <c r="A737">
        <v>1302</v>
      </c>
      <c r="B737" s="1" t="s">
        <v>690</v>
      </c>
      <c r="C737" s="1" t="s">
        <v>1769</v>
      </c>
      <c r="D737" s="1" t="s">
        <v>1205</v>
      </c>
    </row>
    <row r="738" spans="1:4">
      <c r="A738">
        <v>1303</v>
      </c>
      <c r="B738" s="1" t="s">
        <v>691</v>
      </c>
      <c r="C738" s="1" t="s">
        <v>2593</v>
      </c>
      <c r="D738" s="1" t="s">
        <v>1205</v>
      </c>
    </row>
    <row r="739" spans="1:4">
      <c r="A739">
        <v>1304</v>
      </c>
      <c r="B739" s="1" t="s">
        <v>692</v>
      </c>
      <c r="C739" s="1" t="s">
        <v>1770</v>
      </c>
      <c r="D739" s="1" t="s">
        <v>1205</v>
      </c>
    </row>
    <row r="740" spans="1:4">
      <c r="A740">
        <v>1305</v>
      </c>
      <c r="B740" s="1" t="s">
        <v>693</v>
      </c>
      <c r="C740" s="1" t="s">
        <v>1771</v>
      </c>
      <c r="D740" s="1" t="s">
        <v>1205</v>
      </c>
    </row>
    <row r="741" spans="1:4">
      <c r="A741">
        <v>1306</v>
      </c>
      <c r="B741" s="1" t="s">
        <v>694</v>
      </c>
      <c r="C741" s="1" t="s">
        <v>1772</v>
      </c>
      <c r="D741" s="1" t="s">
        <v>1205</v>
      </c>
    </row>
    <row r="742" spans="1:4">
      <c r="A742">
        <v>1400</v>
      </c>
      <c r="B742" s="1" t="s">
        <v>695</v>
      </c>
      <c r="C742" s="1" t="s">
        <v>1626</v>
      </c>
      <c r="D742" s="1" t="s">
        <v>1206</v>
      </c>
    </row>
    <row r="743" spans="1:4">
      <c r="A743">
        <v>1401</v>
      </c>
      <c r="B743" s="1" t="s">
        <v>696</v>
      </c>
      <c r="C743" s="1" t="s">
        <v>1627</v>
      </c>
      <c r="D743" s="1" t="s">
        <v>1206</v>
      </c>
    </row>
    <row r="744" spans="1:4">
      <c r="A744">
        <v>1402</v>
      </c>
      <c r="B744" s="1" t="s">
        <v>697</v>
      </c>
      <c r="C744" s="1" t="s">
        <v>1628</v>
      </c>
      <c r="D744" s="1" t="s">
        <v>1206</v>
      </c>
    </row>
    <row r="745" spans="1:4">
      <c r="A745">
        <v>1403</v>
      </c>
      <c r="B745" s="1" t="s">
        <v>698</v>
      </c>
      <c r="C745" s="1" t="s">
        <v>1629</v>
      </c>
      <c r="D745" s="1" t="s">
        <v>1206</v>
      </c>
    </row>
    <row r="746" spans="1:4">
      <c r="A746">
        <v>1404</v>
      </c>
      <c r="B746" s="1" t="s">
        <v>699</v>
      </c>
      <c r="C746" s="1" t="s">
        <v>1630</v>
      </c>
      <c r="D746" s="1" t="s">
        <v>1206</v>
      </c>
    </row>
    <row r="747" spans="1:4">
      <c r="A747">
        <v>1405</v>
      </c>
      <c r="B747" s="1" t="s">
        <v>700</v>
      </c>
      <c r="C747" s="1" t="s">
        <v>1631</v>
      </c>
      <c r="D747" s="1" t="s">
        <v>1206</v>
      </c>
    </row>
    <row r="748" spans="1:4">
      <c r="A748">
        <v>1406</v>
      </c>
      <c r="B748" s="1" t="s">
        <v>701</v>
      </c>
      <c r="C748" s="1" t="s">
        <v>1632</v>
      </c>
      <c r="D748" s="1" t="s">
        <v>1206</v>
      </c>
    </row>
    <row r="749" spans="1:4">
      <c r="A749">
        <v>1407</v>
      </c>
      <c r="B749" s="1" t="s">
        <v>702</v>
      </c>
      <c r="C749" s="1" t="s">
        <v>1633</v>
      </c>
      <c r="D749" s="1" t="s">
        <v>1206</v>
      </c>
    </row>
    <row r="750" spans="1:4">
      <c r="A750">
        <v>1408</v>
      </c>
      <c r="B750" s="1" t="s">
        <v>703</v>
      </c>
      <c r="C750" s="1" t="s">
        <v>1634</v>
      </c>
      <c r="D750" s="1" t="s">
        <v>1206</v>
      </c>
    </row>
    <row r="751" spans="1:4">
      <c r="A751">
        <v>1409</v>
      </c>
      <c r="B751" s="1" t="s">
        <v>704</v>
      </c>
      <c r="C751" s="1" t="s">
        <v>1635</v>
      </c>
      <c r="D751" s="1" t="s">
        <v>1206</v>
      </c>
    </row>
    <row r="752" spans="1:4">
      <c r="A752">
        <v>1410</v>
      </c>
      <c r="B752" s="1" t="s">
        <v>705</v>
      </c>
      <c r="C752" s="1" t="s">
        <v>1636</v>
      </c>
      <c r="D752" s="1" t="s">
        <v>1206</v>
      </c>
    </row>
    <row r="753" spans="1:4">
      <c r="A753">
        <v>1411</v>
      </c>
      <c r="B753" s="1" t="s">
        <v>706</v>
      </c>
      <c r="C753" s="1" t="s">
        <v>1637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1638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1639</v>
      </c>
      <c r="C761" s="1" t="s">
        <v>1640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1641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1642</v>
      </c>
      <c r="D767" s="1" t="s">
        <v>676</v>
      </c>
    </row>
    <row r="768" spans="1:4">
      <c r="A768">
        <v>1514</v>
      </c>
      <c r="B768" s="1" t="s">
        <v>718</v>
      </c>
      <c r="C768" s="1" t="s">
        <v>1643</v>
      </c>
      <c r="D768" s="1" t="s">
        <v>676</v>
      </c>
    </row>
    <row r="769" spans="1:4">
      <c r="A769">
        <v>1515</v>
      </c>
      <c r="B769" s="1" t="s">
        <v>719</v>
      </c>
      <c r="C769" s="1" t="s">
        <v>1644</v>
      </c>
      <c r="D769" s="1" t="s">
        <v>676</v>
      </c>
    </row>
    <row r="770" spans="1:4">
      <c r="A770">
        <v>1516</v>
      </c>
      <c r="B770" s="1" t="s">
        <v>720</v>
      </c>
      <c r="C770" s="1" t="s">
        <v>1645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1646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1647</v>
      </c>
      <c r="D802" s="1" t="s">
        <v>1207</v>
      </c>
    </row>
    <row r="803" spans="1:4">
      <c r="A803">
        <v>1809</v>
      </c>
      <c r="B803" s="1" t="s">
        <v>751</v>
      </c>
      <c r="C803" s="1" t="s">
        <v>1648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1649</v>
      </c>
      <c r="D812" s="1" t="s">
        <v>674</v>
      </c>
    </row>
    <row r="813" spans="1:4">
      <c r="A813">
        <v>1902</v>
      </c>
      <c r="B813" s="1" t="s">
        <v>680</v>
      </c>
      <c r="C813" s="1" t="s">
        <v>1650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1651</v>
      </c>
      <c r="D815" s="1" t="s">
        <v>674</v>
      </c>
    </row>
    <row r="816" spans="1:4">
      <c r="A816">
        <v>1905</v>
      </c>
      <c r="B816" s="1" t="s">
        <v>760</v>
      </c>
      <c r="C816" s="1" t="s">
        <v>1652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1653</v>
      </c>
      <c r="D818" s="1" t="s">
        <v>674</v>
      </c>
    </row>
    <row r="819" spans="1:4">
      <c r="A819">
        <v>2000</v>
      </c>
      <c r="B819" s="1" t="s">
        <v>762</v>
      </c>
      <c r="C819" s="1" t="s">
        <v>1654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1655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1656</v>
      </c>
      <c r="D826" s="1" t="s">
        <v>673</v>
      </c>
    </row>
    <row r="827" spans="1:4">
      <c r="A827">
        <v>2008</v>
      </c>
      <c r="B827" s="1" t="s">
        <v>768</v>
      </c>
      <c r="C827" s="1" t="s">
        <v>1857</v>
      </c>
      <c r="D827" s="1" t="s">
        <v>673</v>
      </c>
    </row>
    <row r="828" spans="1:4">
      <c r="A828">
        <v>2009</v>
      </c>
      <c r="B828" s="1" t="s">
        <v>769</v>
      </c>
      <c r="C828" s="1" t="s">
        <v>1657</v>
      </c>
      <c r="D828" s="1" t="s">
        <v>673</v>
      </c>
    </row>
    <row r="829" spans="1:4">
      <c r="A829">
        <v>2010</v>
      </c>
      <c r="B829" s="1" t="s">
        <v>770</v>
      </c>
      <c r="C829" s="1" t="s">
        <v>1658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1649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1659</v>
      </c>
      <c r="D853" s="1" t="s">
        <v>759</v>
      </c>
    </row>
    <row r="854" spans="1:4">
      <c r="A854">
        <v>2103</v>
      </c>
      <c r="B854" s="1" t="s">
        <v>794</v>
      </c>
      <c r="C854" s="1" t="s">
        <v>1660</v>
      </c>
      <c r="D854" s="1" t="s">
        <v>759</v>
      </c>
    </row>
    <row r="855" spans="1:4">
      <c r="A855">
        <v>2104</v>
      </c>
      <c r="B855" s="1" t="s">
        <v>795</v>
      </c>
      <c r="C855" s="1" t="s">
        <v>1661</v>
      </c>
      <c r="D855" s="1" t="s">
        <v>759</v>
      </c>
    </row>
    <row r="856" spans="1:4">
      <c r="A856">
        <v>2105</v>
      </c>
      <c r="B856" s="1" t="s">
        <v>796</v>
      </c>
      <c r="C856" s="1" t="s">
        <v>1662</v>
      </c>
      <c r="D856" s="1" t="s">
        <v>759</v>
      </c>
    </row>
    <row r="857" spans="1:4">
      <c r="A857">
        <v>2106</v>
      </c>
      <c r="B857" s="1" t="s">
        <v>797</v>
      </c>
      <c r="C857" s="1" t="s">
        <v>1663</v>
      </c>
      <c r="D857" s="1" t="s">
        <v>759</v>
      </c>
    </row>
    <row r="858" spans="1:4">
      <c r="A858">
        <v>2107</v>
      </c>
      <c r="B858" s="1" t="s">
        <v>798</v>
      </c>
      <c r="C858" s="1" t="s">
        <v>1664</v>
      </c>
      <c r="D858" s="1" t="s">
        <v>759</v>
      </c>
    </row>
    <row r="859" spans="1:4">
      <c r="A859">
        <v>2108</v>
      </c>
      <c r="B859" s="1" t="s">
        <v>799</v>
      </c>
      <c r="C859" s="1" t="s">
        <v>1665</v>
      </c>
      <c r="D859" s="1" t="s">
        <v>759</v>
      </c>
    </row>
    <row r="860" spans="1:4">
      <c r="A860">
        <v>2109</v>
      </c>
      <c r="B860" s="1" t="s">
        <v>800</v>
      </c>
      <c r="C860" s="1" t="s">
        <v>1666</v>
      </c>
      <c r="D860" s="1" t="s">
        <v>759</v>
      </c>
    </row>
    <row r="861" spans="1:4">
      <c r="A861">
        <v>2110</v>
      </c>
      <c r="B861" s="1" t="s">
        <v>801</v>
      </c>
      <c r="C861" s="1" t="s">
        <v>1667</v>
      </c>
      <c r="D861" s="1" t="s">
        <v>759</v>
      </c>
    </row>
    <row r="862" spans="1:4">
      <c r="A862">
        <v>2111</v>
      </c>
      <c r="B862" s="1" t="s">
        <v>802</v>
      </c>
      <c r="C862" s="1" t="s">
        <v>1668</v>
      </c>
      <c r="D862" s="1" t="s">
        <v>759</v>
      </c>
    </row>
    <row r="863" spans="1:4">
      <c r="A863">
        <v>2112</v>
      </c>
      <c r="B863" s="1" t="s">
        <v>803</v>
      </c>
      <c r="C863" s="1" t="s">
        <v>1669</v>
      </c>
      <c r="D863" s="1" t="s">
        <v>759</v>
      </c>
    </row>
    <row r="864" spans="1:4">
      <c r="A864">
        <v>2113</v>
      </c>
      <c r="B864" s="1" t="s">
        <v>804</v>
      </c>
      <c r="C864" s="1" t="s">
        <v>1670</v>
      </c>
      <c r="D864" s="1" t="s">
        <v>759</v>
      </c>
    </row>
    <row r="865" spans="1:4">
      <c r="A865">
        <v>2150</v>
      </c>
      <c r="B865" s="1" t="s">
        <v>761</v>
      </c>
      <c r="C865" s="1" t="s">
        <v>1671</v>
      </c>
      <c r="D865" s="1" t="s">
        <v>1209</v>
      </c>
    </row>
    <row r="866" spans="1:4">
      <c r="A866">
        <v>2151</v>
      </c>
      <c r="B866" s="1" t="s">
        <v>805</v>
      </c>
      <c r="C866" s="1" t="s">
        <v>1672</v>
      </c>
      <c r="D866" s="1" t="s">
        <v>1209</v>
      </c>
    </row>
    <row r="867" spans="1:4">
      <c r="A867">
        <v>2152</v>
      </c>
      <c r="B867" s="1" t="s">
        <v>2486</v>
      </c>
      <c r="C867" s="1" t="s">
        <v>1673</v>
      </c>
      <c r="D867" s="1" t="s">
        <v>1209</v>
      </c>
    </row>
    <row r="868" spans="1:4">
      <c r="A868">
        <v>2200</v>
      </c>
      <c r="B868" s="1" t="s">
        <v>806</v>
      </c>
      <c r="C868" s="1" t="s">
        <v>1674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2483</v>
      </c>
      <c r="C870" s="1" t="s">
        <v>1675</v>
      </c>
      <c r="D870" s="1" t="s">
        <v>672</v>
      </c>
    </row>
    <row r="871" spans="1:4">
      <c r="A871">
        <v>2203</v>
      </c>
      <c r="B871" s="1" t="s">
        <v>2487</v>
      </c>
      <c r="C871" s="1" t="s">
        <v>1676</v>
      </c>
      <c r="D871" s="1" t="s">
        <v>672</v>
      </c>
    </row>
    <row r="872" spans="1:4">
      <c r="A872">
        <v>2204</v>
      </c>
      <c r="B872" s="1" t="s">
        <v>808</v>
      </c>
      <c r="C872" s="1" t="s">
        <v>1677</v>
      </c>
      <c r="D872" s="1" t="s">
        <v>672</v>
      </c>
    </row>
    <row r="873" spans="1:4">
      <c r="A873">
        <v>2205</v>
      </c>
      <c r="B873" s="1" t="s">
        <v>2488</v>
      </c>
      <c r="C873" s="1" t="s">
        <v>1678</v>
      </c>
      <c r="D873" s="1" t="s">
        <v>672</v>
      </c>
    </row>
    <row r="874" spans="1:4">
      <c r="A874">
        <v>2206</v>
      </c>
      <c r="B874" s="1" t="s">
        <v>809</v>
      </c>
      <c r="C874" s="1" t="s">
        <v>1759</v>
      </c>
      <c r="D874" s="1" t="s">
        <v>672</v>
      </c>
    </row>
    <row r="875" spans="1:4">
      <c r="A875">
        <v>2207</v>
      </c>
      <c r="B875" s="1" t="s">
        <v>810</v>
      </c>
      <c r="C875" s="1" t="s">
        <v>1679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1680</v>
      </c>
      <c r="D877" s="1" t="s">
        <v>672</v>
      </c>
    </row>
    <row r="878" spans="1:4">
      <c r="A878">
        <v>2210</v>
      </c>
      <c r="B878" s="1" t="s">
        <v>812</v>
      </c>
      <c r="C878" s="1" t="s">
        <v>1681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1682</v>
      </c>
      <c r="D881" s="1" t="s">
        <v>672</v>
      </c>
    </row>
    <row r="882" spans="1:4">
      <c r="A882">
        <v>2214</v>
      </c>
      <c r="B882" s="1" t="s">
        <v>814</v>
      </c>
      <c r="C882" s="1" t="s">
        <v>1683</v>
      </c>
      <c r="D882" s="1" t="s">
        <v>672</v>
      </c>
    </row>
    <row r="883" spans="1:4">
      <c r="A883">
        <v>2215</v>
      </c>
      <c r="B883" s="1" t="s">
        <v>815</v>
      </c>
      <c r="C883" s="1" t="s">
        <v>1684</v>
      </c>
      <c r="D883" s="1" t="s">
        <v>672</v>
      </c>
    </row>
    <row r="884" spans="1:4">
      <c r="A884">
        <v>2216</v>
      </c>
      <c r="B884" s="1" t="s">
        <v>816</v>
      </c>
      <c r="C884" s="1" t="s">
        <v>1685</v>
      </c>
      <c r="D884" s="1" t="s">
        <v>672</v>
      </c>
    </row>
    <row r="885" spans="1:4">
      <c r="A885">
        <v>2217</v>
      </c>
      <c r="B885" s="1" t="s">
        <v>817</v>
      </c>
      <c r="C885" s="1" t="s">
        <v>1686</v>
      </c>
      <c r="D885" s="1" t="s">
        <v>672</v>
      </c>
    </row>
    <row r="886" spans="1:4">
      <c r="A886">
        <v>2218</v>
      </c>
      <c r="B886" s="1" t="s">
        <v>818</v>
      </c>
      <c r="C886" s="1" t="s">
        <v>1687</v>
      </c>
      <c r="D886" s="1" t="s">
        <v>672</v>
      </c>
    </row>
    <row r="887" spans="1:4">
      <c r="A887">
        <v>2219</v>
      </c>
      <c r="B887" s="1" t="s">
        <v>819</v>
      </c>
      <c r="C887" s="1" t="s">
        <v>1688</v>
      </c>
      <c r="D887" s="1" t="s">
        <v>672</v>
      </c>
    </row>
    <row r="888" spans="1:4">
      <c r="A888">
        <v>2220</v>
      </c>
      <c r="B888" s="1" t="s">
        <v>820</v>
      </c>
      <c r="C888" s="1" t="s">
        <v>1689</v>
      </c>
      <c r="D888" s="1" t="s">
        <v>672</v>
      </c>
    </row>
    <row r="889" spans="1:4">
      <c r="A889">
        <v>2221</v>
      </c>
      <c r="B889" s="1" t="s">
        <v>821</v>
      </c>
      <c r="C889" s="1" t="s">
        <v>1690</v>
      </c>
      <c r="D889" s="1" t="s">
        <v>672</v>
      </c>
    </row>
    <row r="890" spans="1:4">
      <c r="A890">
        <v>2222</v>
      </c>
      <c r="B890" s="1" t="s">
        <v>822</v>
      </c>
      <c r="C890" s="1" t="s">
        <v>1691</v>
      </c>
      <c r="D890" s="1" t="s">
        <v>672</v>
      </c>
    </row>
    <row r="891" spans="1:4">
      <c r="A891">
        <v>2223</v>
      </c>
      <c r="B891" s="1" t="s">
        <v>823</v>
      </c>
      <c r="C891" s="1" t="s">
        <v>1692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1693</v>
      </c>
      <c r="D893" s="1" t="s">
        <v>672</v>
      </c>
    </row>
    <row r="894" spans="1:4">
      <c r="A894">
        <v>2226</v>
      </c>
      <c r="B894" s="1" t="s">
        <v>113</v>
      </c>
      <c r="C894" s="1" t="s">
        <v>1694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1695</v>
      </c>
      <c r="D897" s="1" t="s">
        <v>672</v>
      </c>
    </row>
    <row r="898" spans="1:4">
      <c r="A898">
        <v>2230</v>
      </c>
      <c r="B898" s="1" t="s">
        <v>826</v>
      </c>
      <c r="C898" s="1" t="s">
        <v>1696</v>
      </c>
      <c r="D898" s="1" t="s">
        <v>672</v>
      </c>
    </row>
    <row r="899" spans="1:4">
      <c r="A899">
        <v>2231</v>
      </c>
      <c r="B899" s="1" t="s">
        <v>827</v>
      </c>
      <c r="C899" s="1" t="s">
        <v>1697</v>
      </c>
      <c r="D899" s="1" t="s">
        <v>672</v>
      </c>
    </row>
    <row r="900" spans="1:4">
      <c r="A900">
        <v>2232</v>
      </c>
      <c r="B900" s="1" t="s">
        <v>828</v>
      </c>
      <c r="C900" s="1" t="s">
        <v>1698</v>
      </c>
      <c r="D900" s="1" t="s">
        <v>672</v>
      </c>
    </row>
    <row r="901" spans="1:4">
      <c r="A901">
        <v>2233</v>
      </c>
      <c r="B901" s="1" t="s">
        <v>829</v>
      </c>
      <c r="C901" s="1" t="s">
        <v>1699</v>
      </c>
      <c r="D901" s="1" t="s">
        <v>672</v>
      </c>
    </row>
    <row r="902" spans="1:4">
      <c r="A902">
        <v>2234</v>
      </c>
      <c r="B902" s="1" t="s">
        <v>830</v>
      </c>
      <c r="C902" s="1" t="s">
        <v>1700</v>
      </c>
      <c r="D902" s="1" t="s">
        <v>672</v>
      </c>
    </row>
    <row r="903" spans="1:4">
      <c r="A903">
        <v>2235</v>
      </c>
      <c r="B903" s="1" t="s">
        <v>831</v>
      </c>
      <c r="C903" s="1" t="s">
        <v>1701</v>
      </c>
      <c r="D903" s="1" t="s">
        <v>672</v>
      </c>
    </row>
    <row r="904" spans="1:4">
      <c r="A904">
        <v>2236</v>
      </c>
      <c r="B904" s="1" t="s">
        <v>832</v>
      </c>
      <c r="C904" s="1" t="s">
        <v>1614</v>
      </c>
      <c r="D904" s="1" t="s">
        <v>672</v>
      </c>
    </row>
    <row r="905" spans="1:4">
      <c r="A905">
        <v>2237</v>
      </c>
      <c r="B905" s="1" t="s">
        <v>833</v>
      </c>
      <c r="C905" s="1" t="s">
        <v>1702</v>
      </c>
      <c r="D905" s="1" t="s">
        <v>672</v>
      </c>
    </row>
    <row r="906" spans="1:4">
      <c r="A906">
        <v>2238</v>
      </c>
      <c r="B906" s="1" t="s">
        <v>834</v>
      </c>
      <c r="C906" s="1" t="s">
        <v>1703</v>
      </c>
      <c r="D906" s="1" t="s">
        <v>672</v>
      </c>
    </row>
    <row r="907" spans="1:4">
      <c r="A907">
        <v>2239</v>
      </c>
      <c r="B907" s="1" t="s">
        <v>663</v>
      </c>
      <c r="C907" s="1" t="s">
        <v>1703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1704</v>
      </c>
      <c r="D909" s="1" t="s">
        <v>675</v>
      </c>
    </row>
    <row r="910" spans="1:4">
      <c r="A910">
        <v>2302</v>
      </c>
      <c r="B910" s="1" t="s">
        <v>836</v>
      </c>
      <c r="C910" s="1" t="s">
        <v>1705</v>
      </c>
      <c r="D910" s="1" t="s">
        <v>675</v>
      </c>
    </row>
    <row r="911" spans="1:4">
      <c r="A911">
        <v>2303</v>
      </c>
      <c r="B911" s="1" t="s">
        <v>837</v>
      </c>
      <c r="C911" s="1" t="s">
        <v>1706</v>
      </c>
      <c r="D911" s="1" t="s">
        <v>675</v>
      </c>
    </row>
    <row r="912" spans="1:4">
      <c r="A912">
        <v>2304</v>
      </c>
      <c r="B912" s="1" t="s">
        <v>838</v>
      </c>
      <c r="C912" s="1" t="s">
        <v>1707</v>
      </c>
      <c r="D912" s="1" t="s">
        <v>675</v>
      </c>
    </row>
    <row r="913" spans="1:4">
      <c r="A913">
        <v>2305</v>
      </c>
      <c r="B913" s="1" t="s">
        <v>839</v>
      </c>
      <c r="C913" s="1" t="s">
        <v>1708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1709</v>
      </c>
      <c r="D915" s="1" t="s">
        <v>675</v>
      </c>
    </row>
    <row r="916" spans="1:4">
      <c r="A916">
        <v>2308</v>
      </c>
      <c r="B916" s="1" t="s">
        <v>842</v>
      </c>
      <c r="C916" s="1" t="s">
        <v>1710</v>
      </c>
      <c r="D916" s="1" t="s">
        <v>675</v>
      </c>
    </row>
    <row r="917" spans="1:4">
      <c r="A917">
        <v>2309</v>
      </c>
      <c r="B917" s="1" t="s">
        <v>843</v>
      </c>
      <c r="C917" s="1" t="s">
        <v>1711</v>
      </c>
      <c r="D917" s="1" t="s">
        <v>675</v>
      </c>
    </row>
    <row r="918" spans="1:4">
      <c r="A918">
        <v>2310</v>
      </c>
      <c r="B918" s="1" t="s">
        <v>844</v>
      </c>
      <c r="C918" s="1" t="s">
        <v>1712</v>
      </c>
      <c r="D918" s="1" t="s">
        <v>675</v>
      </c>
    </row>
    <row r="919" spans="1:4">
      <c r="A919">
        <v>2311</v>
      </c>
      <c r="B919" s="1" t="s">
        <v>845</v>
      </c>
      <c r="C919" s="1" t="s">
        <v>1713</v>
      </c>
      <c r="D919" s="1" t="s">
        <v>675</v>
      </c>
    </row>
    <row r="920" spans="1:4">
      <c r="A920">
        <v>2312</v>
      </c>
      <c r="B920" s="1" t="s">
        <v>846</v>
      </c>
      <c r="C920" s="1" t="s">
        <v>1714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1715</v>
      </c>
      <c r="D931" s="1" t="s">
        <v>675</v>
      </c>
    </row>
    <row r="932" spans="1:4">
      <c r="A932">
        <v>2400</v>
      </c>
      <c r="B932" s="1" t="s">
        <v>855</v>
      </c>
      <c r="C932" s="1" t="s">
        <v>1716</v>
      </c>
      <c r="D932" s="1" t="s">
        <v>875</v>
      </c>
    </row>
    <row r="933" spans="1:4">
      <c r="A933">
        <v>2401</v>
      </c>
      <c r="B933" s="1" t="s">
        <v>1717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2049</v>
      </c>
      <c r="D934" s="1" t="s">
        <v>71</v>
      </c>
    </row>
    <row r="935" spans="1:4">
      <c r="A935">
        <v>2501</v>
      </c>
      <c r="B935" s="1" t="s">
        <v>856</v>
      </c>
      <c r="C935" s="1" t="s">
        <v>1865</v>
      </c>
      <c r="D935" s="1" t="s">
        <v>71</v>
      </c>
    </row>
    <row r="936" spans="1:4">
      <c r="A936">
        <v>2502</v>
      </c>
      <c r="B936" s="1" t="s">
        <v>857</v>
      </c>
      <c r="C936" s="1" t="s">
        <v>1866</v>
      </c>
      <c r="D936" s="1" t="s">
        <v>71</v>
      </c>
    </row>
    <row r="937" spans="1:4">
      <c r="A937">
        <v>2503</v>
      </c>
      <c r="B937" s="1" t="s">
        <v>858</v>
      </c>
      <c r="C937" s="1" t="s">
        <v>1867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1868</v>
      </c>
      <c r="D939" s="1" t="s">
        <v>71</v>
      </c>
    </row>
    <row r="940" spans="1:4">
      <c r="A940">
        <v>2506</v>
      </c>
      <c r="B940" s="1" t="s">
        <v>860</v>
      </c>
      <c r="C940" s="1" t="s">
        <v>1869</v>
      </c>
      <c r="D940" s="1" t="s">
        <v>71</v>
      </c>
    </row>
    <row r="941" spans="1:4">
      <c r="A941">
        <v>2507</v>
      </c>
      <c r="B941" s="1" t="s">
        <v>861</v>
      </c>
      <c r="C941" s="1" t="s">
        <v>1870</v>
      </c>
      <c r="D941" s="1" t="s">
        <v>71</v>
      </c>
    </row>
    <row r="942" spans="1:4">
      <c r="A942">
        <v>2508</v>
      </c>
      <c r="B942" s="1" t="s">
        <v>862</v>
      </c>
      <c r="C942" s="1"/>
      <c r="D942" s="1" t="s">
        <v>71</v>
      </c>
    </row>
    <row r="943" spans="1:4">
      <c r="A943">
        <v>2509</v>
      </c>
      <c r="B943" s="1" t="s">
        <v>863</v>
      </c>
      <c r="C943" s="1"/>
      <c r="D943" s="1" t="s">
        <v>71</v>
      </c>
    </row>
    <row r="944" spans="1:4">
      <c r="A944">
        <v>2510</v>
      </c>
      <c r="B944" s="1" t="s">
        <v>864</v>
      </c>
      <c r="C944" s="1"/>
      <c r="D944" s="1" t="s">
        <v>71</v>
      </c>
    </row>
    <row r="945" spans="1:4">
      <c r="A945">
        <v>2511</v>
      </c>
      <c r="B945" s="1" t="s">
        <v>1753</v>
      </c>
      <c r="C945" s="1"/>
      <c r="D945" s="1" t="s">
        <v>71</v>
      </c>
    </row>
    <row r="946" spans="1:4">
      <c r="A946">
        <v>2512</v>
      </c>
      <c r="B946" s="1" t="s">
        <v>866</v>
      </c>
      <c r="C946" s="1"/>
      <c r="D946" s="1" t="s">
        <v>71</v>
      </c>
    </row>
    <row r="947" spans="1:4">
      <c r="A947">
        <v>2513</v>
      </c>
      <c r="B947" s="1" t="s">
        <v>867</v>
      </c>
      <c r="C947" s="1" t="s">
        <v>2050</v>
      </c>
      <c r="D947" s="1" t="s">
        <v>71</v>
      </c>
    </row>
    <row r="948" spans="1:4">
      <c r="A948">
        <v>2514</v>
      </c>
      <c r="B948" s="1" t="s">
        <v>868</v>
      </c>
      <c r="C948" s="1" t="s">
        <v>2051</v>
      </c>
      <c r="D948" s="1" t="s">
        <v>71</v>
      </c>
    </row>
    <row r="949" spans="1:4">
      <c r="A949">
        <v>2515</v>
      </c>
      <c r="B949" s="1" t="s">
        <v>869</v>
      </c>
      <c r="C949" s="1"/>
      <c r="D949" s="1" t="s">
        <v>71</v>
      </c>
    </row>
    <row r="950" spans="1:4">
      <c r="A950">
        <v>2516</v>
      </c>
      <c r="B950" s="1" t="s">
        <v>870</v>
      </c>
      <c r="C950" s="1" t="s">
        <v>2052</v>
      </c>
      <c r="D950" s="1" t="s">
        <v>71</v>
      </c>
    </row>
    <row r="951" spans="1:4">
      <c r="A951">
        <v>2517</v>
      </c>
      <c r="B951" s="1" t="s">
        <v>871</v>
      </c>
      <c r="C951" s="1"/>
      <c r="D951" s="1" t="s">
        <v>71</v>
      </c>
    </row>
    <row r="952" spans="1:4">
      <c r="A952">
        <v>2518</v>
      </c>
      <c r="B952" s="1" t="s">
        <v>872</v>
      </c>
      <c r="C952" s="1" t="s">
        <v>2053</v>
      </c>
      <c r="D952" s="1" t="s">
        <v>71</v>
      </c>
    </row>
    <row r="953" spans="1:4">
      <c r="A953">
        <v>2519</v>
      </c>
      <c r="B953" s="1" t="s">
        <v>873</v>
      </c>
      <c r="C953" s="1" t="s">
        <v>2054</v>
      </c>
      <c r="D953" s="1" t="s">
        <v>71</v>
      </c>
    </row>
    <row r="954" spans="1:4">
      <c r="A954">
        <v>2520</v>
      </c>
      <c r="B954" s="1" t="s">
        <v>874</v>
      </c>
      <c r="C954" s="1" t="s">
        <v>2055</v>
      </c>
      <c r="D954" s="1" t="s">
        <v>71</v>
      </c>
    </row>
    <row r="955" spans="1:4">
      <c r="A955">
        <v>2521</v>
      </c>
      <c r="B955" s="1" t="s">
        <v>875</v>
      </c>
      <c r="C955" s="1" t="s">
        <v>2056</v>
      </c>
      <c r="D955" s="1" t="s">
        <v>71</v>
      </c>
    </row>
    <row r="956" spans="1:4">
      <c r="A956">
        <v>2522</v>
      </c>
      <c r="B956" s="1" t="s">
        <v>876</v>
      </c>
      <c r="C956" s="1" t="s">
        <v>2057</v>
      </c>
      <c r="D956" s="1" t="s">
        <v>71</v>
      </c>
    </row>
    <row r="957" spans="1:4">
      <c r="A957">
        <v>2523</v>
      </c>
      <c r="B957" s="1" t="s">
        <v>877</v>
      </c>
      <c r="C957" s="1" t="s">
        <v>2058</v>
      </c>
      <c r="D957" s="1" t="s">
        <v>71</v>
      </c>
    </row>
    <row r="958" spans="1:4">
      <c r="A958">
        <v>2524</v>
      </c>
      <c r="B958" s="1" t="s">
        <v>878</v>
      </c>
      <c r="C958" s="1" t="s">
        <v>2059</v>
      </c>
      <c r="D958" s="1" t="s">
        <v>71</v>
      </c>
    </row>
    <row r="959" spans="1:4">
      <c r="A959">
        <v>2525</v>
      </c>
      <c r="B959" s="1" t="s">
        <v>879</v>
      </c>
      <c r="C959" s="1" t="s">
        <v>2060</v>
      </c>
      <c r="D959" s="1" t="s">
        <v>71</v>
      </c>
    </row>
    <row r="960" spans="1:4">
      <c r="A960">
        <v>2526</v>
      </c>
      <c r="B960" s="1" t="s">
        <v>689</v>
      </c>
      <c r="C960" s="1" t="s">
        <v>1768</v>
      </c>
      <c r="D960" s="1" t="s">
        <v>71</v>
      </c>
    </row>
    <row r="961" spans="1:4">
      <c r="A961">
        <v>2527</v>
      </c>
      <c r="B961" s="1" t="s">
        <v>690</v>
      </c>
      <c r="C961" s="1" t="s">
        <v>1769</v>
      </c>
      <c r="D961" s="1" t="s">
        <v>71</v>
      </c>
    </row>
    <row r="962" spans="1:4">
      <c r="A962">
        <v>2528</v>
      </c>
      <c r="B962" s="1" t="s">
        <v>691</v>
      </c>
      <c r="C962" s="1" t="s">
        <v>2593</v>
      </c>
      <c r="D962" s="1" t="s">
        <v>71</v>
      </c>
    </row>
    <row r="963" spans="1:4">
      <c r="A963">
        <v>2529</v>
      </c>
      <c r="B963" s="1" t="s">
        <v>692</v>
      </c>
      <c r="C963" s="1" t="s">
        <v>1770</v>
      </c>
      <c r="D963" s="1" t="s">
        <v>71</v>
      </c>
    </row>
    <row r="964" spans="1:4">
      <c r="A964">
        <v>2530</v>
      </c>
      <c r="B964" s="1" t="s">
        <v>880</v>
      </c>
      <c r="C964" s="1" t="s">
        <v>2477</v>
      </c>
      <c r="D964" s="1" t="s">
        <v>71</v>
      </c>
    </row>
    <row r="965" spans="1:4">
      <c r="A965">
        <v>2531</v>
      </c>
      <c r="B965" s="1" t="s">
        <v>881</v>
      </c>
      <c r="C965" s="1" t="s">
        <v>2061</v>
      </c>
      <c r="D965" s="1" t="s">
        <v>71</v>
      </c>
    </row>
    <row r="966" spans="1:4">
      <c r="A966">
        <v>2532</v>
      </c>
      <c r="B966" s="1" t="s">
        <v>882</v>
      </c>
      <c r="C966" s="1" t="s">
        <v>2062</v>
      </c>
      <c r="D966" s="1" t="s">
        <v>71</v>
      </c>
    </row>
    <row r="967" spans="1:4">
      <c r="A967">
        <v>2533</v>
      </c>
      <c r="B967" s="1" t="s">
        <v>883</v>
      </c>
      <c r="C967" s="1" t="s">
        <v>2063</v>
      </c>
      <c r="D967" s="1" t="s">
        <v>71</v>
      </c>
    </row>
    <row r="968" spans="1:4">
      <c r="A968">
        <v>2534</v>
      </c>
      <c r="B968" s="1" t="s">
        <v>884</v>
      </c>
      <c r="C968" s="1" t="s">
        <v>2064</v>
      </c>
      <c r="D968" s="1" t="s">
        <v>71</v>
      </c>
    </row>
    <row r="969" spans="1:4">
      <c r="A969">
        <v>2535</v>
      </c>
      <c r="B969" s="1" t="s">
        <v>885</v>
      </c>
      <c r="C969" s="1" t="s">
        <v>2065</v>
      </c>
      <c r="D969" s="1" t="s">
        <v>71</v>
      </c>
    </row>
    <row r="970" spans="1:4">
      <c r="A970">
        <v>2536</v>
      </c>
      <c r="B970" s="1" t="s">
        <v>886</v>
      </c>
      <c r="C970" s="1" t="s">
        <v>2066</v>
      </c>
      <c r="D970" s="1" t="s">
        <v>71</v>
      </c>
    </row>
    <row r="971" spans="1:4">
      <c r="A971">
        <v>2537</v>
      </c>
      <c r="B971" s="1" t="s">
        <v>887</v>
      </c>
      <c r="C971" s="1" t="s">
        <v>2067</v>
      </c>
      <c r="D971" s="1" t="s">
        <v>71</v>
      </c>
    </row>
    <row r="972" spans="1:4">
      <c r="A972">
        <v>2538</v>
      </c>
      <c r="B972" s="1" t="s">
        <v>888</v>
      </c>
      <c r="C972" s="1" t="s">
        <v>2068</v>
      </c>
      <c r="D972" s="1" t="s">
        <v>71</v>
      </c>
    </row>
    <row r="973" spans="1:4">
      <c r="A973">
        <v>2539</v>
      </c>
      <c r="B973" s="1" t="s">
        <v>889</v>
      </c>
      <c r="C973" s="1" t="s">
        <v>2069</v>
      </c>
      <c r="D973" s="1" t="s">
        <v>71</v>
      </c>
    </row>
    <row r="974" spans="1:4">
      <c r="A974">
        <v>2540</v>
      </c>
      <c r="B974" s="1" t="s">
        <v>890</v>
      </c>
      <c r="C974" s="1" t="s">
        <v>1871</v>
      </c>
      <c r="D974" s="1" t="s">
        <v>71</v>
      </c>
    </row>
    <row r="975" spans="1:4">
      <c r="A975">
        <v>2541</v>
      </c>
      <c r="B975" s="1" t="s">
        <v>891</v>
      </c>
      <c r="C975" s="1" t="s">
        <v>2070</v>
      </c>
      <c r="D975" s="1" t="s">
        <v>71</v>
      </c>
    </row>
    <row r="976" spans="1:4">
      <c r="A976">
        <v>2542</v>
      </c>
      <c r="B976" s="1" t="s">
        <v>892</v>
      </c>
      <c r="C976" s="1" t="s">
        <v>2071</v>
      </c>
      <c r="D976" s="1" t="s">
        <v>71</v>
      </c>
    </row>
    <row r="977" spans="1:4">
      <c r="A977">
        <v>2543</v>
      </c>
      <c r="B977" s="1" t="s">
        <v>893</v>
      </c>
      <c r="C977" s="1" t="s">
        <v>2072</v>
      </c>
      <c r="D977" s="1" t="s">
        <v>71</v>
      </c>
    </row>
    <row r="978" spans="1:4">
      <c r="A978">
        <v>2544</v>
      </c>
      <c r="B978" s="1" t="s">
        <v>894</v>
      </c>
      <c r="C978" s="1" t="s">
        <v>2073</v>
      </c>
      <c r="D978" s="1" t="s">
        <v>71</v>
      </c>
    </row>
    <row r="979" spans="1:4">
      <c r="A979">
        <v>2545</v>
      </c>
      <c r="B979" s="1" t="s">
        <v>895</v>
      </c>
      <c r="C979" s="1" t="s">
        <v>2074</v>
      </c>
      <c r="D979" s="1" t="s">
        <v>71</v>
      </c>
    </row>
    <row r="980" spans="1:4">
      <c r="A980">
        <v>2546</v>
      </c>
      <c r="B980" s="1" t="s">
        <v>896</v>
      </c>
      <c r="C980" s="1" t="s">
        <v>2075</v>
      </c>
      <c r="D980" s="1" t="s">
        <v>71</v>
      </c>
    </row>
    <row r="981" spans="1:4">
      <c r="A981">
        <v>2547</v>
      </c>
      <c r="B981" s="1" t="s">
        <v>897</v>
      </c>
      <c r="C981" s="1" t="s">
        <v>2076</v>
      </c>
      <c r="D981" s="1" t="s">
        <v>71</v>
      </c>
    </row>
    <row r="982" spans="1:4">
      <c r="A982">
        <v>2548</v>
      </c>
      <c r="B982" s="1" t="s">
        <v>898</v>
      </c>
      <c r="C982" s="1" t="s">
        <v>2077</v>
      </c>
      <c r="D982" s="1" t="s">
        <v>71</v>
      </c>
    </row>
    <row r="983" spans="1:4">
      <c r="A983">
        <v>2549</v>
      </c>
      <c r="B983" s="1" t="s">
        <v>899</v>
      </c>
      <c r="C983" s="1" t="s">
        <v>2078</v>
      </c>
      <c r="D983" s="1" t="s">
        <v>71</v>
      </c>
    </row>
    <row r="984" spans="1:4">
      <c r="A984">
        <v>2550</v>
      </c>
      <c r="B984" s="1" t="s">
        <v>839</v>
      </c>
      <c r="C984" s="1" t="s">
        <v>1708</v>
      </c>
      <c r="D984" s="1" t="s">
        <v>71</v>
      </c>
    </row>
    <row r="985" spans="1:4">
      <c r="A985">
        <v>2551</v>
      </c>
      <c r="B985" s="1" t="s">
        <v>900</v>
      </c>
      <c r="C985" s="1" t="s">
        <v>2079</v>
      </c>
      <c r="D985" s="1" t="s">
        <v>71</v>
      </c>
    </row>
    <row r="986" spans="1:4">
      <c r="A986">
        <v>2552</v>
      </c>
      <c r="B986" s="1" t="s">
        <v>901</v>
      </c>
      <c r="C986" s="1" t="s">
        <v>2080</v>
      </c>
      <c r="D986" s="1" t="s">
        <v>71</v>
      </c>
    </row>
    <row r="987" spans="1:4">
      <c r="A987">
        <v>2553</v>
      </c>
      <c r="B987" s="1" t="s">
        <v>902</v>
      </c>
      <c r="C987" s="1" t="s">
        <v>2081</v>
      </c>
      <c r="D987" s="1" t="s">
        <v>71</v>
      </c>
    </row>
    <row r="988" spans="1:4">
      <c r="A988">
        <v>2554</v>
      </c>
      <c r="B988" s="1" t="s">
        <v>903</v>
      </c>
      <c r="C988" s="1" t="s">
        <v>2082</v>
      </c>
      <c r="D988" s="1" t="s">
        <v>71</v>
      </c>
    </row>
    <row r="989" spans="1:4">
      <c r="A989">
        <v>2555</v>
      </c>
      <c r="B989" s="1" t="s">
        <v>904</v>
      </c>
      <c r="C989" s="1" t="s">
        <v>2083</v>
      </c>
      <c r="D989" s="1" t="s">
        <v>71</v>
      </c>
    </row>
    <row r="990" spans="1:4">
      <c r="A990">
        <v>2556</v>
      </c>
      <c r="B990" s="1" t="s">
        <v>905</v>
      </c>
      <c r="C990" s="1" t="s">
        <v>2084</v>
      </c>
      <c r="D990" s="1" t="s">
        <v>71</v>
      </c>
    </row>
    <row r="991" spans="1:4">
      <c r="A991">
        <v>2557</v>
      </c>
      <c r="B991" s="1" t="s">
        <v>906</v>
      </c>
      <c r="C991" s="1" t="s">
        <v>2085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2086</v>
      </c>
      <c r="D994" s="1" t="s">
        <v>71</v>
      </c>
    </row>
    <row r="995" spans="1:4">
      <c r="A995">
        <v>2561</v>
      </c>
      <c r="B995" s="1" t="s">
        <v>908</v>
      </c>
      <c r="C995" s="1" t="s">
        <v>2087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2088</v>
      </c>
      <c r="D1000" s="1" t="s">
        <v>71</v>
      </c>
    </row>
    <row r="1001" spans="1:4">
      <c r="A1001">
        <v>2567</v>
      </c>
      <c r="B1001" s="1" t="s">
        <v>912</v>
      </c>
      <c r="C1001" s="1" t="s">
        <v>2089</v>
      </c>
      <c r="D1001" s="1" t="s">
        <v>71</v>
      </c>
    </row>
    <row r="1002" spans="1:4">
      <c r="A1002">
        <v>2568</v>
      </c>
      <c r="B1002" s="1" t="s">
        <v>913</v>
      </c>
      <c r="C1002" s="1" t="s">
        <v>2090</v>
      </c>
      <c r="D1002" s="1" t="s">
        <v>71</v>
      </c>
    </row>
    <row r="1003" spans="1:4">
      <c r="A1003">
        <v>2569</v>
      </c>
      <c r="B1003" s="1" t="s">
        <v>914</v>
      </c>
      <c r="C1003" s="1" t="s">
        <v>2091</v>
      </c>
      <c r="D1003" s="1" t="s">
        <v>71</v>
      </c>
    </row>
    <row r="1004" spans="1:4">
      <c r="A1004">
        <v>2570</v>
      </c>
      <c r="B1004" s="1" t="s">
        <v>915</v>
      </c>
      <c r="C1004" s="1" t="s">
        <v>2092</v>
      </c>
      <c r="D1004" s="1" t="s">
        <v>71</v>
      </c>
    </row>
    <row r="1005" spans="1:4">
      <c r="A1005">
        <v>2571</v>
      </c>
      <c r="B1005" s="1" t="s">
        <v>916</v>
      </c>
      <c r="C1005" s="1" t="s">
        <v>2093</v>
      </c>
      <c r="D1005" s="1" t="s">
        <v>71</v>
      </c>
    </row>
    <row r="1006" spans="1:4">
      <c r="A1006">
        <v>2572</v>
      </c>
      <c r="B1006" s="1" t="s">
        <v>917</v>
      </c>
      <c r="C1006" s="1" t="s">
        <v>2094</v>
      </c>
      <c r="D1006" s="1" t="s">
        <v>71</v>
      </c>
    </row>
    <row r="1007" spans="1:4">
      <c r="A1007">
        <v>2573</v>
      </c>
      <c r="B1007" s="1" t="s">
        <v>918</v>
      </c>
      <c r="C1007" s="1" t="s">
        <v>2095</v>
      </c>
      <c r="D1007" s="1" t="s">
        <v>71</v>
      </c>
    </row>
    <row r="1008" spans="1:4">
      <c r="A1008">
        <v>2574</v>
      </c>
      <c r="B1008" s="1" t="s">
        <v>919</v>
      </c>
      <c r="C1008" s="1" t="s">
        <v>2096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1727</v>
      </c>
      <c r="D1010" s="1" t="s">
        <v>71</v>
      </c>
    </row>
    <row r="1011" spans="1:4">
      <c r="A1011">
        <v>2577</v>
      </c>
      <c r="B1011" s="1" t="s">
        <v>203</v>
      </c>
      <c r="C1011" s="1" t="s">
        <v>1728</v>
      </c>
      <c r="D1011" s="1" t="s">
        <v>71</v>
      </c>
    </row>
    <row r="1012" spans="1:4">
      <c r="A1012">
        <v>2578</v>
      </c>
      <c r="B1012" s="1" t="s">
        <v>204</v>
      </c>
      <c r="C1012" s="1" t="s">
        <v>1729</v>
      </c>
      <c r="D1012" s="1" t="s">
        <v>71</v>
      </c>
    </row>
    <row r="1013" spans="1:4">
      <c r="A1013">
        <v>2579</v>
      </c>
      <c r="B1013" s="1" t="s">
        <v>205</v>
      </c>
      <c r="C1013" s="1" t="s">
        <v>1730</v>
      </c>
      <c r="D1013" s="1" t="s">
        <v>71</v>
      </c>
    </row>
    <row r="1014" spans="1:4">
      <c r="A1014">
        <v>2580</v>
      </c>
      <c r="B1014" s="1" t="s">
        <v>206</v>
      </c>
      <c r="C1014" s="1" t="s">
        <v>1731</v>
      </c>
      <c r="D1014" s="1" t="s">
        <v>71</v>
      </c>
    </row>
    <row r="1015" spans="1:4">
      <c r="A1015">
        <v>2581</v>
      </c>
      <c r="B1015" s="1" t="s">
        <v>207</v>
      </c>
      <c r="C1015" s="1" t="s">
        <v>1732</v>
      </c>
      <c r="D1015" s="1" t="s">
        <v>71</v>
      </c>
    </row>
    <row r="1016" spans="1:4">
      <c r="A1016">
        <v>2582</v>
      </c>
      <c r="B1016" s="1" t="s">
        <v>208</v>
      </c>
      <c r="C1016" s="1" t="s">
        <v>1733</v>
      </c>
      <c r="D1016" s="1" t="s">
        <v>71</v>
      </c>
    </row>
    <row r="1017" spans="1:4">
      <c r="A1017">
        <v>2583</v>
      </c>
      <c r="B1017" s="1" t="s">
        <v>209</v>
      </c>
      <c r="C1017" s="1" t="s">
        <v>1734</v>
      </c>
      <c r="D1017" s="1" t="s">
        <v>71</v>
      </c>
    </row>
    <row r="1018" spans="1:4">
      <c r="A1018">
        <v>2584</v>
      </c>
      <c r="B1018" s="1" t="s">
        <v>210</v>
      </c>
      <c r="C1018" s="1" t="s">
        <v>1735</v>
      </c>
      <c r="D1018" s="1" t="s">
        <v>71</v>
      </c>
    </row>
    <row r="1019" spans="1:4">
      <c r="A1019">
        <v>2585</v>
      </c>
      <c r="B1019" s="1" t="s">
        <v>211</v>
      </c>
      <c r="C1019" s="1" t="s">
        <v>1736</v>
      </c>
      <c r="D1019" s="1" t="s">
        <v>71</v>
      </c>
    </row>
    <row r="1020" spans="1:4">
      <c r="A1020">
        <v>2586</v>
      </c>
      <c r="B1020" s="1" t="s">
        <v>212</v>
      </c>
      <c r="C1020" s="1" t="s">
        <v>1737</v>
      </c>
      <c r="D1020" s="1" t="s">
        <v>71</v>
      </c>
    </row>
    <row r="1021" spans="1:4">
      <c r="A1021">
        <v>2587</v>
      </c>
      <c r="B1021" s="1" t="s">
        <v>213</v>
      </c>
      <c r="C1021" s="1" t="s">
        <v>1738</v>
      </c>
      <c r="D1021" s="1" t="s">
        <v>71</v>
      </c>
    </row>
    <row r="1022" spans="1:4">
      <c r="A1022">
        <v>2588</v>
      </c>
      <c r="B1022" s="1" t="s">
        <v>920</v>
      </c>
      <c r="C1022" s="1" t="s">
        <v>2097</v>
      </c>
      <c r="D1022" s="1" t="s">
        <v>71</v>
      </c>
    </row>
    <row r="1023" spans="1:4">
      <c r="A1023">
        <v>2589</v>
      </c>
      <c r="B1023" s="1" t="s">
        <v>921</v>
      </c>
      <c r="C1023" s="1" t="s">
        <v>2098</v>
      </c>
      <c r="D1023" s="1" t="s">
        <v>71</v>
      </c>
    </row>
    <row r="1024" spans="1:4">
      <c r="A1024">
        <v>2590</v>
      </c>
      <c r="B1024" s="1" t="s">
        <v>922</v>
      </c>
      <c r="C1024" s="1" t="s">
        <v>2099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2478</v>
      </c>
      <c r="D1026" s="1" t="s">
        <v>71</v>
      </c>
    </row>
    <row r="1027" spans="1:4">
      <c r="A1027">
        <v>2593</v>
      </c>
      <c r="B1027" s="1" t="s">
        <v>925</v>
      </c>
      <c r="C1027" s="1" t="s">
        <v>2100</v>
      </c>
      <c r="D1027" s="1" t="s">
        <v>71</v>
      </c>
    </row>
    <row r="1028" spans="1:4">
      <c r="A1028">
        <v>2594</v>
      </c>
      <c r="B1028" s="1" t="s">
        <v>926</v>
      </c>
      <c r="C1028" s="1" t="s">
        <v>2101</v>
      </c>
      <c r="D1028" s="1" t="s">
        <v>71</v>
      </c>
    </row>
    <row r="1029" spans="1:4">
      <c r="A1029">
        <v>2595</v>
      </c>
      <c r="B1029" s="1" t="s">
        <v>927</v>
      </c>
      <c r="C1029" s="1" t="s">
        <v>2102</v>
      </c>
      <c r="D1029" s="1" t="s">
        <v>71</v>
      </c>
    </row>
    <row r="1030" spans="1:4">
      <c r="A1030">
        <v>2596</v>
      </c>
      <c r="B1030" s="1" t="s">
        <v>928</v>
      </c>
      <c r="C1030" s="1" t="s">
        <v>1754</v>
      </c>
      <c r="D1030" s="1" t="s">
        <v>71</v>
      </c>
    </row>
    <row r="1031" spans="1:4">
      <c r="A1031">
        <v>2597</v>
      </c>
      <c r="B1031" s="1" t="s">
        <v>929</v>
      </c>
      <c r="C1031" s="1" t="s">
        <v>1718</v>
      </c>
      <c r="D1031" s="1" t="s">
        <v>71</v>
      </c>
    </row>
    <row r="1032" spans="1:4">
      <c r="A1032">
        <v>2598</v>
      </c>
      <c r="B1032" s="1" t="s">
        <v>930</v>
      </c>
      <c r="C1032" s="1" t="s">
        <v>1719</v>
      </c>
      <c r="D1032" s="1" t="s">
        <v>71</v>
      </c>
    </row>
    <row r="1033" spans="1:4">
      <c r="A1033">
        <v>2599</v>
      </c>
      <c r="B1033" s="1" t="s">
        <v>931</v>
      </c>
      <c r="C1033" s="1" t="s">
        <v>1720</v>
      </c>
      <c r="D1033" s="1" t="s">
        <v>71</v>
      </c>
    </row>
    <row r="1034" spans="1:4">
      <c r="A1034">
        <v>2600</v>
      </c>
      <c r="B1034" s="1" t="s">
        <v>932</v>
      </c>
      <c r="C1034" s="1" t="s">
        <v>1721</v>
      </c>
      <c r="D1034" s="1" t="s">
        <v>71</v>
      </c>
    </row>
    <row r="1035" spans="1:4">
      <c r="A1035">
        <v>2601</v>
      </c>
      <c r="B1035" s="1" t="s">
        <v>933</v>
      </c>
      <c r="C1035" s="1" t="s">
        <v>1722</v>
      </c>
      <c r="D1035" s="1" t="s">
        <v>71</v>
      </c>
    </row>
    <row r="1036" spans="1:4">
      <c r="A1036">
        <v>2602</v>
      </c>
      <c r="B1036" s="1" t="s">
        <v>934</v>
      </c>
      <c r="C1036" s="1" t="s">
        <v>1723</v>
      </c>
      <c r="D1036" s="1" t="s">
        <v>71</v>
      </c>
    </row>
    <row r="1037" spans="1:4">
      <c r="A1037">
        <v>2603</v>
      </c>
      <c r="B1037" s="1" t="s">
        <v>935</v>
      </c>
      <c r="C1037" s="1" t="s">
        <v>1721</v>
      </c>
      <c r="D1037" s="1" t="s">
        <v>71</v>
      </c>
    </row>
    <row r="1038" spans="1:4">
      <c r="A1038">
        <v>2604</v>
      </c>
      <c r="B1038" s="1" t="s">
        <v>936</v>
      </c>
      <c r="C1038" s="1" t="s">
        <v>1724</v>
      </c>
      <c r="D1038" s="1" t="s">
        <v>71</v>
      </c>
    </row>
    <row r="1039" spans="1:4">
      <c r="A1039">
        <v>2605</v>
      </c>
      <c r="B1039" s="1" t="s">
        <v>937</v>
      </c>
      <c r="C1039" s="1" t="s">
        <v>1725</v>
      </c>
      <c r="D1039" s="1" t="s">
        <v>71</v>
      </c>
    </row>
    <row r="1040" spans="1:4">
      <c r="A1040">
        <v>3000</v>
      </c>
      <c r="B1040" s="1" t="s">
        <v>938</v>
      </c>
      <c r="C1040" s="1" t="s">
        <v>2489</v>
      </c>
      <c r="D1040" s="1" t="s">
        <v>1211</v>
      </c>
    </row>
    <row r="1041" spans="1:4">
      <c r="A1041">
        <v>3001</v>
      </c>
      <c r="B1041" s="1" t="s">
        <v>939</v>
      </c>
      <c r="C1041" s="1" t="s">
        <v>2490</v>
      </c>
      <c r="D1041" s="1" t="s">
        <v>1211</v>
      </c>
    </row>
    <row r="1042" spans="1:4">
      <c r="A1042">
        <v>3002</v>
      </c>
      <c r="B1042" s="1" t="s">
        <v>940</v>
      </c>
      <c r="C1042" s="1" t="s">
        <v>2491</v>
      </c>
      <c r="D1042" s="1" t="s">
        <v>1211</v>
      </c>
    </row>
    <row r="1043" spans="1:4">
      <c r="A1043">
        <v>3003</v>
      </c>
      <c r="B1043" s="1" t="s">
        <v>941</v>
      </c>
      <c r="C1043" s="1" t="s">
        <v>2492</v>
      </c>
      <c r="D1043" s="1" t="s">
        <v>1211</v>
      </c>
    </row>
    <row r="1044" spans="1:4">
      <c r="A1044">
        <v>3004</v>
      </c>
      <c r="B1044" s="1" t="s">
        <v>942</v>
      </c>
      <c r="C1044" s="1" t="s">
        <v>2493</v>
      </c>
      <c r="D1044" s="1" t="s">
        <v>1211</v>
      </c>
    </row>
    <row r="1045" spans="1:4">
      <c r="A1045">
        <v>3005</v>
      </c>
      <c r="B1045" s="1" t="s">
        <v>943</v>
      </c>
      <c r="C1045" s="1" t="s">
        <v>2494</v>
      </c>
      <c r="D1045" s="1" t="s">
        <v>1211</v>
      </c>
    </row>
    <row r="1046" spans="1:4">
      <c r="A1046">
        <v>3006</v>
      </c>
      <c r="B1046" s="1" t="s">
        <v>944</v>
      </c>
      <c r="C1046" s="1" t="s">
        <v>2495</v>
      </c>
      <c r="D1046" s="1" t="s">
        <v>1211</v>
      </c>
    </row>
    <row r="1047" spans="1:4">
      <c r="A1047">
        <v>3007</v>
      </c>
      <c r="B1047" s="1" t="s">
        <v>945</v>
      </c>
      <c r="C1047" s="1" t="s">
        <v>2496</v>
      </c>
      <c r="D1047" s="1" t="s">
        <v>1211</v>
      </c>
    </row>
    <row r="1048" spans="1:4">
      <c r="A1048">
        <v>3008</v>
      </c>
      <c r="B1048" s="1" t="s">
        <v>946</v>
      </c>
      <c r="C1048" s="1" t="s">
        <v>2497</v>
      </c>
      <c r="D1048" s="1" t="s">
        <v>1211</v>
      </c>
    </row>
    <row r="1049" spans="1:4">
      <c r="A1049">
        <v>3009</v>
      </c>
      <c r="B1049" s="1" t="s">
        <v>947</v>
      </c>
      <c r="C1049" s="1" t="s">
        <v>2498</v>
      </c>
      <c r="D1049" s="1" t="s">
        <v>1211</v>
      </c>
    </row>
    <row r="1050" spans="1:4">
      <c r="A1050">
        <v>3010</v>
      </c>
      <c r="B1050" s="1" t="s">
        <v>948</v>
      </c>
      <c r="C1050" s="1" t="s">
        <v>2499</v>
      </c>
      <c r="D1050" s="1" t="s">
        <v>1211</v>
      </c>
    </row>
    <row r="1051" spans="1:4">
      <c r="A1051">
        <v>3011</v>
      </c>
      <c r="B1051" s="1" t="s">
        <v>949</v>
      </c>
      <c r="C1051" s="1" t="s">
        <v>2500</v>
      </c>
      <c r="D1051" s="1" t="s">
        <v>1211</v>
      </c>
    </row>
    <row r="1052" spans="1:4">
      <c r="A1052">
        <v>3012</v>
      </c>
      <c r="B1052" s="1" t="s">
        <v>950</v>
      </c>
      <c r="C1052" s="1" t="s">
        <v>2501</v>
      </c>
      <c r="D1052" s="1" t="s">
        <v>1211</v>
      </c>
    </row>
    <row r="1053" spans="1:4">
      <c r="A1053">
        <v>3013</v>
      </c>
      <c r="B1053" s="1" t="s">
        <v>951</v>
      </c>
      <c r="C1053" s="1" t="s">
        <v>2502</v>
      </c>
      <c r="D1053" s="1" t="s">
        <v>1211</v>
      </c>
    </row>
    <row r="1054" spans="1:4">
      <c r="A1054">
        <v>3014</v>
      </c>
      <c r="B1054" s="1" t="s">
        <v>952</v>
      </c>
      <c r="C1054" s="1" t="s">
        <v>2503</v>
      </c>
      <c r="D1054" s="1" t="s">
        <v>1211</v>
      </c>
    </row>
    <row r="1055" spans="1:4">
      <c r="A1055">
        <v>3015</v>
      </c>
      <c r="B1055" s="1" t="s">
        <v>953</v>
      </c>
      <c r="C1055" s="1" t="s">
        <v>2479</v>
      </c>
      <c r="D1055" s="1" t="s">
        <v>1211</v>
      </c>
    </row>
    <row r="1056" spans="1:4">
      <c r="A1056">
        <v>3016</v>
      </c>
      <c r="B1056" s="1" t="s">
        <v>941</v>
      </c>
      <c r="C1056" s="1" t="s">
        <v>2504</v>
      </c>
      <c r="D1056" s="1" t="s">
        <v>1211</v>
      </c>
    </row>
    <row r="1057" spans="1:4">
      <c r="A1057">
        <v>3017</v>
      </c>
      <c r="B1057" s="1" t="s">
        <v>954</v>
      </c>
      <c r="C1057" s="1" t="s">
        <v>2479</v>
      </c>
      <c r="D1057" s="1" t="s">
        <v>1211</v>
      </c>
    </row>
    <row r="1058" spans="1:4">
      <c r="A1058">
        <v>3018</v>
      </c>
      <c r="B1058" s="1" t="s">
        <v>941</v>
      </c>
      <c r="C1058" s="1" t="s">
        <v>2505</v>
      </c>
      <c r="D1058" s="1" t="s">
        <v>1211</v>
      </c>
    </row>
    <row r="1059" spans="1:4">
      <c r="A1059">
        <v>3019</v>
      </c>
      <c r="B1059" s="1" t="s">
        <v>955</v>
      </c>
      <c r="C1059" s="1" t="s">
        <v>2479</v>
      </c>
      <c r="D1059" s="1" t="s">
        <v>1211</v>
      </c>
    </row>
    <row r="1060" spans="1:4">
      <c r="A1060">
        <v>3020</v>
      </c>
      <c r="B1060" s="1" t="s">
        <v>941</v>
      </c>
      <c r="C1060" s="1" t="s">
        <v>2506</v>
      </c>
      <c r="D1060" s="1" t="s">
        <v>1211</v>
      </c>
    </row>
    <row r="1061" spans="1:4">
      <c r="A1061">
        <v>3021</v>
      </c>
      <c r="B1061" s="1" t="s">
        <v>956</v>
      </c>
      <c r="C1061" s="1" t="s">
        <v>2507</v>
      </c>
      <c r="D1061" s="1" t="s">
        <v>1211</v>
      </c>
    </row>
    <row r="1062" spans="1:4">
      <c r="A1062">
        <v>3022</v>
      </c>
      <c r="B1062" s="1" t="s">
        <v>957</v>
      </c>
      <c r="C1062" s="1" t="s">
        <v>2479</v>
      </c>
      <c r="D1062" s="1" t="s">
        <v>1211</v>
      </c>
    </row>
    <row r="1063" spans="1:4">
      <c r="A1063">
        <v>3023</v>
      </c>
      <c r="B1063" s="1" t="s">
        <v>956</v>
      </c>
      <c r="C1063" s="1" t="s">
        <v>2508</v>
      </c>
      <c r="D1063" s="1" t="s">
        <v>1211</v>
      </c>
    </row>
    <row r="1064" spans="1:4">
      <c r="A1064">
        <v>3024</v>
      </c>
      <c r="B1064" s="1" t="s">
        <v>958</v>
      </c>
      <c r="C1064" s="1" t="s">
        <v>2479</v>
      </c>
      <c r="D1064" s="1" t="s">
        <v>1211</v>
      </c>
    </row>
    <row r="1065" spans="1:4">
      <c r="A1065">
        <v>3025</v>
      </c>
      <c r="B1065" s="1" t="s">
        <v>956</v>
      </c>
      <c r="C1065" s="1" t="s">
        <v>2509</v>
      </c>
      <c r="D1065" s="1" t="s">
        <v>1211</v>
      </c>
    </row>
    <row r="1066" spans="1:4">
      <c r="A1066">
        <v>3026</v>
      </c>
      <c r="B1066" s="1" t="s">
        <v>959</v>
      </c>
      <c r="C1066" s="1" t="s">
        <v>2510</v>
      </c>
      <c r="D1066" s="1" t="s">
        <v>1211</v>
      </c>
    </row>
    <row r="1067" spans="1:4">
      <c r="A1067">
        <v>3027</v>
      </c>
      <c r="B1067" s="1" t="s">
        <v>960</v>
      </c>
      <c r="C1067" s="1" t="s">
        <v>2479</v>
      </c>
      <c r="D1067" s="1" t="s">
        <v>1211</v>
      </c>
    </row>
    <row r="1068" spans="1:4">
      <c r="A1068">
        <v>3028</v>
      </c>
      <c r="B1068" s="1" t="s">
        <v>959</v>
      </c>
      <c r="C1068" s="1" t="s">
        <v>2511</v>
      </c>
      <c r="D1068" s="1" t="s">
        <v>1211</v>
      </c>
    </row>
    <row r="1069" spans="1:4">
      <c r="A1069">
        <v>3029</v>
      </c>
      <c r="B1069" s="1" t="s">
        <v>961</v>
      </c>
      <c r="C1069" s="1" t="s">
        <v>2512</v>
      </c>
      <c r="D1069" s="1" t="s">
        <v>1211</v>
      </c>
    </row>
    <row r="1070" spans="1:4">
      <c r="A1070">
        <v>3030</v>
      </c>
      <c r="B1070" s="1" t="s">
        <v>962</v>
      </c>
      <c r="C1070" s="1" t="s">
        <v>2513</v>
      </c>
      <c r="D1070" s="1" t="s">
        <v>1211</v>
      </c>
    </row>
    <row r="1071" spans="1:4">
      <c r="A1071">
        <v>3031</v>
      </c>
      <c r="B1071" s="1" t="s">
        <v>963</v>
      </c>
      <c r="C1071" s="1" t="s">
        <v>2514</v>
      </c>
      <c r="D1071" s="1" t="s">
        <v>1211</v>
      </c>
    </row>
    <row r="1072" spans="1:4">
      <c r="A1072">
        <v>3032</v>
      </c>
      <c r="B1072" s="1" t="s">
        <v>964</v>
      </c>
      <c r="C1072" s="1" t="s">
        <v>2515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2516</v>
      </c>
      <c r="D1073" s="1" t="s">
        <v>1211</v>
      </c>
    </row>
    <row r="1074" spans="1:4">
      <c r="A1074">
        <v>3034</v>
      </c>
      <c r="B1074" s="1" t="s">
        <v>965</v>
      </c>
      <c r="C1074" s="1" t="s">
        <v>2517</v>
      </c>
      <c r="D1074" s="1" t="s">
        <v>1211</v>
      </c>
    </row>
    <row r="1075" spans="1:4">
      <c r="A1075">
        <v>3035</v>
      </c>
      <c r="B1075" s="1" t="s">
        <v>966</v>
      </c>
      <c r="C1075" s="1" t="s">
        <v>2518</v>
      </c>
      <c r="D1075" s="1" t="s">
        <v>1211</v>
      </c>
    </row>
    <row r="1076" spans="1:4">
      <c r="A1076">
        <v>3036</v>
      </c>
      <c r="B1076" s="1" t="s">
        <v>967</v>
      </c>
      <c r="C1076" s="1" t="s">
        <v>2519</v>
      </c>
      <c r="D1076" s="1" t="s">
        <v>1211</v>
      </c>
    </row>
    <row r="1077" spans="1:4">
      <c r="A1077">
        <v>3037</v>
      </c>
      <c r="B1077" s="1" t="s">
        <v>968</v>
      </c>
      <c r="C1077" s="1" t="s">
        <v>2520</v>
      </c>
      <c r="D1077" s="1" t="s">
        <v>1211</v>
      </c>
    </row>
    <row r="1078" spans="1:4">
      <c r="A1078">
        <v>3038</v>
      </c>
      <c r="B1078" s="1" t="s">
        <v>969</v>
      </c>
      <c r="C1078" s="1" t="s">
        <v>2594</v>
      </c>
      <c r="D1078" s="1" t="s">
        <v>1211</v>
      </c>
    </row>
    <row r="1079" spans="1:4">
      <c r="A1079">
        <v>3039</v>
      </c>
      <c r="B1079" s="1" t="s">
        <v>970</v>
      </c>
      <c r="C1079" s="1" t="s">
        <v>2595</v>
      </c>
      <c r="D1079" s="1" t="s">
        <v>1211</v>
      </c>
    </row>
    <row r="1080" spans="1:4">
      <c r="A1080">
        <v>3040</v>
      </c>
      <c r="B1080" s="1" t="s">
        <v>971</v>
      </c>
      <c r="C1080" s="1" t="s">
        <v>2521</v>
      </c>
      <c r="D1080" s="1" t="s">
        <v>1211</v>
      </c>
    </row>
    <row r="1081" spans="1:4">
      <c r="A1081">
        <v>3041</v>
      </c>
      <c r="B1081" s="1" t="s">
        <v>957</v>
      </c>
      <c r="C1081" s="1" t="s">
        <v>2479</v>
      </c>
      <c r="D1081" s="1" t="s">
        <v>1211</v>
      </c>
    </row>
    <row r="1082" spans="1:4">
      <c r="A1082">
        <v>3042</v>
      </c>
      <c r="B1082" s="1" t="s">
        <v>971</v>
      </c>
      <c r="C1082" s="1" t="s">
        <v>2522</v>
      </c>
      <c r="D1082" s="1" t="s">
        <v>1211</v>
      </c>
    </row>
    <row r="1083" spans="1:4">
      <c r="A1083">
        <v>3043</v>
      </c>
      <c r="B1083" s="1" t="s">
        <v>958</v>
      </c>
      <c r="C1083" s="1" t="s">
        <v>2479</v>
      </c>
      <c r="D1083" s="1" t="s">
        <v>1211</v>
      </c>
    </row>
    <row r="1084" spans="1:4">
      <c r="A1084">
        <v>3044</v>
      </c>
      <c r="B1084" s="1" t="s">
        <v>971</v>
      </c>
      <c r="C1084" s="1" t="s">
        <v>2523</v>
      </c>
      <c r="D1084" s="1" t="s">
        <v>1211</v>
      </c>
    </row>
    <row r="1085" spans="1:4">
      <c r="A1085">
        <v>3045</v>
      </c>
      <c r="B1085" s="1" t="s">
        <v>972</v>
      </c>
      <c r="C1085" s="1" t="s">
        <v>2524</v>
      </c>
      <c r="D1085" s="1" t="s">
        <v>1211</v>
      </c>
    </row>
    <row r="1086" spans="1:4">
      <c r="A1086">
        <v>3046</v>
      </c>
      <c r="B1086" s="1" t="s">
        <v>973</v>
      </c>
      <c r="C1086" s="1" t="s">
        <v>2525</v>
      </c>
      <c r="D1086" s="1" t="s">
        <v>1211</v>
      </c>
    </row>
    <row r="1087" spans="1:4">
      <c r="A1087">
        <v>3047</v>
      </c>
      <c r="B1087" s="1" t="s">
        <v>974</v>
      </c>
      <c r="C1087" s="1" t="s">
        <v>2526</v>
      </c>
      <c r="D1087" s="1" t="s">
        <v>1211</v>
      </c>
    </row>
    <row r="1088" spans="1:4">
      <c r="A1088">
        <v>3048</v>
      </c>
      <c r="B1088" s="1" t="s">
        <v>975</v>
      </c>
      <c r="C1088" s="1" t="s">
        <v>2479</v>
      </c>
      <c r="D1088" s="1" t="s">
        <v>1211</v>
      </c>
    </row>
    <row r="1089" spans="1:4">
      <c r="A1089">
        <v>3049</v>
      </c>
      <c r="B1089" s="1" t="s">
        <v>974</v>
      </c>
      <c r="C1089" s="1" t="s">
        <v>2527</v>
      </c>
      <c r="D1089" s="1" t="s">
        <v>1211</v>
      </c>
    </row>
    <row r="1090" spans="1:4">
      <c r="A1090">
        <v>3050</v>
      </c>
      <c r="B1090" s="1" t="s">
        <v>976</v>
      </c>
      <c r="C1090" s="1" t="s">
        <v>2528</v>
      </c>
      <c r="D1090" s="1" t="s">
        <v>1211</v>
      </c>
    </row>
    <row r="1091" spans="1:4">
      <c r="A1091">
        <v>3051</v>
      </c>
      <c r="B1091" s="1" t="s">
        <v>977</v>
      </c>
      <c r="C1091" s="1" t="s">
        <v>2529</v>
      </c>
      <c r="D1091" s="1" t="s">
        <v>1211</v>
      </c>
    </row>
    <row r="1092" spans="1:4">
      <c r="A1092">
        <v>3052</v>
      </c>
      <c r="B1092" s="1" t="s">
        <v>978</v>
      </c>
      <c r="C1092" s="1" t="s">
        <v>2596</v>
      </c>
      <c r="D1092" s="1" t="s">
        <v>1211</v>
      </c>
    </row>
    <row r="1093" spans="1:4">
      <c r="A1093">
        <v>3053</v>
      </c>
      <c r="B1093" s="1" t="s">
        <v>975</v>
      </c>
      <c r="C1093" s="1" t="s">
        <v>2479</v>
      </c>
      <c r="D1093" s="1" t="s">
        <v>1211</v>
      </c>
    </row>
    <row r="1094" spans="1:4">
      <c r="A1094">
        <v>3054</v>
      </c>
      <c r="B1094" s="1" t="s">
        <v>978</v>
      </c>
      <c r="C1094" s="1" t="s">
        <v>2596</v>
      </c>
      <c r="D1094" s="1" t="s">
        <v>1211</v>
      </c>
    </row>
    <row r="1095" spans="1:4">
      <c r="A1095">
        <v>3055</v>
      </c>
      <c r="B1095" s="1" t="s">
        <v>979</v>
      </c>
      <c r="C1095" s="1" t="s">
        <v>2530</v>
      </c>
      <c r="D1095" s="1" t="s">
        <v>1211</v>
      </c>
    </row>
    <row r="1096" spans="1:4">
      <c r="A1096">
        <v>3056</v>
      </c>
      <c r="B1096" s="1" t="s">
        <v>980</v>
      </c>
      <c r="C1096" s="1" t="s">
        <v>2531</v>
      </c>
      <c r="D1096" s="1" t="s">
        <v>1211</v>
      </c>
    </row>
    <row r="1097" spans="1:4">
      <c r="A1097">
        <v>3057</v>
      </c>
      <c r="B1097" s="1" t="s">
        <v>981</v>
      </c>
      <c r="C1097" s="1" t="s">
        <v>2532</v>
      </c>
      <c r="D1097" s="1" t="s">
        <v>1211</v>
      </c>
    </row>
    <row r="1098" spans="1:4">
      <c r="A1098">
        <v>3058</v>
      </c>
      <c r="B1098" s="1" t="s">
        <v>982</v>
      </c>
      <c r="C1098" s="1" t="s">
        <v>2533</v>
      </c>
      <c r="D1098" s="1" t="s">
        <v>1211</v>
      </c>
    </row>
    <row r="1099" spans="1:4">
      <c r="A1099">
        <v>3059</v>
      </c>
      <c r="B1099" s="1" t="s">
        <v>983</v>
      </c>
      <c r="C1099" s="1" t="s">
        <v>2534</v>
      </c>
      <c r="D1099" s="1" t="s">
        <v>1211</v>
      </c>
    </row>
    <row r="1100" spans="1:4">
      <c r="A1100">
        <v>3060</v>
      </c>
      <c r="B1100" s="1" t="s">
        <v>957</v>
      </c>
      <c r="C1100" s="1" t="s">
        <v>2479</v>
      </c>
      <c r="D1100" s="1" t="s">
        <v>1211</v>
      </c>
    </row>
    <row r="1101" spans="1:4">
      <c r="A1101">
        <v>3061</v>
      </c>
      <c r="B1101" s="1" t="s">
        <v>983</v>
      </c>
      <c r="C1101" s="1" t="s">
        <v>2535</v>
      </c>
      <c r="D1101" s="1" t="s">
        <v>1211</v>
      </c>
    </row>
    <row r="1102" spans="1:4">
      <c r="A1102">
        <v>3062</v>
      </c>
      <c r="B1102" s="1" t="s">
        <v>958</v>
      </c>
      <c r="C1102" s="1" t="s">
        <v>2479</v>
      </c>
      <c r="D1102" s="1" t="s">
        <v>1211</v>
      </c>
    </row>
    <row r="1103" spans="1:4">
      <c r="A1103">
        <v>3063</v>
      </c>
      <c r="B1103" s="1" t="s">
        <v>983</v>
      </c>
      <c r="C1103" s="1" t="s">
        <v>2536</v>
      </c>
      <c r="D1103" s="1" t="s">
        <v>1211</v>
      </c>
    </row>
    <row r="1104" spans="1:4">
      <c r="A1104">
        <v>3064</v>
      </c>
      <c r="B1104" s="1" t="s">
        <v>984</v>
      </c>
      <c r="C1104" s="1" t="s">
        <v>2537</v>
      </c>
      <c r="D1104" s="1" t="s">
        <v>1211</v>
      </c>
    </row>
    <row r="1105" spans="1:4">
      <c r="A1105">
        <v>3065</v>
      </c>
      <c r="B1105" s="1" t="s">
        <v>985</v>
      </c>
      <c r="C1105" s="1" t="s">
        <v>2538</v>
      </c>
      <c r="D1105" s="1" t="s">
        <v>1211</v>
      </c>
    </row>
    <row r="1106" spans="1:4">
      <c r="A1106">
        <v>3066</v>
      </c>
      <c r="B1106" s="1" t="s">
        <v>986</v>
      </c>
      <c r="C1106" s="1" t="s">
        <v>2539</v>
      </c>
      <c r="D1106" s="1" t="s">
        <v>1211</v>
      </c>
    </row>
    <row r="1107" spans="1:4">
      <c r="A1107">
        <v>3067</v>
      </c>
      <c r="B1107" s="1" t="s">
        <v>987</v>
      </c>
      <c r="C1107" s="1" t="s">
        <v>2479</v>
      </c>
      <c r="D1107" s="1" t="s">
        <v>1211</v>
      </c>
    </row>
    <row r="1108" spans="1:4">
      <c r="A1108">
        <v>3068</v>
      </c>
      <c r="B1108" s="1" t="s">
        <v>947</v>
      </c>
      <c r="C1108" s="1" t="s">
        <v>2540</v>
      </c>
      <c r="D1108" s="1" t="s">
        <v>1211</v>
      </c>
    </row>
    <row r="1109" spans="1:4">
      <c r="A1109">
        <v>3069</v>
      </c>
      <c r="B1109" s="1" t="s">
        <v>988</v>
      </c>
      <c r="C1109" s="1" t="s">
        <v>2479</v>
      </c>
      <c r="D1109" s="1" t="s">
        <v>1211</v>
      </c>
    </row>
    <row r="1110" spans="1:4">
      <c r="A1110">
        <v>3070</v>
      </c>
      <c r="B1110" s="1" t="s">
        <v>947</v>
      </c>
      <c r="C1110" s="1" t="s">
        <v>2541</v>
      </c>
      <c r="D1110" s="1" t="s">
        <v>1211</v>
      </c>
    </row>
    <row r="1111" spans="1:4">
      <c r="A1111">
        <v>3071</v>
      </c>
      <c r="B1111" s="1" t="s">
        <v>989</v>
      </c>
      <c r="C1111" s="1" t="s">
        <v>2542</v>
      </c>
      <c r="D1111" s="1" t="s">
        <v>1211</v>
      </c>
    </row>
    <row r="1112" spans="1:4">
      <c r="A1112">
        <v>3072</v>
      </c>
      <c r="B1112" s="1" t="s">
        <v>990</v>
      </c>
      <c r="C1112" s="1" t="s">
        <v>2543</v>
      </c>
      <c r="D1112" s="1" t="s">
        <v>1211</v>
      </c>
    </row>
    <row r="1113" spans="1:4">
      <c r="A1113">
        <v>3073</v>
      </c>
      <c r="B1113" s="1" t="s">
        <v>991</v>
      </c>
      <c r="C1113" s="1" t="s">
        <v>2479</v>
      </c>
      <c r="D1113" s="1" t="s">
        <v>1211</v>
      </c>
    </row>
    <row r="1114" spans="1:4">
      <c r="A1114">
        <v>3074</v>
      </c>
      <c r="B1114" s="1" t="s">
        <v>992</v>
      </c>
      <c r="C1114" s="1" t="s">
        <v>2544</v>
      </c>
      <c r="D1114" s="1" t="s">
        <v>1211</v>
      </c>
    </row>
    <row r="1115" spans="1:4">
      <c r="A1115">
        <v>3075</v>
      </c>
      <c r="B1115" s="1" t="s">
        <v>992</v>
      </c>
      <c r="C1115" s="1" t="s">
        <v>2545</v>
      </c>
      <c r="D1115" s="1" t="s">
        <v>1211</v>
      </c>
    </row>
    <row r="1116" spans="1:4">
      <c r="A1116">
        <v>3076</v>
      </c>
      <c r="B1116" s="1" t="s">
        <v>993</v>
      </c>
      <c r="C1116" s="1" t="s">
        <v>2546</v>
      </c>
      <c r="D1116" s="1" t="s">
        <v>1211</v>
      </c>
    </row>
    <row r="1117" spans="1:4">
      <c r="A1117">
        <v>3077</v>
      </c>
      <c r="B1117" s="1" t="s">
        <v>974</v>
      </c>
      <c r="C1117" s="1" t="s">
        <v>2526</v>
      </c>
      <c r="D1117" s="1" t="s">
        <v>1211</v>
      </c>
    </row>
    <row r="1118" spans="1:4">
      <c r="A1118">
        <v>3078</v>
      </c>
      <c r="B1118" s="1" t="s">
        <v>994</v>
      </c>
      <c r="C1118" s="1" t="s">
        <v>2547</v>
      </c>
      <c r="D1118" s="1" t="s">
        <v>1211</v>
      </c>
    </row>
    <row r="1119" spans="1:4">
      <c r="A1119">
        <v>3079</v>
      </c>
      <c r="B1119" s="1" t="s">
        <v>995</v>
      </c>
      <c r="C1119" s="1" t="s">
        <v>2548</v>
      </c>
      <c r="D1119" s="1" t="s">
        <v>1211</v>
      </c>
    </row>
    <row r="1120" spans="1:4">
      <c r="A1120">
        <v>3080</v>
      </c>
      <c r="B1120" s="1" t="s">
        <v>974</v>
      </c>
      <c r="C1120" s="1" t="s">
        <v>2479</v>
      </c>
      <c r="D1120" s="1" t="s">
        <v>1211</v>
      </c>
    </row>
    <row r="1121" spans="1:4">
      <c r="A1121">
        <v>3081</v>
      </c>
      <c r="B1121" s="1" t="s">
        <v>996</v>
      </c>
      <c r="C1121" s="1" t="s">
        <v>2549</v>
      </c>
      <c r="D1121" s="1" t="s">
        <v>1211</v>
      </c>
    </row>
    <row r="1122" spans="1:4">
      <c r="A1122">
        <v>3082</v>
      </c>
      <c r="B1122" s="1" t="s">
        <v>997</v>
      </c>
      <c r="C1122" s="1" t="s">
        <v>2550</v>
      </c>
      <c r="D1122" s="1" t="s">
        <v>1211</v>
      </c>
    </row>
    <row r="1123" spans="1:4">
      <c r="A1123">
        <v>3083</v>
      </c>
      <c r="B1123" s="1" t="s">
        <v>998</v>
      </c>
      <c r="C1123" s="1" t="s">
        <v>2551</v>
      </c>
      <c r="D1123" s="1" t="s">
        <v>1211</v>
      </c>
    </row>
    <row r="1124" spans="1:4">
      <c r="A1124">
        <v>3084</v>
      </c>
      <c r="B1124" s="1" t="s">
        <v>999</v>
      </c>
      <c r="C1124" s="1" t="s">
        <v>2479</v>
      </c>
      <c r="D1124" s="1" t="s">
        <v>1211</v>
      </c>
    </row>
    <row r="1125" spans="1:4">
      <c r="A1125">
        <v>3085</v>
      </c>
      <c r="B1125" s="1" t="s">
        <v>963</v>
      </c>
      <c r="C1125" s="1" t="s">
        <v>2552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2553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2554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2555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2556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2557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2558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2559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2560</v>
      </c>
      <c r="D1133" s="1" t="s">
        <v>1211</v>
      </c>
    </row>
    <row r="1134" spans="1:4">
      <c r="A1134">
        <v>3094</v>
      </c>
      <c r="B1134" s="1" t="s">
        <v>987</v>
      </c>
      <c r="C1134" s="1" t="s">
        <v>2479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2561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2562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2563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2564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2565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2566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2567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2568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2569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2570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2571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2572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2573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2574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2575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2576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2577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2578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2579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2580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2581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2582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2583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1771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2479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2584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2479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2585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1772</v>
      </c>
      <c r="D1163" s="1" t="s">
        <v>1211</v>
      </c>
    </row>
    <row r="1164" spans="1:4">
      <c r="A1164">
        <v>4000</v>
      </c>
      <c r="B1164" s="1" t="s">
        <v>1033</v>
      </c>
      <c r="C1164" s="1" t="s">
        <v>2597</v>
      </c>
      <c r="D1164" s="1" t="s">
        <v>1212</v>
      </c>
    </row>
    <row r="1165" spans="1:4">
      <c r="A1165">
        <v>4001</v>
      </c>
      <c r="B1165" s="1" t="s">
        <v>964</v>
      </c>
      <c r="C1165" s="1" t="s">
        <v>2515</v>
      </c>
      <c r="D1165" s="1" t="s">
        <v>1212</v>
      </c>
    </row>
    <row r="1166" spans="1:4">
      <c r="A1166">
        <v>4002</v>
      </c>
      <c r="B1166" s="1" t="s">
        <v>1034</v>
      </c>
      <c r="C1166" s="1" t="s">
        <v>2552</v>
      </c>
      <c r="D1166" s="1" t="s">
        <v>1212</v>
      </c>
    </row>
    <row r="1167" spans="1:4">
      <c r="A1167">
        <v>4003</v>
      </c>
      <c r="B1167" s="1" t="s">
        <v>1035</v>
      </c>
      <c r="C1167" s="1" t="s">
        <v>2598</v>
      </c>
      <c r="D1167" s="1" t="s">
        <v>1212</v>
      </c>
    </row>
    <row r="1168" spans="1:4">
      <c r="A1168">
        <v>4004</v>
      </c>
      <c r="B1168" s="1" t="s">
        <v>1036</v>
      </c>
      <c r="C1168" s="1" t="s">
        <v>2505</v>
      </c>
      <c r="D1168" s="1" t="s">
        <v>1212</v>
      </c>
    </row>
    <row r="1169" spans="1:4">
      <c r="A1169">
        <v>4005</v>
      </c>
      <c r="B1169" s="1" t="s">
        <v>1037</v>
      </c>
      <c r="C1169" s="1" t="s">
        <v>2506</v>
      </c>
      <c r="D1169" s="1" t="s">
        <v>1212</v>
      </c>
    </row>
    <row r="1170" spans="1:4">
      <c r="A1170">
        <v>4006</v>
      </c>
      <c r="B1170" s="1" t="s">
        <v>1038</v>
      </c>
      <c r="C1170" s="1" t="s">
        <v>2599</v>
      </c>
      <c r="D1170" s="1" t="s">
        <v>1212</v>
      </c>
    </row>
    <row r="1171" spans="1:4">
      <c r="A1171">
        <v>4007</v>
      </c>
      <c r="B1171" s="1" t="s">
        <v>1039</v>
      </c>
      <c r="C1171" s="1" t="s">
        <v>2561</v>
      </c>
      <c r="D1171" s="1" t="s">
        <v>1212</v>
      </c>
    </row>
    <row r="1172" spans="1:4">
      <c r="A1172">
        <v>4008</v>
      </c>
      <c r="B1172" s="1" t="s">
        <v>1040</v>
      </c>
      <c r="C1172" s="1" t="s">
        <v>2600</v>
      </c>
      <c r="D1172" s="1" t="s">
        <v>1212</v>
      </c>
    </row>
    <row r="1173" spans="1:4">
      <c r="A1173">
        <v>4009</v>
      </c>
      <c r="B1173" s="1" t="s">
        <v>945</v>
      </c>
      <c r="C1173" s="1" t="s">
        <v>2496</v>
      </c>
      <c r="D1173" s="1" t="s">
        <v>1212</v>
      </c>
    </row>
    <row r="1174" spans="1:4">
      <c r="A1174">
        <v>4010</v>
      </c>
      <c r="B1174" s="1" t="s">
        <v>946</v>
      </c>
      <c r="C1174" s="1" t="s">
        <v>2497</v>
      </c>
      <c r="D1174" s="1" t="s">
        <v>1212</v>
      </c>
    </row>
    <row r="1175" spans="1:4">
      <c r="A1175">
        <v>4011</v>
      </c>
      <c r="B1175" s="1" t="s">
        <v>998</v>
      </c>
      <c r="C1175" s="1" t="s">
        <v>2551</v>
      </c>
      <c r="D1175" s="1" t="s">
        <v>1212</v>
      </c>
    </row>
    <row r="1176" spans="1:4">
      <c r="A1176">
        <v>4012</v>
      </c>
      <c r="B1176" s="1" t="s">
        <v>1041</v>
      </c>
      <c r="C1176" s="1" t="s">
        <v>2601</v>
      </c>
      <c r="D1176" s="1" t="s">
        <v>1212</v>
      </c>
    </row>
    <row r="1177" spans="1:4">
      <c r="A1177">
        <v>4013</v>
      </c>
      <c r="B1177" s="1" t="s">
        <v>1042</v>
      </c>
      <c r="C1177" s="1" t="s">
        <v>2602</v>
      </c>
      <c r="D1177" s="1" t="s">
        <v>1212</v>
      </c>
    </row>
    <row r="1178" spans="1:4">
      <c r="A1178">
        <v>4014</v>
      </c>
      <c r="B1178" s="1" t="s">
        <v>976</v>
      </c>
      <c r="C1178" s="1" t="s">
        <v>2528</v>
      </c>
      <c r="D1178" s="1" t="s">
        <v>1212</v>
      </c>
    </row>
    <row r="1179" spans="1:4">
      <c r="A1179">
        <v>4015</v>
      </c>
      <c r="B1179" s="1" t="s">
        <v>977</v>
      </c>
      <c r="C1179" s="1" t="s">
        <v>2529</v>
      </c>
      <c r="D1179" s="1" t="s">
        <v>1212</v>
      </c>
    </row>
    <row r="1180" spans="1:4">
      <c r="A1180">
        <v>4016</v>
      </c>
      <c r="B1180" s="1" t="s">
        <v>1043</v>
      </c>
      <c r="C1180" s="1" t="s">
        <v>2603</v>
      </c>
      <c r="D1180" s="1" t="s">
        <v>1212</v>
      </c>
    </row>
    <row r="1181" spans="1:4">
      <c r="A1181">
        <v>4017</v>
      </c>
      <c r="B1181" s="1" t="s">
        <v>1044</v>
      </c>
      <c r="C1181" s="1" t="s">
        <v>2604</v>
      </c>
      <c r="D1181" s="1" t="s">
        <v>1212</v>
      </c>
    </row>
    <row r="1182" spans="1:4">
      <c r="A1182">
        <v>4018</v>
      </c>
      <c r="B1182" s="1" t="s">
        <v>1045</v>
      </c>
      <c r="C1182" s="1" t="s">
        <v>2544</v>
      </c>
      <c r="D1182" s="1" t="s">
        <v>1212</v>
      </c>
    </row>
    <row r="1183" spans="1:4">
      <c r="A1183">
        <v>4019</v>
      </c>
      <c r="B1183" s="1" t="s">
        <v>992</v>
      </c>
      <c r="C1183" s="1" t="s">
        <v>2544</v>
      </c>
      <c r="D1183" s="1" t="s">
        <v>1212</v>
      </c>
    </row>
    <row r="1184" spans="1:4">
      <c r="A1184">
        <v>4020</v>
      </c>
      <c r="B1184" s="1" t="s">
        <v>1046</v>
      </c>
      <c r="C1184" s="1" t="s">
        <v>2516</v>
      </c>
      <c r="D1184" s="1" t="s">
        <v>1212</v>
      </c>
    </row>
    <row r="1185" spans="1:4">
      <c r="A1185">
        <v>4021</v>
      </c>
      <c r="B1185" s="1" t="s">
        <v>692</v>
      </c>
      <c r="C1185" s="1" t="s">
        <v>1770</v>
      </c>
      <c r="D1185" s="1" t="s">
        <v>1212</v>
      </c>
    </row>
    <row r="1186" spans="1:4">
      <c r="A1186">
        <v>4022</v>
      </c>
      <c r="B1186" s="1" t="s">
        <v>1047</v>
      </c>
      <c r="C1186" s="1" t="s">
        <v>2605</v>
      </c>
      <c r="D1186" s="1" t="s">
        <v>1212</v>
      </c>
    </row>
    <row r="1187" spans="1:4">
      <c r="A1187">
        <v>4023</v>
      </c>
      <c r="B1187" s="1" t="s">
        <v>693</v>
      </c>
      <c r="C1187" s="1" t="s">
        <v>1771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1769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2557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2558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2559</v>
      </c>
      <c r="D1191" s="1" t="s">
        <v>1212</v>
      </c>
    </row>
    <row r="1192" spans="1:4">
      <c r="A1192">
        <v>4028</v>
      </c>
      <c r="B1192" s="1" t="s">
        <v>968</v>
      </c>
      <c r="C1192" s="1" t="s">
        <v>2520</v>
      </c>
      <c r="D1192" s="1" t="s">
        <v>1212</v>
      </c>
    </row>
    <row r="1193" spans="1:4">
      <c r="A1193">
        <v>4029</v>
      </c>
      <c r="B1193" s="1" t="s">
        <v>972</v>
      </c>
      <c r="C1193" s="1" t="s">
        <v>2524</v>
      </c>
      <c r="D1193" s="1" t="s">
        <v>1212</v>
      </c>
    </row>
    <row r="1194" spans="1:4">
      <c r="A1194">
        <v>4030</v>
      </c>
      <c r="B1194" s="1" t="s">
        <v>1048</v>
      </c>
      <c r="C1194" s="1" t="s">
        <v>2606</v>
      </c>
      <c r="D1194" s="1" t="s">
        <v>1212</v>
      </c>
    </row>
    <row r="1195" spans="1:4">
      <c r="A1195">
        <v>4031</v>
      </c>
      <c r="B1195" s="1" t="s">
        <v>981</v>
      </c>
      <c r="C1195" s="1" t="s">
        <v>2532</v>
      </c>
      <c r="D1195" s="1" t="s">
        <v>1212</v>
      </c>
    </row>
    <row r="1196" spans="1:4">
      <c r="A1196">
        <v>4032</v>
      </c>
      <c r="B1196" s="1" t="s">
        <v>949</v>
      </c>
      <c r="C1196" s="1" t="s">
        <v>2500</v>
      </c>
      <c r="D1196" s="1" t="s">
        <v>1212</v>
      </c>
    </row>
    <row r="1197" spans="1:4">
      <c r="A1197">
        <v>4033</v>
      </c>
      <c r="B1197" s="1" t="s">
        <v>1000</v>
      </c>
      <c r="C1197" s="1" t="s">
        <v>2553</v>
      </c>
      <c r="D1197" s="1" t="s">
        <v>1212</v>
      </c>
    </row>
    <row r="1198" spans="1:4">
      <c r="A1198">
        <v>4034</v>
      </c>
      <c r="B1198" s="1" t="s">
        <v>1049</v>
      </c>
      <c r="C1198" s="1" t="s">
        <v>2607</v>
      </c>
      <c r="D1198" s="1" t="s">
        <v>1212</v>
      </c>
    </row>
    <row r="1199" spans="1:4">
      <c r="A1199">
        <v>4035</v>
      </c>
      <c r="B1199" s="1" t="s">
        <v>1050</v>
      </c>
      <c r="C1199" s="1" t="s">
        <v>2527</v>
      </c>
      <c r="D1199" s="1" t="s">
        <v>1212</v>
      </c>
    </row>
    <row r="1200" spans="1:4">
      <c r="A1200">
        <v>4036</v>
      </c>
      <c r="B1200" s="1" t="s">
        <v>1051</v>
      </c>
      <c r="C1200" s="1" t="s">
        <v>2608</v>
      </c>
      <c r="D1200" s="1" t="s">
        <v>1212</v>
      </c>
    </row>
    <row r="1201" spans="1:4">
      <c r="A1201">
        <v>4037</v>
      </c>
      <c r="B1201" s="1" t="s">
        <v>1052</v>
      </c>
      <c r="C1201" s="1" t="s">
        <v>2609</v>
      </c>
      <c r="D1201" s="1" t="s">
        <v>1212</v>
      </c>
    </row>
    <row r="1202" spans="1:4">
      <c r="A1202">
        <v>4038</v>
      </c>
      <c r="B1202" s="1" t="s">
        <v>962</v>
      </c>
      <c r="C1202" s="1" t="s">
        <v>2513</v>
      </c>
      <c r="D1202" s="1" t="s">
        <v>1212</v>
      </c>
    </row>
    <row r="1203" spans="1:4">
      <c r="A1203">
        <v>4039</v>
      </c>
      <c r="B1203" s="1" t="s">
        <v>997</v>
      </c>
      <c r="C1203" s="1" t="s">
        <v>2550</v>
      </c>
      <c r="D1203" s="1" t="s">
        <v>1212</v>
      </c>
    </row>
    <row r="1204" spans="1:4">
      <c r="A1204">
        <v>4040</v>
      </c>
      <c r="B1204" s="1" t="s">
        <v>993</v>
      </c>
      <c r="C1204" s="1" t="s">
        <v>2546</v>
      </c>
      <c r="D1204" s="1" t="s">
        <v>1212</v>
      </c>
    </row>
    <row r="1205" spans="1:4">
      <c r="A1205">
        <v>4041</v>
      </c>
      <c r="B1205" s="1" t="s">
        <v>979</v>
      </c>
      <c r="C1205" s="1" t="s">
        <v>2530</v>
      </c>
      <c r="D1205" s="1" t="s">
        <v>1212</v>
      </c>
    </row>
    <row r="1206" spans="1:4">
      <c r="A1206">
        <v>4042</v>
      </c>
      <c r="B1206" s="1" t="s">
        <v>973</v>
      </c>
      <c r="C1206" s="1" t="s">
        <v>2525</v>
      </c>
      <c r="D1206" s="1" t="s">
        <v>1212</v>
      </c>
    </row>
    <row r="1207" spans="1:4">
      <c r="A1207">
        <v>4043</v>
      </c>
      <c r="B1207" s="1" t="s">
        <v>1053</v>
      </c>
      <c r="C1207" s="1" t="s">
        <v>2610</v>
      </c>
      <c r="D1207" s="1" t="s">
        <v>1212</v>
      </c>
    </row>
    <row r="1208" spans="1:4">
      <c r="A1208">
        <v>4044</v>
      </c>
      <c r="B1208" s="1" t="s">
        <v>1054</v>
      </c>
      <c r="C1208" s="1" t="s">
        <v>2611</v>
      </c>
      <c r="D1208" s="1" t="s">
        <v>1212</v>
      </c>
    </row>
    <row r="1209" spans="1:4">
      <c r="A1209">
        <v>4045</v>
      </c>
      <c r="B1209" s="1" t="s">
        <v>689</v>
      </c>
      <c r="C1209" s="1" t="s">
        <v>1768</v>
      </c>
      <c r="D1209" s="1" t="s">
        <v>1212</v>
      </c>
    </row>
    <row r="1210" spans="1:4">
      <c r="A1210">
        <v>4046</v>
      </c>
      <c r="B1210" s="1" t="s">
        <v>1055</v>
      </c>
      <c r="C1210" s="1" t="s">
        <v>2612</v>
      </c>
      <c r="D1210" s="1" t="s">
        <v>1212</v>
      </c>
    </row>
    <row r="1211" spans="1:4">
      <c r="A1211">
        <v>4047</v>
      </c>
      <c r="B1211" s="1" t="s">
        <v>1056</v>
      </c>
      <c r="C1211" s="1" t="s">
        <v>2613</v>
      </c>
      <c r="D1211" s="1" t="s">
        <v>1212</v>
      </c>
    </row>
    <row r="1212" spans="1:4">
      <c r="A1212">
        <v>4048</v>
      </c>
      <c r="B1212" s="1" t="s">
        <v>1057</v>
      </c>
      <c r="C1212" s="1" t="s">
        <v>2614</v>
      </c>
      <c r="D1212" s="1" t="s">
        <v>1212</v>
      </c>
    </row>
    <row r="1213" spans="1:4">
      <c r="A1213">
        <v>4049</v>
      </c>
      <c r="B1213" s="1" t="s">
        <v>984</v>
      </c>
      <c r="C1213" s="1" t="s">
        <v>2537</v>
      </c>
      <c r="D1213" s="1" t="s">
        <v>1212</v>
      </c>
    </row>
    <row r="1214" spans="1:4">
      <c r="A1214">
        <v>4050</v>
      </c>
      <c r="B1214" s="1" t="s">
        <v>985</v>
      </c>
      <c r="C1214" s="1" t="s">
        <v>2538</v>
      </c>
      <c r="D1214" s="1" t="s">
        <v>1212</v>
      </c>
    </row>
    <row r="1215" spans="1:4">
      <c r="A1215">
        <v>4051</v>
      </c>
      <c r="B1215" s="1" t="s">
        <v>986</v>
      </c>
      <c r="C1215" s="1" t="s">
        <v>2539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1772</v>
      </c>
      <c r="D1216" s="1" t="s">
        <v>1212</v>
      </c>
    </row>
    <row r="1217" spans="1:4">
      <c r="A1217">
        <v>4053</v>
      </c>
      <c r="B1217" s="1" t="s">
        <v>1058</v>
      </c>
      <c r="C1217" s="1" t="s">
        <v>2615</v>
      </c>
      <c r="D1217" s="1" t="s">
        <v>1212</v>
      </c>
    </row>
    <row r="1218" spans="1:4">
      <c r="A1218">
        <v>4054</v>
      </c>
      <c r="B1218" s="1" t="s">
        <v>1059</v>
      </c>
      <c r="C1218" s="1" t="s">
        <v>2616</v>
      </c>
      <c r="D1218" s="1" t="s">
        <v>1212</v>
      </c>
    </row>
    <row r="1219" spans="1:4">
      <c r="A1219">
        <v>4055</v>
      </c>
      <c r="B1219" s="1" t="s">
        <v>966</v>
      </c>
      <c r="C1219" s="1" t="s">
        <v>2518</v>
      </c>
      <c r="D1219" s="1" t="s">
        <v>1212</v>
      </c>
    </row>
    <row r="1220" spans="1:4">
      <c r="A1220">
        <v>4056</v>
      </c>
      <c r="B1220" s="1" t="s">
        <v>1060</v>
      </c>
      <c r="C1220" s="1" t="s">
        <v>2617</v>
      </c>
      <c r="D1220" s="1" t="s">
        <v>1212</v>
      </c>
    </row>
    <row r="1221" spans="1:4">
      <c r="A1221">
        <v>4057</v>
      </c>
      <c r="B1221" s="1" t="s">
        <v>948</v>
      </c>
      <c r="C1221" s="1" t="s">
        <v>2499</v>
      </c>
      <c r="D1221" s="1" t="s">
        <v>1212</v>
      </c>
    </row>
    <row r="1222" spans="1:4">
      <c r="A1222">
        <v>4058</v>
      </c>
      <c r="B1222" s="1" t="s">
        <v>1061</v>
      </c>
      <c r="C1222" s="1" t="s">
        <v>2540</v>
      </c>
      <c r="D1222" s="1" t="s">
        <v>1212</v>
      </c>
    </row>
    <row r="1223" spans="1:4">
      <c r="A1223">
        <v>4059</v>
      </c>
      <c r="B1223" s="1" t="s">
        <v>1062</v>
      </c>
      <c r="C1223" s="1" t="s">
        <v>2541</v>
      </c>
      <c r="D1223" s="1" t="s">
        <v>1212</v>
      </c>
    </row>
    <row r="1224" spans="1:4">
      <c r="A1224">
        <v>4060</v>
      </c>
      <c r="B1224" s="1" t="s">
        <v>1012</v>
      </c>
      <c r="C1224" s="1" t="s">
        <v>2566</v>
      </c>
      <c r="D1224" s="1" t="s">
        <v>1212</v>
      </c>
    </row>
    <row r="1225" spans="1:4">
      <c r="A1225">
        <v>4061</v>
      </c>
      <c r="B1225" s="1" t="s">
        <v>1063</v>
      </c>
      <c r="C1225" s="1" t="s">
        <v>2618</v>
      </c>
      <c r="D1225" s="1" t="s">
        <v>1212</v>
      </c>
    </row>
    <row r="1226" spans="1:4">
      <c r="A1226">
        <v>4062</v>
      </c>
      <c r="B1226" s="1" t="s">
        <v>1064</v>
      </c>
      <c r="C1226" s="1" t="s">
        <v>2619</v>
      </c>
      <c r="D1226" s="1" t="s">
        <v>1212</v>
      </c>
    </row>
    <row r="1227" spans="1:4">
      <c r="A1227">
        <v>4063</v>
      </c>
      <c r="B1227" s="1" t="s">
        <v>1065</v>
      </c>
      <c r="C1227" s="1" t="s">
        <v>2511</v>
      </c>
      <c r="D1227" s="1" t="s">
        <v>1212</v>
      </c>
    </row>
    <row r="1228" spans="1:4">
      <c r="A1228">
        <v>4064</v>
      </c>
      <c r="B1228" s="1" t="s">
        <v>1066</v>
      </c>
      <c r="C1228" s="1" t="s">
        <v>2620</v>
      </c>
      <c r="D1228" s="1" t="s">
        <v>1212</v>
      </c>
    </row>
    <row r="1229" spans="1:4">
      <c r="A1229">
        <v>4065</v>
      </c>
      <c r="B1229" s="1" t="s">
        <v>688</v>
      </c>
      <c r="C1229" s="1" t="s">
        <v>2584</v>
      </c>
      <c r="D1229" s="1" t="s">
        <v>1212</v>
      </c>
    </row>
    <row r="1230" spans="1:4">
      <c r="A1230">
        <v>4066</v>
      </c>
      <c r="B1230" s="1" t="s">
        <v>1067</v>
      </c>
      <c r="C1230" s="1" t="s">
        <v>2621</v>
      </c>
      <c r="D1230" s="1" t="s">
        <v>1212</v>
      </c>
    </row>
    <row r="1231" spans="1:4">
      <c r="A1231">
        <v>4067</v>
      </c>
      <c r="B1231" s="1" t="s">
        <v>1011</v>
      </c>
      <c r="C1231" s="1" t="s">
        <v>2565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2567</v>
      </c>
      <c r="D1232" s="1" t="s">
        <v>1212</v>
      </c>
    </row>
    <row r="1233" spans="1:4">
      <c r="A1233">
        <v>4069</v>
      </c>
      <c r="B1233" s="1" t="s">
        <v>1068</v>
      </c>
      <c r="C1233" s="1" t="s">
        <v>2622</v>
      </c>
      <c r="D1233" s="1" t="s">
        <v>1212</v>
      </c>
    </row>
    <row r="1234" spans="1:4">
      <c r="A1234">
        <v>4070</v>
      </c>
      <c r="B1234" s="1" t="s">
        <v>1069</v>
      </c>
      <c r="C1234" s="1" t="s">
        <v>2623</v>
      </c>
      <c r="D1234" s="1" t="s">
        <v>1212</v>
      </c>
    </row>
    <row r="1235" spans="1:4">
      <c r="A1235">
        <v>4071</v>
      </c>
      <c r="B1235" s="1" t="s">
        <v>1001</v>
      </c>
      <c r="C1235" s="1" t="s">
        <v>2554</v>
      </c>
      <c r="D1235" s="1" t="s">
        <v>1212</v>
      </c>
    </row>
    <row r="1236" spans="1:4">
      <c r="A1236">
        <v>4072</v>
      </c>
      <c r="B1236" s="1" t="s">
        <v>1070</v>
      </c>
      <c r="C1236" s="1" t="s">
        <v>2624</v>
      </c>
      <c r="D1236" s="1" t="s">
        <v>1212</v>
      </c>
    </row>
    <row r="1237" spans="1:4">
      <c r="A1237">
        <v>4073</v>
      </c>
      <c r="B1237" s="1" t="s">
        <v>1071</v>
      </c>
      <c r="C1237" s="1" t="s">
        <v>2625</v>
      </c>
      <c r="D1237" s="1" t="s">
        <v>1212</v>
      </c>
    </row>
    <row r="1238" spans="1:4">
      <c r="A1238">
        <v>4074</v>
      </c>
      <c r="B1238" s="1" t="s">
        <v>1072</v>
      </c>
      <c r="C1238" s="1" t="s">
        <v>2626</v>
      </c>
      <c r="D1238" s="1" t="s">
        <v>1212</v>
      </c>
    </row>
    <row r="1239" spans="1:4">
      <c r="A1239">
        <v>4075</v>
      </c>
      <c r="B1239" s="1" t="s">
        <v>1073</v>
      </c>
      <c r="C1239" s="1" t="s">
        <v>2627</v>
      </c>
      <c r="D1239" s="1" t="s">
        <v>1212</v>
      </c>
    </row>
    <row r="1240" spans="1:4">
      <c r="A1240">
        <v>4076</v>
      </c>
      <c r="B1240" s="1" t="s">
        <v>983</v>
      </c>
      <c r="C1240" s="1" t="s">
        <v>2534</v>
      </c>
      <c r="D1240" s="1" t="s">
        <v>1212</v>
      </c>
    </row>
    <row r="1241" spans="1:4">
      <c r="A1241">
        <v>4077</v>
      </c>
      <c r="B1241" s="1" t="s">
        <v>1074</v>
      </c>
      <c r="C1241" s="1" t="s">
        <v>2535</v>
      </c>
      <c r="D1241" s="1" t="s">
        <v>1212</v>
      </c>
    </row>
    <row r="1242" spans="1:4">
      <c r="A1242">
        <v>4078</v>
      </c>
      <c r="B1242" s="1" t="s">
        <v>1075</v>
      </c>
      <c r="C1242" s="1" t="s">
        <v>2536</v>
      </c>
      <c r="D1242" s="1" t="s">
        <v>1212</v>
      </c>
    </row>
    <row r="1243" spans="1:4">
      <c r="A1243">
        <v>4079</v>
      </c>
      <c r="B1243" s="1" t="s">
        <v>1076</v>
      </c>
      <c r="C1243" s="1" t="s">
        <v>2628</v>
      </c>
      <c r="D1243" s="1" t="s">
        <v>1212</v>
      </c>
    </row>
    <row r="1244" spans="1:4">
      <c r="A1244">
        <v>4080</v>
      </c>
      <c r="B1244" s="1" t="s">
        <v>1077</v>
      </c>
      <c r="C1244" s="1" t="s">
        <v>2629</v>
      </c>
      <c r="D1244" s="1" t="s">
        <v>1212</v>
      </c>
    </row>
    <row r="1245" spans="1:4">
      <c r="A1245">
        <v>4081</v>
      </c>
      <c r="B1245" s="1" t="s">
        <v>1078</v>
      </c>
      <c r="C1245" s="1" t="s">
        <v>2630</v>
      </c>
      <c r="D1245" s="1" t="s">
        <v>1212</v>
      </c>
    </row>
    <row r="1246" spans="1:4">
      <c r="A1246">
        <v>4082</v>
      </c>
      <c r="B1246" s="1" t="s">
        <v>1079</v>
      </c>
      <c r="C1246" s="1" t="s">
        <v>2596</v>
      </c>
      <c r="D1246" s="1" t="s">
        <v>1212</v>
      </c>
    </row>
    <row r="1247" spans="1:4">
      <c r="A1247">
        <v>4083</v>
      </c>
      <c r="B1247" s="1" t="s">
        <v>1080</v>
      </c>
      <c r="C1247" s="1" t="s">
        <v>2631</v>
      </c>
      <c r="D1247" s="1" t="s">
        <v>1212</v>
      </c>
    </row>
    <row r="1248" spans="1:4">
      <c r="A1248">
        <v>4084</v>
      </c>
      <c r="B1248" s="1" t="s">
        <v>942</v>
      </c>
      <c r="C1248" s="1" t="s">
        <v>2493</v>
      </c>
      <c r="D1248" s="1" t="s">
        <v>1212</v>
      </c>
    </row>
    <row r="1249" spans="1:4">
      <c r="A1249">
        <v>4085</v>
      </c>
      <c r="B1249" s="1" t="s">
        <v>943</v>
      </c>
      <c r="C1249" s="1" t="s">
        <v>2494</v>
      </c>
      <c r="D1249" s="1" t="s">
        <v>1212</v>
      </c>
    </row>
    <row r="1250" spans="1:4">
      <c r="A1250">
        <v>4086</v>
      </c>
      <c r="B1250" s="1" t="s">
        <v>1081</v>
      </c>
      <c r="C1250" s="1" t="s">
        <v>2632</v>
      </c>
      <c r="D1250" s="1" t="s">
        <v>1212</v>
      </c>
    </row>
    <row r="1251" spans="1:4">
      <c r="A1251">
        <v>4087</v>
      </c>
      <c r="B1251" s="1" t="s">
        <v>1082</v>
      </c>
      <c r="C1251" s="1" t="s">
        <v>2522</v>
      </c>
      <c r="D1251" s="1" t="s">
        <v>1212</v>
      </c>
    </row>
    <row r="1252" spans="1:4">
      <c r="A1252">
        <v>4088</v>
      </c>
      <c r="B1252" s="1" t="s">
        <v>1083</v>
      </c>
      <c r="C1252" s="1" t="s">
        <v>2523</v>
      </c>
      <c r="D1252" s="1" t="s">
        <v>1212</v>
      </c>
    </row>
    <row r="1253" spans="1:4">
      <c r="A1253">
        <v>4089</v>
      </c>
      <c r="B1253" s="1" t="s">
        <v>1084</v>
      </c>
      <c r="C1253" s="1" t="s">
        <v>2633</v>
      </c>
      <c r="D1253" s="1" t="s">
        <v>1212</v>
      </c>
    </row>
    <row r="1254" spans="1:4">
      <c r="A1254">
        <v>4090</v>
      </c>
      <c r="B1254" s="1" t="s">
        <v>1085</v>
      </c>
      <c r="C1254" s="1" t="s">
        <v>2508</v>
      </c>
      <c r="D1254" s="1" t="s">
        <v>1212</v>
      </c>
    </row>
    <row r="1255" spans="1:4">
      <c r="A1255">
        <v>4091</v>
      </c>
      <c r="B1255" s="1" t="s">
        <v>1086</v>
      </c>
      <c r="C1255" s="1" t="s">
        <v>2509</v>
      </c>
      <c r="D1255" s="1" t="s">
        <v>1212</v>
      </c>
    </row>
    <row r="1256" spans="1:4">
      <c r="A1256">
        <v>4092</v>
      </c>
      <c r="B1256" s="1" t="s">
        <v>1087</v>
      </c>
      <c r="C1256" s="1" t="s">
        <v>2549</v>
      </c>
      <c r="D1256" s="1" t="s">
        <v>1212</v>
      </c>
    </row>
    <row r="1257" spans="1:4">
      <c r="A1257">
        <v>4093</v>
      </c>
      <c r="B1257" s="1" t="s">
        <v>938</v>
      </c>
      <c r="C1257" s="1" t="s">
        <v>2489</v>
      </c>
      <c r="D1257" s="1" t="s">
        <v>1212</v>
      </c>
    </row>
    <row r="1258" spans="1:4">
      <c r="A1258">
        <v>4094</v>
      </c>
      <c r="B1258" s="1" t="s">
        <v>939</v>
      </c>
      <c r="C1258" s="1" t="s">
        <v>2490</v>
      </c>
      <c r="D1258" s="1" t="s">
        <v>1212</v>
      </c>
    </row>
    <row r="1259" spans="1:4">
      <c r="A1259">
        <v>4095</v>
      </c>
      <c r="B1259" s="1" t="s">
        <v>940</v>
      </c>
      <c r="C1259" s="1" t="s">
        <v>2491</v>
      </c>
      <c r="D1259" s="1" t="s">
        <v>1212</v>
      </c>
    </row>
    <row r="1260" spans="1:4">
      <c r="A1260">
        <v>4096</v>
      </c>
      <c r="B1260" s="1" t="s">
        <v>970</v>
      </c>
      <c r="C1260" s="1" t="s">
        <v>2595</v>
      </c>
      <c r="D1260" s="1" t="s">
        <v>1212</v>
      </c>
    </row>
    <row r="1261" spans="1:4">
      <c r="A1261">
        <v>4097</v>
      </c>
      <c r="B1261" s="1" t="s">
        <v>969</v>
      </c>
      <c r="C1261" s="1" t="s">
        <v>2594</v>
      </c>
      <c r="D1261" s="1" t="s">
        <v>1212</v>
      </c>
    </row>
    <row r="1262" spans="1:4">
      <c r="A1262">
        <v>4098</v>
      </c>
      <c r="B1262" s="1" t="s">
        <v>995</v>
      </c>
      <c r="C1262" s="1" t="s">
        <v>2548</v>
      </c>
      <c r="D1262" s="1" t="s">
        <v>1212</v>
      </c>
    </row>
    <row r="1263" spans="1:4">
      <c r="A1263">
        <v>4099</v>
      </c>
      <c r="B1263" s="1" t="s">
        <v>1088</v>
      </c>
      <c r="C1263" s="1" t="s">
        <v>2517</v>
      </c>
      <c r="D1263" s="1" t="s">
        <v>1212</v>
      </c>
    </row>
    <row r="1264" spans="1:4">
      <c r="A1264">
        <v>4100</v>
      </c>
      <c r="B1264" s="1" t="s">
        <v>1089</v>
      </c>
      <c r="C1264" s="1" t="s">
        <v>2634</v>
      </c>
      <c r="D1264" s="1" t="s">
        <v>1212</v>
      </c>
    </row>
    <row r="1265" spans="1:4">
      <c r="A1265">
        <v>4101</v>
      </c>
      <c r="B1265" s="1" t="s">
        <v>952</v>
      </c>
      <c r="C1265" s="1" t="s">
        <v>2503</v>
      </c>
      <c r="D1265" s="1" t="s">
        <v>1212</v>
      </c>
    </row>
    <row r="1266" spans="1:4">
      <c r="A1266">
        <v>4102</v>
      </c>
      <c r="B1266" s="1" t="s">
        <v>1090</v>
      </c>
      <c r="C1266" s="1" t="s">
        <v>2635</v>
      </c>
      <c r="D1266" s="1" t="s">
        <v>1212</v>
      </c>
    </row>
    <row r="1267" spans="1:4">
      <c r="A1267">
        <v>4103</v>
      </c>
      <c r="B1267" s="1" t="s">
        <v>1091</v>
      </c>
      <c r="C1267" s="1" t="s">
        <v>2636</v>
      </c>
      <c r="D1267" s="1" t="s">
        <v>1212</v>
      </c>
    </row>
    <row r="1268" spans="1:4">
      <c r="A1268">
        <v>4104</v>
      </c>
      <c r="B1268" s="1" t="s">
        <v>1092</v>
      </c>
      <c r="C1268" s="1" t="s">
        <v>2637</v>
      </c>
      <c r="D1268" s="1" t="s">
        <v>1212</v>
      </c>
    </row>
    <row r="1269" spans="1:4">
      <c r="A1269">
        <v>4105</v>
      </c>
      <c r="B1269" s="1" t="s">
        <v>1093</v>
      </c>
      <c r="C1269" s="1" t="s">
        <v>2638</v>
      </c>
      <c r="D1269" s="1" t="s">
        <v>1212</v>
      </c>
    </row>
    <row r="1270" spans="1:4">
      <c r="A1270">
        <v>4106</v>
      </c>
      <c r="B1270" s="1" t="s">
        <v>989</v>
      </c>
      <c r="C1270" s="1" t="s">
        <v>2542</v>
      </c>
      <c r="D1270" s="1" t="s">
        <v>1212</v>
      </c>
    </row>
    <row r="1271" spans="1:4">
      <c r="A1271">
        <v>4107</v>
      </c>
      <c r="B1271" s="1" t="s">
        <v>990</v>
      </c>
      <c r="C1271" s="1" t="s">
        <v>2543</v>
      </c>
      <c r="D1271" s="1" t="s">
        <v>1212</v>
      </c>
    </row>
    <row r="1272" spans="1:4">
      <c r="A1272">
        <v>4108</v>
      </c>
      <c r="B1272" s="1" t="s">
        <v>967</v>
      </c>
      <c r="C1272" s="1" t="s">
        <v>2519</v>
      </c>
      <c r="D1272" s="1" t="s">
        <v>1212</v>
      </c>
    </row>
    <row r="1273" spans="1:4">
      <c r="A1273">
        <v>4109</v>
      </c>
      <c r="B1273" s="1" t="s">
        <v>951</v>
      </c>
      <c r="C1273" s="1" t="s">
        <v>2502</v>
      </c>
      <c r="D1273" s="1" t="s">
        <v>1212</v>
      </c>
    </row>
    <row r="1274" spans="1:4">
      <c r="A1274">
        <v>4110</v>
      </c>
      <c r="B1274" s="1" t="s">
        <v>980</v>
      </c>
      <c r="C1274" s="1" t="s">
        <v>2531</v>
      </c>
      <c r="D1274" s="1" t="s">
        <v>1212</v>
      </c>
    </row>
    <row r="1275" spans="1:4">
      <c r="A1275">
        <v>4111</v>
      </c>
      <c r="B1275" s="1" t="s">
        <v>950</v>
      </c>
      <c r="C1275" s="1" t="s">
        <v>2501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 t="s">
        <v>2639</v>
      </c>
      <c r="D1277" s="1" t="s">
        <v>1212</v>
      </c>
    </row>
    <row r="1278" spans="1:4">
      <c r="A1278">
        <v>4114</v>
      </c>
      <c r="B1278" s="1" t="s">
        <v>1096</v>
      </c>
      <c r="C1278" s="1" t="s">
        <v>2640</v>
      </c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 t="s">
        <v>2641</v>
      </c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 t="s">
        <v>1309</v>
      </c>
      <c r="D1283" s="1" t="s">
        <v>1212</v>
      </c>
    </row>
    <row r="1284" spans="1:4">
      <c r="A1284">
        <v>4120</v>
      </c>
      <c r="B1284" s="1" t="s">
        <v>1099</v>
      </c>
      <c r="C1284" s="1" t="s">
        <v>2642</v>
      </c>
      <c r="D1284" s="1" t="s">
        <v>1212</v>
      </c>
    </row>
    <row r="1285" spans="1:4">
      <c r="A1285">
        <v>4121</v>
      </c>
      <c r="B1285" s="1" t="s">
        <v>1100</v>
      </c>
      <c r="C1285" s="1" t="s">
        <v>2643</v>
      </c>
      <c r="D1285" s="1" t="s">
        <v>1212</v>
      </c>
    </row>
    <row r="1286" spans="1:4">
      <c r="A1286">
        <v>4122</v>
      </c>
      <c r="B1286" s="1" t="s">
        <v>1101</v>
      </c>
      <c r="C1286" s="1" t="s">
        <v>2074</v>
      </c>
      <c r="D1286" s="1" t="s">
        <v>1212</v>
      </c>
    </row>
    <row r="1287" spans="1:4">
      <c r="A1287">
        <v>4123</v>
      </c>
      <c r="B1287" s="1" t="s">
        <v>1102</v>
      </c>
      <c r="C1287" s="1" t="s">
        <v>2644</v>
      </c>
      <c r="D1287" s="1" t="s">
        <v>1212</v>
      </c>
    </row>
    <row r="1288" spans="1:4">
      <c r="A1288">
        <v>4124</v>
      </c>
      <c r="B1288" s="1" t="s">
        <v>1103</v>
      </c>
      <c r="C1288" s="1" t="s">
        <v>2645</v>
      </c>
      <c r="D1288" s="1" t="s">
        <v>1212</v>
      </c>
    </row>
    <row r="1289" spans="1:4">
      <c r="A1289">
        <v>4125</v>
      </c>
      <c r="B1289" s="1" t="s">
        <v>1104</v>
      </c>
      <c r="C1289" s="1" t="s">
        <v>2596</v>
      </c>
      <c r="D1289" s="1" t="s">
        <v>1212</v>
      </c>
    </row>
    <row r="1290" spans="1:4">
      <c r="A1290">
        <v>4126</v>
      </c>
      <c r="B1290" s="1" t="s">
        <v>1105</v>
      </c>
      <c r="C1290" s="1" t="s">
        <v>2646</v>
      </c>
      <c r="D1290" s="1" t="s">
        <v>1212</v>
      </c>
    </row>
    <row r="1291" spans="1:4">
      <c r="A1291">
        <v>4127</v>
      </c>
      <c r="B1291" s="1" t="s">
        <v>212</v>
      </c>
      <c r="C1291" s="1" t="s">
        <v>1737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1735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1731</v>
      </c>
      <c r="D1293" s="1" t="s">
        <v>1212</v>
      </c>
    </row>
    <row r="1294" spans="1:4">
      <c r="A1294">
        <v>4130</v>
      </c>
      <c r="B1294" s="1" t="s">
        <v>1106</v>
      </c>
      <c r="C1294" s="1" t="s">
        <v>2647</v>
      </c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 t="s">
        <v>2648</v>
      </c>
      <c r="D1297" s="1" t="s">
        <v>1212</v>
      </c>
    </row>
    <row r="1298" spans="1:4">
      <c r="A1298">
        <v>4134</v>
      </c>
      <c r="B1298" s="1" t="s">
        <v>691</v>
      </c>
      <c r="C1298" s="1" t="s">
        <v>2593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 t="s">
        <v>2597</v>
      </c>
      <c r="D1300" s="1" t="s">
        <v>1213</v>
      </c>
    </row>
    <row r="1301" spans="1:4">
      <c r="A1301">
        <v>6001</v>
      </c>
      <c r="B1301" s="1" t="s">
        <v>964</v>
      </c>
      <c r="C1301" s="1" t="s">
        <v>2515</v>
      </c>
      <c r="D1301" s="1" t="s">
        <v>1213</v>
      </c>
    </row>
    <row r="1302" spans="1:4">
      <c r="A1302">
        <v>6002</v>
      </c>
      <c r="B1302" s="1" t="s">
        <v>1034</v>
      </c>
      <c r="C1302" s="1" t="s">
        <v>2552</v>
      </c>
      <c r="D1302" s="1" t="s">
        <v>1213</v>
      </c>
    </row>
    <row r="1303" spans="1:4">
      <c r="A1303">
        <v>6003</v>
      </c>
      <c r="B1303" s="1" t="s">
        <v>1035</v>
      </c>
      <c r="C1303" s="1" t="s">
        <v>2598</v>
      </c>
      <c r="D1303" s="1" t="s">
        <v>1213</v>
      </c>
    </row>
    <row r="1304" spans="1:4">
      <c r="A1304">
        <v>6004</v>
      </c>
      <c r="B1304" s="1" t="s">
        <v>1036</v>
      </c>
      <c r="C1304" s="1" t="s">
        <v>2505</v>
      </c>
      <c r="D1304" s="1" t="s">
        <v>1213</v>
      </c>
    </row>
    <row r="1305" spans="1:4">
      <c r="A1305">
        <v>6005</v>
      </c>
      <c r="B1305" s="1" t="s">
        <v>1037</v>
      </c>
      <c r="C1305" s="1" t="s">
        <v>2506</v>
      </c>
      <c r="D1305" s="1" t="s">
        <v>1213</v>
      </c>
    </row>
    <row r="1306" spans="1:4">
      <c r="A1306">
        <v>6006</v>
      </c>
      <c r="B1306" s="1" t="s">
        <v>1038</v>
      </c>
      <c r="C1306" s="1" t="s">
        <v>2599</v>
      </c>
      <c r="D1306" s="1" t="s">
        <v>1213</v>
      </c>
    </row>
    <row r="1307" spans="1:4">
      <c r="A1307">
        <v>6007</v>
      </c>
      <c r="B1307" s="1" t="s">
        <v>1039</v>
      </c>
      <c r="C1307" s="1" t="s">
        <v>2561</v>
      </c>
      <c r="D1307" s="1" t="s">
        <v>1213</v>
      </c>
    </row>
    <row r="1308" spans="1:4">
      <c r="A1308">
        <v>6008</v>
      </c>
      <c r="B1308" s="1" t="s">
        <v>1040</v>
      </c>
      <c r="C1308" s="1" t="s">
        <v>2600</v>
      </c>
      <c r="D1308" s="1" t="s">
        <v>1213</v>
      </c>
    </row>
    <row r="1309" spans="1:4">
      <c r="A1309">
        <v>6009</v>
      </c>
      <c r="B1309" s="1" t="s">
        <v>945</v>
      </c>
      <c r="C1309" s="1" t="s">
        <v>2496</v>
      </c>
      <c r="D1309" s="1" t="s">
        <v>1213</v>
      </c>
    </row>
    <row r="1310" spans="1:4">
      <c r="A1310">
        <v>6010</v>
      </c>
      <c r="B1310" s="1" t="s">
        <v>946</v>
      </c>
      <c r="C1310" s="1" t="s">
        <v>2497</v>
      </c>
      <c r="D1310" s="1" t="s">
        <v>1213</v>
      </c>
    </row>
    <row r="1311" spans="1:4">
      <c r="A1311">
        <v>6011</v>
      </c>
      <c r="B1311" s="1" t="s">
        <v>998</v>
      </c>
      <c r="C1311" s="1" t="s">
        <v>2551</v>
      </c>
      <c r="D1311" s="1" t="s">
        <v>1213</v>
      </c>
    </row>
    <row r="1312" spans="1:4">
      <c r="A1312">
        <v>6012</v>
      </c>
      <c r="B1312" s="1" t="s">
        <v>1041</v>
      </c>
      <c r="C1312" s="1" t="s">
        <v>2601</v>
      </c>
      <c r="D1312" s="1" t="s">
        <v>1213</v>
      </c>
    </row>
    <row r="1313" spans="1:4">
      <c r="A1313">
        <v>6013</v>
      </c>
      <c r="B1313" s="1" t="s">
        <v>1042</v>
      </c>
      <c r="C1313" s="1" t="s">
        <v>2602</v>
      </c>
      <c r="D1313" s="1" t="s">
        <v>1213</v>
      </c>
    </row>
    <row r="1314" spans="1:4">
      <c r="A1314">
        <v>6014</v>
      </c>
      <c r="B1314" s="1" t="s">
        <v>976</v>
      </c>
      <c r="C1314" s="1" t="s">
        <v>2528</v>
      </c>
      <c r="D1314" s="1" t="s">
        <v>1213</v>
      </c>
    </row>
    <row r="1315" spans="1:4">
      <c r="A1315">
        <v>6015</v>
      </c>
      <c r="B1315" s="1" t="s">
        <v>977</v>
      </c>
      <c r="C1315" s="1" t="s">
        <v>2529</v>
      </c>
      <c r="D1315" s="1" t="s">
        <v>1213</v>
      </c>
    </row>
    <row r="1316" spans="1:4">
      <c r="A1316">
        <v>6016</v>
      </c>
      <c r="B1316" s="1" t="s">
        <v>1043</v>
      </c>
      <c r="C1316" s="1" t="s">
        <v>2603</v>
      </c>
      <c r="D1316" s="1" t="s">
        <v>1213</v>
      </c>
    </row>
    <row r="1317" spans="1:4">
      <c r="A1317">
        <v>6017</v>
      </c>
      <c r="B1317" s="1" t="s">
        <v>1044</v>
      </c>
      <c r="C1317" s="1" t="s">
        <v>2604</v>
      </c>
      <c r="D1317" s="1" t="s">
        <v>1213</v>
      </c>
    </row>
    <row r="1318" spans="1:4">
      <c r="A1318">
        <v>6018</v>
      </c>
      <c r="B1318" s="1" t="s">
        <v>1045</v>
      </c>
      <c r="C1318" s="1" t="s">
        <v>2544</v>
      </c>
      <c r="D1318" s="1" t="s">
        <v>1213</v>
      </c>
    </row>
    <row r="1319" spans="1:4">
      <c r="A1319">
        <v>6019</v>
      </c>
      <c r="B1319" s="1" t="s">
        <v>992</v>
      </c>
      <c r="C1319" s="1" t="s">
        <v>2544</v>
      </c>
      <c r="D1319" s="1" t="s">
        <v>1213</v>
      </c>
    </row>
    <row r="1320" spans="1:4">
      <c r="A1320">
        <v>6020</v>
      </c>
      <c r="B1320" s="1" t="s">
        <v>1046</v>
      </c>
      <c r="C1320" s="1" t="s">
        <v>2516</v>
      </c>
      <c r="D1320" s="1" t="s">
        <v>1213</v>
      </c>
    </row>
    <row r="1321" spans="1:4">
      <c r="A1321">
        <v>6021</v>
      </c>
      <c r="B1321" s="1" t="s">
        <v>692</v>
      </c>
      <c r="C1321" s="1" t="s">
        <v>1770</v>
      </c>
      <c r="D1321" s="1" t="s">
        <v>1213</v>
      </c>
    </row>
    <row r="1322" spans="1:4">
      <c r="A1322">
        <v>6022</v>
      </c>
      <c r="B1322" s="1" t="s">
        <v>1047</v>
      </c>
      <c r="C1322" s="1" t="s">
        <v>2605</v>
      </c>
      <c r="D1322" s="1" t="s">
        <v>1213</v>
      </c>
    </row>
    <row r="1323" spans="1:4">
      <c r="A1323">
        <v>6023</v>
      </c>
      <c r="B1323" s="1" t="s">
        <v>693</v>
      </c>
      <c r="C1323" s="1" t="s">
        <v>1771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1769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2557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2558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2559</v>
      </c>
      <c r="D1327" s="1" t="s">
        <v>1213</v>
      </c>
    </row>
    <row r="1328" spans="1:4">
      <c r="A1328">
        <v>6028</v>
      </c>
      <c r="B1328" s="1" t="s">
        <v>968</v>
      </c>
      <c r="C1328" s="1" t="s">
        <v>2520</v>
      </c>
      <c r="D1328" s="1" t="s">
        <v>1213</v>
      </c>
    </row>
    <row r="1329" spans="1:4">
      <c r="A1329">
        <v>6029</v>
      </c>
      <c r="B1329" s="1" t="s">
        <v>972</v>
      </c>
      <c r="C1329" s="1" t="s">
        <v>2524</v>
      </c>
      <c r="D1329" s="1" t="s">
        <v>1213</v>
      </c>
    </row>
    <row r="1330" spans="1:4">
      <c r="A1330">
        <v>6030</v>
      </c>
      <c r="B1330" s="1" t="s">
        <v>1048</v>
      </c>
      <c r="C1330" s="1" t="s">
        <v>2606</v>
      </c>
      <c r="D1330" s="1" t="s">
        <v>1213</v>
      </c>
    </row>
    <row r="1331" spans="1:4">
      <c r="A1331">
        <v>6031</v>
      </c>
      <c r="B1331" s="1" t="s">
        <v>981</v>
      </c>
      <c r="C1331" s="1" t="s">
        <v>2532</v>
      </c>
      <c r="D1331" s="1" t="s">
        <v>1213</v>
      </c>
    </row>
    <row r="1332" spans="1:4">
      <c r="A1332">
        <v>6032</v>
      </c>
      <c r="B1332" s="1" t="s">
        <v>949</v>
      </c>
      <c r="C1332" s="1" t="s">
        <v>2500</v>
      </c>
      <c r="D1332" s="1" t="s">
        <v>1213</v>
      </c>
    </row>
    <row r="1333" spans="1:4">
      <c r="A1333">
        <v>6033</v>
      </c>
      <c r="B1333" s="1" t="s">
        <v>1000</v>
      </c>
      <c r="C1333" s="1" t="s">
        <v>2553</v>
      </c>
      <c r="D1333" s="1" t="s">
        <v>1213</v>
      </c>
    </row>
    <row r="1334" spans="1:4">
      <c r="A1334">
        <v>6034</v>
      </c>
      <c r="B1334" s="1" t="s">
        <v>1049</v>
      </c>
      <c r="C1334" s="1" t="s">
        <v>2607</v>
      </c>
      <c r="D1334" s="1" t="s">
        <v>1213</v>
      </c>
    </row>
    <row r="1335" spans="1:4">
      <c r="A1335">
        <v>6035</v>
      </c>
      <c r="B1335" s="1" t="s">
        <v>1050</v>
      </c>
      <c r="C1335" s="1" t="s">
        <v>2527</v>
      </c>
      <c r="D1335" s="1" t="s">
        <v>1213</v>
      </c>
    </row>
    <row r="1336" spans="1:4">
      <c r="A1336">
        <v>6036</v>
      </c>
      <c r="B1336" s="1" t="s">
        <v>1051</v>
      </c>
      <c r="C1336" s="1" t="s">
        <v>2547</v>
      </c>
      <c r="D1336" s="1" t="s">
        <v>1213</v>
      </c>
    </row>
    <row r="1337" spans="1:4">
      <c r="A1337">
        <v>6037</v>
      </c>
      <c r="B1337" s="1" t="s">
        <v>1052</v>
      </c>
      <c r="C1337" s="1" t="s">
        <v>2609</v>
      </c>
      <c r="D1337" s="1" t="s">
        <v>1213</v>
      </c>
    </row>
    <row r="1338" spans="1:4">
      <c r="A1338">
        <v>6038</v>
      </c>
      <c r="B1338" s="1" t="s">
        <v>962</v>
      </c>
      <c r="C1338" s="1" t="s">
        <v>2513</v>
      </c>
      <c r="D1338" s="1" t="s">
        <v>1213</v>
      </c>
    </row>
    <row r="1339" spans="1:4">
      <c r="A1339">
        <v>6039</v>
      </c>
      <c r="B1339" s="1" t="s">
        <v>997</v>
      </c>
      <c r="C1339" s="1" t="s">
        <v>2550</v>
      </c>
      <c r="D1339" s="1" t="s">
        <v>1213</v>
      </c>
    </row>
    <row r="1340" spans="1:4">
      <c r="A1340">
        <v>6040</v>
      </c>
      <c r="B1340" s="1" t="s">
        <v>993</v>
      </c>
      <c r="C1340" s="1" t="s">
        <v>2546</v>
      </c>
      <c r="D1340" s="1" t="s">
        <v>1213</v>
      </c>
    </row>
    <row r="1341" spans="1:4">
      <c r="A1341">
        <v>6041</v>
      </c>
      <c r="B1341" s="1" t="s">
        <v>979</v>
      </c>
      <c r="C1341" s="1" t="s">
        <v>2530</v>
      </c>
      <c r="D1341" s="1" t="s">
        <v>1213</v>
      </c>
    </row>
    <row r="1342" spans="1:4">
      <c r="A1342">
        <v>6042</v>
      </c>
      <c r="B1342" s="1" t="s">
        <v>973</v>
      </c>
      <c r="C1342" s="1" t="s">
        <v>2525</v>
      </c>
      <c r="D1342" s="1" t="s">
        <v>1213</v>
      </c>
    </row>
    <row r="1343" spans="1:4">
      <c r="A1343">
        <v>6043</v>
      </c>
      <c r="B1343" s="1" t="s">
        <v>1053</v>
      </c>
      <c r="C1343" s="1" t="s">
        <v>2610</v>
      </c>
      <c r="D1343" s="1" t="s">
        <v>1213</v>
      </c>
    </row>
    <row r="1344" spans="1:4">
      <c r="A1344">
        <v>6044</v>
      </c>
      <c r="B1344" s="1" t="s">
        <v>1054</v>
      </c>
      <c r="C1344" s="1" t="s">
        <v>2611</v>
      </c>
      <c r="D1344" s="1" t="s">
        <v>1213</v>
      </c>
    </row>
    <row r="1345" spans="1:4">
      <c r="A1345">
        <v>6045</v>
      </c>
      <c r="B1345" s="1" t="s">
        <v>689</v>
      </c>
      <c r="C1345" s="1" t="s">
        <v>1768</v>
      </c>
      <c r="D1345" s="1" t="s">
        <v>1213</v>
      </c>
    </row>
    <row r="1346" spans="1:4">
      <c r="A1346">
        <v>6046</v>
      </c>
      <c r="B1346" s="1" t="s">
        <v>1055</v>
      </c>
      <c r="C1346" s="1" t="s">
        <v>2612</v>
      </c>
      <c r="D1346" s="1" t="s">
        <v>1213</v>
      </c>
    </row>
    <row r="1347" spans="1:4">
      <c r="A1347">
        <v>6047</v>
      </c>
      <c r="B1347" s="1" t="s">
        <v>1056</v>
      </c>
      <c r="C1347" s="1" t="s">
        <v>2613</v>
      </c>
      <c r="D1347" s="1" t="s">
        <v>1213</v>
      </c>
    </row>
    <row r="1348" spans="1:4">
      <c r="A1348">
        <v>6048</v>
      </c>
      <c r="B1348" s="1" t="s">
        <v>1057</v>
      </c>
      <c r="C1348" s="1" t="s">
        <v>2614</v>
      </c>
      <c r="D1348" s="1" t="s">
        <v>1213</v>
      </c>
    </row>
    <row r="1349" spans="1:4">
      <c r="A1349">
        <v>6049</v>
      </c>
      <c r="B1349" s="1" t="s">
        <v>984</v>
      </c>
      <c r="C1349" s="1" t="s">
        <v>2537</v>
      </c>
      <c r="D1349" s="1" t="s">
        <v>1213</v>
      </c>
    </row>
    <row r="1350" spans="1:4">
      <c r="A1350">
        <v>6050</v>
      </c>
      <c r="B1350" s="1" t="s">
        <v>985</v>
      </c>
      <c r="C1350" s="1" t="s">
        <v>2538</v>
      </c>
      <c r="D1350" s="1" t="s">
        <v>1213</v>
      </c>
    </row>
    <row r="1351" spans="1:4">
      <c r="A1351">
        <v>6051</v>
      </c>
      <c r="B1351" s="1" t="s">
        <v>986</v>
      </c>
      <c r="C1351" s="1" t="s">
        <v>2539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1772</v>
      </c>
      <c r="D1352" s="1" t="s">
        <v>1213</v>
      </c>
    </row>
    <row r="1353" spans="1:4">
      <c r="A1353">
        <v>6053</v>
      </c>
      <c r="B1353" s="1" t="s">
        <v>1058</v>
      </c>
      <c r="C1353" s="1" t="s">
        <v>2615</v>
      </c>
      <c r="D1353" s="1" t="s">
        <v>1213</v>
      </c>
    </row>
    <row r="1354" spans="1:4">
      <c r="A1354">
        <v>6054</v>
      </c>
      <c r="B1354" s="1" t="s">
        <v>1059</v>
      </c>
      <c r="C1354" s="1" t="s">
        <v>2616</v>
      </c>
      <c r="D1354" s="1" t="s">
        <v>1213</v>
      </c>
    </row>
    <row r="1355" spans="1:4">
      <c r="A1355">
        <v>6055</v>
      </c>
      <c r="B1355" s="1" t="s">
        <v>966</v>
      </c>
      <c r="C1355" s="1" t="s">
        <v>2518</v>
      </c>
      <c r="D1355" s="1" t="s">
        <v>1213</v>
      </c>
    </row>
    <row r="1356" spans="1:4">
      <c r="A1356">
        <v>6056</v>
      </c>
      <c r="B1356" s="1" t="s">
        <v>1060</v>
      </c>
      <c r="C1356" s="1" t="s">
        <v>2617</v>
      </c>
      <c r="D1356" s="1" t="s">
        <v>1213</v>
      </c>
    </row>
    <row r="1357" spans="1:4">
      <c r="A1357">
        <v>6057</v>
      </c>
      <c r="B1357" s="1" t="s">
        <v>948</v>
      </c>
      <c r="C1357" s="1" t="s">
        <v>2499</v>
      </c>
      <c r="D1357" s="1" t="s">
        <v>1213</v>
      </c>
    </row>
    <row r="1358" spans="1:4">
      <c r="A1358">
        <v>6058</v>
      </c>
      <c r="B1358" s="1" t="s">
        <v>1061</v>
      </c>
      <c r="C1358" s="1" t="s">
        <v>2540</v>
      </c>
      <c r="D1358" s="1" t="s">
        <v>1213</v>
      </c>
    </row>
    <row r="1359" spans="1:4">
      <c r="A1359">
        <v>6059</v>
      </c>
      <c r="B1359" s="1" t="s">
        <v>1062</v>
      </c>
      <c r="C1359" s="1" t="s">
        <v>2541</v>
      </c>
      <c r="D1359" s="1" t="s">
        <v>1213</v>
      </c>
    </row>
    <row r="1360" spans="1:4">
      <c r="A1360">
        <v>6060</v>
      </c>
      <c r="B1360" s="1" t="s">
        <v>1012</v>
      </c>
      <c r="C1360" s="1" t="s">
        <v>2566</v>
      </c>
      <c r="D1360" s="1" t="s">
        <v>1213</v>
      </c>
    </row>
    <row r="1361" spans="1:4">
      <c r="A1361">
        <v>6061</v>
      </c>
      <c r="B1361" s="1" t="s">
        <v>1063</v>
      </c>
      <c r="C1361" s="1" t="s">
        <v>2618</v>
      </c>
      <c r="D1361" s="1" t="s">
        <v>1213</v>
      </c>
    </row>
    <row r="1362" spans="1:4">
      <c r="A1362">
        <v>6062</v>
      </c>
      <c r="B1362" s="1" t="s">
        <v>1064</v>
      </c>
      <c r="C1362" s="1" t="s">
        <v>2619</v>
      </c>
      <c r="D1362" s="1" t="s">
        <v>1213</v>
      </c>
    </row>
    <row r="1363" spans="1:4">
      <c r="A1363">
        <v>6063</v>
      </c>
      <c r="B1363" s="1" t="s">
        <v>1065</v>
      </c>
      <c r="C1363" s="1" t="s">
        <v>2511</v>
      </c>
      <c r="D1363" s="1" t="s">
        <v>1213</v>
      </c>
    </row>
    <row r="1364" spans="1:4">
      <c r="A1364">
        <v>6064</v>
      </c>
      <c r="B1364" s="1" t="s">
        <v>1066</v>
      </c>
      <c r="C1364" s="1" t="s">
        <v>2620</v>
      </c>
      <c r="D1364" s="1" t="s">
        <v>1213</v>
      </c>
    </row>
    <row r="1365" spans="1:4">
      <c r="A1365">
        <v>6065</v>
      </c>
      <c r="B1365" s="1" t="s">
        <v>688</v>
      </c>
      <c r="C1365" s="1" t="s">
        <v>2584</v>
      </c>
      <c r="D1365" s="1" t="s">
        <v>1213</v>
      </c>
    </row>
    <row r="1366" spans="1:4">
      <c r="A1366">
        <v>6066</v>
      </c>
      <c r="B1366" s="1" t="s">
        <v>1067</v>
      </c>
      <c r="C1366" s="1" t="s">
        <v>2621</v>
      </c>
      <c r="D1366" s="1" t="s">
        <v>1213</v>
      </c>
    </row>
    <row r="1367" spans="1:4">
      <c r="A1367">
        <v>6067</v>
      </c>
      <c r="B1367" s="1" t="s">
        <v>1011</v>
      </c>
      <c r="C1367" s="1" t="s">
        <v>2565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2567</v>
      </c>
      <c r="D1368" s="1" t="s">
        <v>1213</v>
      </c>
    </row>
    <row r="1369" spans="1:4">
      <c r="A1369">
        <v>6069</v>
      </c>
      <c r="B1369" s="1" t="s">
        <v>1068</v>
      </c>
      <c r="C1369" s="1" t="s">
        <v>2622</v>
      </c>
      <c r="D1369" s="1" t="s">
        <v>1213</v>
      </c>
    </row>
    <row r="1370" spans="1:4">
      <c r="A1370">
        <v>6070</v>
      </c>
      <c r="B1370" s="1" t="s">
        <v>1069</v>
      </c>
      <c r="C1370" s="1" t="s">
        <v>2623</v>
      </c>
      <c r="D1370" s="1" t="s">
        <v>1213</v>
      </c>
    </row>
    <row r="1371" spans="1:4">
      <c r="A1371">
        <v>6071</v>
      </c>
      <c r="B1371" s="1" t="s">
        <v>1001</v>
      </c>
      <c r="C1371" s="1" t="s">
        <v>2554</v>
      </c>
      <c r="D1371" s="1" t="s">
        <v>1213</v>
      </c>
    </row>
    <row r="1372" spans="1:4">
      <c r="A1372">
        <v>6072</v>
      </c>
      <c r="B1372" s="1" t="s">
        <v>1070</v>
      </c>
      <c r="C1372" s="1" t="s">
        <v>2624</v>
      </c>
      <c r="D1372" s="1" t="s">
        <v>1213</v>
      </c>
    </row>
    <row r="1373" spans="1:4">
      <c r="A1373">
        <v>6073</v>
      </c>
      <c r="B1373" s="1" t="s">
        <v>1071</v>
      </c>
      <c r="C1373" s="1" t="s">
        <v>2625</v>
      </c>
      <c r="D1373" s="1" t="s">
        <v>1213</v>
      </c>
    </row>
    <row r="1374" spans="1:4">
      <c r="A1374">
        <v>6074</v>
      </c>
      <c r="B1374" s="1" t="s">
        <v>1072</v>
      </c>
      <c r="C1374" s="1" t="s">
        <v>2626</v>
      </c>
      <c r="D1374" s="1" t="s">
        <v>1213</v>
      </c>
    </row>
    <row r="1375" spans="1:4">
      <c r="A1375">
        <v>6075</v>
      </c>
      <c r="B1375" s="1" t="s">
        <v>1073</v>
      </c>
      <c r="C1375" s="1" t="s">
        <v>2627</v>
      </c>
      <c r="D1375" s="1" t="s">
        <v>1213</v>
      </c>
    </row>
    <row r="1376" spans="1:4">
      <c r="A1376">
        <v>6076</v>
      </c>
      <c r="B1376" s="1" t="s">
        <v>983</v>
      </c>
      <c r="C1376" s="1" t="s">
        <v>2534</v>
      </c>
      <c r="D1376" s="1" t="s">
        <v>1213</v>
      </c>
    </row>
    <row r="1377" spans="1:4">
      <c r="A1377">
        <v>6077</v>
      </c>
      <c r="B1377" s="1" t="s">
        <v>1074</v>
      </c>
      <c r="C1377" s="1" t="s">
        <v>2535</v>
      </c>
      <c r="D1377" s="1" t="s">
        <v>1213</v>
      </c>
    </row>
    <row r="1378" spans="1:4">
      <c r="A1378">
        <v>6078</v>
      </c>
      <c r="B1378" s="1" t="s">
        <v>1075</v>
      </c>
      <c r="C1378" s="1" t="s">
        <v>2536</v>
      </c>
      <c r="D1378" s="1" t="s">
        <v>1213</v>
      </c>
    </row>
    <row r="1379" spans="1:4">
      <c r="A1379">
        <v>6079</v>
      </c>
      <c r="B1379" s="1" t="s">
        <v>1076</v>
      </c>
      <c r="C1379" s="1" t="s">
        <v>2628</v>
      </c>
      <c r="D1379" s="1" t="s">
        <v>1213</v>
      </c>
    </row>
    <row r="1380" spans="1:4">
      <c r="A1380">
        <v>6080</v>
      </c>
      <c r="B1380" s="1" t="s">
        <v>1077</v>
      </c>
      <c r="C1380" s="1" t="s">
        <v>2629</v>
      </c>
      <c r="D1380" s="1" t="s">
        <v>1213</v>
      </c>
    </row>
    <row r="1381" spans="1:4">
      <c r="A1381">
        <v>6081</v>
      </c>
      <c r="B1381" s="1" t="s">
        <v>1078</v>
      </c>
      <c r="C1381" s="1" t="s">
        <v>2630</v>
      </c>
      <c r="D1381" s="1" t="s">
        <v>1213</v>
      </c>
    </row>
    <row r="1382" spans="1:4">
      <c r="A1382">
        <v>6082</v>
      </c>
      <c r="B1382" s="1" t="s">
        <v>1079</v>
      </c>
      <c r="C1382" s="1" t="s">
        <v>2596</v>
      </c>
      <c r="D1382" s="1" t="s">
        <v>1213</v>
      </c>
    </row>
    <row r="1383" spans="1:4">
      <c r="A1383">
        <v>6083</v>
      </c>
      <c r="B1383" s="1" t="s">
        <v>1080</v>
      </c>
      <c r="C1383" s="1" t="s">
        <v>2631</v>
      </c>
      <c r="D1383" s="1" t="s">
        <v>1213</v>
      </c>
    </row>
    <row r="1384" spans="1:4">
      <c r="A1384">
        <v>6084</v>
      </c>
      <c r="B1384" s="1" t="s">
        <v>942</v>
      </c>
      <c r="C1384" s="1" t="s">
        <v>2493</v>
      </c>
      <c r="D1384" s="1" t="s">
        <v>1213</v>
      </c>
    </row>
    <row r="1385" spans="1:4">
      <c r="A1385">
        <v>6085</v>
      </c>
      <c r="B1385" s="1" t="s">
        <v>943</v>
      </c>
      <c r="C1385" s="1" t="s">
        <v>2494</v>
      </c>
      <c r="D1385" s="1" t="s">
        <v>1213</v>
      </c>
    </row>
    <row r="1386" spans="1:4">
      <c r="A1386">
        <v>6086</v>
      </c>
      <c r="B1386" s="1" t="s">
        <v>1081</v>
      </c>
      <c r="C1386" s="1" t="s">
        <v>2632</v>
      </c>
      <c r="D1386" s="1" t="s">
        <v>1213</v>
      </c>
    </row>
    <row r="1387" spans="1:4">
      <c r="A1387">
        <v>6087</v>
      </c>
      <c r="B1387" s="1" t="s">
        <v>1082</v>
      </c>
      <c r="C1387" s="1" t="s">
        <v>2522</v>
      </c>
      <c r="D1387" s="1" t="s">
        <v>1213</v>
      </c>
    </row>
    <row r="1388" spans="1:4">
      <c r="A1388">
        <v>6088</v>
      </c>
      <c r="B1388" s="1" t="s">
        <v>1083</v>
      </c>
      <c r="C1388" s="1" t="s">
        <v>2523</v>
      </c>
      <c r="D1388" s="1" t="s">
        <v>1213</v>
      </c>
    </row>
    <row r="1389" spans="1:4">
      <c r="A1389">
        <v>6089</v>
      </c>
      <c r="B1389" s="1" t="s">
        <v>1084</v>
      </c>
      <c r="C1389" s="1" t="s">
        <v>2633</v>
      </c>
      <c r="D1389" s="1" t="s">
        <v>1213</v>
      </c>
    </row>
    <row r="1390" spans="1:4">
      <c r="A1390">
        <v>6090</v>
      </c>
      <c r="B1390" s="1" t="s">
        <v>1085</v>
      </c>
      <c r="C1390" s="1" t="s">
        <v>2508</v>
      </c>
      <c r="D1390" s="1" t="s">
        <v>1213</v>
      </c>
    </row>
    <row r="1391" spans="1:4">
      <c r="A1391">
        <v>6091</v>
      </c>
      <c r="B1391" s="1" t="s">
        <v>1086</v>
      </c>
      <c r="C1391" s="1" t="s">
        <v>2509</v>
      </c>
      <c r="D1391" s="1" t="s">
        <v>1213</v>
      </c>
    </row>
    <row r="1392" spans="1:4">
      <c r="A1392">
        <v>6092</v>
      </c>
      <c r="B1392" s="1" t="s">
        <v>1087</v>
      </c>
      <c r="C1392" s="1" t="s">
        <v>2549</v>
      </c>
      <c r="D1392" s="1" t="s">
        <v>1213</v>
      </c>
    </row>
    <row r="1393" spans="1:4">
      <c r="A1393">
        <v>6093</v>
      </c>
      <c r="B1393" s="1" t="s">
        <v>938</v>
      </c>
      <c r="C1393" s="1" t="s">
        <v>2489</v>
      </c>
      <c r="D1393" s="1" t="s">
        <v>1213</v>
      </c>
    </row>
    <row r="1394" spans="1:4">
      <c r="A1394">
        <v>6094</v>
      </c>
      <c r="B1394" s="1" t="s">
        <v>939</v>
      </c>
      <c r="C1394" s="1" t="s">
        <v>2490</v>
      </c>
      <c r="D1394" s="1" t="s">
        <v>1213</v>
      </c>
    </row>
    <row r="1395" spans="1:4">
      <c r="A1395">
        <v>6095</v>
      </c>
      <c r="B1395" s="1" t="s">
        <v>940</v>
      </c>
      <c r="C1395" s="1" t="s">
        <v>2491</v>
      </c>
      <c r="D1395" s="1" t="s">
        <v>1213</v>
      </c>
    </row>
    <row r="1396" spans="1:4">
      <c r="A1396">
        <v>6096</v>
      </c>
      <c r="B1396" s="1" t="s">
        <v>970</v>
      </c>
      <c r="C1396" s="1" t="s">
        <v>2595</v>
      </c>
      <c r="D1396" s="1" t="s">
        <v>1213</v>
      </c>
    </row>
    <row r="1397" spans="1:4">
      <c r="A1397">
        <v>6097</v>
      </c>
      <c r="B1397" s="1" t="s">
        <v>969</v>
      </c>
      <c r="C1397" s="1" t="s">
        <v>2594</v>
      </c>
      <c r="D1397" s="1" t="s">
        <v>1213</v>
      </c>
    </row>
    <row r="1398" spans="1:4">
      <c r="A1398">
        <v>6098</v>
      </c>
      <c r="B1398" s="1" t="s">
        <v>995</v>
      </c>
      <c r="C1398" s="1" t="s">
        <v>2548</v>
      </c>
      <c r="D1398" s="1" t="s">
        <v>1213</v>
      </c>
    </row>
    <row r="1399" spans="1:4">
      <c r="A1399">
        <v>6099</v>
      </c>
      <c r="B1399" s="1" t="s">
        <v>1088</v>
      </c>
      <c r="C1399" s="1" t="s">
        <v>2517</v>
      </c>
      <c r="D1399" s="1" t="s">
        <v>1213</v>
      </c>
    </row>
    <row r="1400" spans="1:4">
      <c r="A1400">
        <v>6100</v>
      </c>
      <c r="B1400" s="1" t="s">
        <v>1089</v>
      </c>
      <c r="C1400" s="1" t="s">
        <v>2634</v>
      </c>
      <c r="D1400" s="1" t="s">
        <v>1213</v>
      </c>
    </row>
    <row r="1401" spans="1:4">
      <c r="A1401">
        <v>6101</v>
      </c>
      <c r="B1401" s="1" t="s">
        <v>952</v>
      </c>
      <c r="C1401" s="1" t="s">
        <v>2503</v>
      </c>
      <c r="D1401" s="1" t="s">
        <v>1213</v>
      </c>
    </row>
    <row r="1402" spans="1:4">
      <c r="A1402">
        <v>6102</v>
      </c>
      <c r="B1402" s="1" t="s">
        <v>1090</v>
      </c>
      <c r="C1402" s="1" t="s">
        <v>2635</v>
      </c>
      <c r="D1402" s="1" t="s">
        <v>1213</v>
      </c>
    </row>
    <row r="1403" spans="1:4">
      <c r="A1403">
        <v>6103</v>
      </c>
      <c r="B1403" s="1" t="s">
        <v>1091</v>
      </c>
      <c r="C1403" s="1" t="s">
        <v>2636</v>
      </c>
      <c r="D1403" s="1" t="s">
        <v>1213</v>
      </c>
    </row>
    <row r="1404" spans="1:4">
      <c r="A1404">
        <v>6104</v>
      </c>
      <c r="B1404" s="1" t="s">
        <v>1092</v>
      </c>
      <c r="C1404" s="1" t="s">
        <v>2637</v>
      </c>
      <c r="D1404" s="1" t="s">
        <v>1213</v>
      </c>
    </row>
    <row r="1405" spans="1:4">
      <c r="A1405">
        <v>6105</v>
      </c>
      <c r="B1405" s="1" t="s">
        <v>1093</v>
      </c>
      <c r="C1405" s="1" t="s">
        <v>2638</v>
      </c>
      <c r="D1405" s="1" t="s">
        <v>1213</v>
      </c>
    </row>
    <row r="1406" spans="1:4">
      <c r="A1406">
        <v>6106</v>
      </c>
      <c r="B1406" s="1" t="s">
        <v>989</v>
      </c>
      <c r="C1406" s="1" t="s">
        <v>2542</v>
      </c>
      <c r="D1406" s="1" t="s">
        <v>1213</v>
      </c>
    </row>
    <row r="1407" spans="1:4">
      <c r="A1407">
        <v>6107</v>
      </c>
      <c r="B1407" s="1" t="s">
        <v>990</v>
      </c>
      <c r="C1407" s="1" t="s">
        <v>2543</v>
      </c>
      <c r="D1407" s="1" t="s">
        <v>1213</v>
      </c>
    </row>
    <row r="1408" spans="1:4">
      <c r="A1408">
        <v>6108</v>
      </c>
      <c r="B1408" s="1" t="s">
        <v>967</v>
      </c>
      <c r="C1408" s="1" t="s">
        <v>2519</v>
      </c>
      <c r="D1408" s="1" t="s">
        <v>1213</v>
      </c>
    </row>
    <row r="1409" spans="1:4">
      <c r="A1409">
        <v>6109</v>
      </c>
      <c r="B1409" s="1" t="s">
        <v>951</v>
      </c>
      <c r="C1409" s="1" t="s">
        <v>2502</v>
      </c>
      <c r="D1409" s="1" t="s">
        <v>1213</v>
      </c>
    </row>
    <row r="1410" spans="1:4">
      <c r="A1410">
        <v>6110</v>
      </c>
      <c r="B1410" s="1" t="s">
        <v>980</v>
      </c>
      <c r="C1410" s="1" t="s">
        <v>2531</v>
      </c>
      <c r="D1410" s="1" t="s">
        <v>1213</v>
      </c>
    </row>
    <row r="1411" spans="1:4">
      <c r="A1411">
        <v>6111</v>
      </c>
      <c r="B1411" s="1" t="s">
        <v>950</v>
      </c>
      <c r="C1411" s="1" t="s">
        <v>2501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 t="s">
        <v>2639</v>
      </c>
      <c r="D1413" s="1" t="s">
        <v>1213</v>
      </c>
    </row>
    <row r="1414" spans="1:4">
      <c r="A1414">
        <v>6114</v>
      </c>
      <c r="B1414" s="1" t="s">
        <v>1096</v>
      </c>
      <c r="C1414" s="1" t="s">
        <v>2640</v>
      </c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 t="s">
        <v>2641</v>
      </c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 t="s">
        <v>1309</v>
      </c>
      <c r="D1419" s="1" t="s">
        <v>1213</v>
      </c>
    </row>
    <row r="1420" spans="1:4">
      <c r="A1420">
        <v>6120</v>
      </c>
      <c r="B1420" s="1" t="s">
        <v>1099</v>
      </c>
      <c r="C1420" s="1" t="s">
        <v>2642</v>
      </c>
      <c r="D1420" s="1" t="s">
        <v>1213</v>
      </c>
    </row>
    <row r="1421" spans="1:4">
      <c r="A1421">
        <v>6121</v>
      </c>
      <c r="B1421" s="1" t="s">
        <v>1100</v>
      </c>
      <c r="C1421" s="1" t="s">
        <v>2643</v>
      </c>
      <c r="D1421" s="1" t="s">
        <v>1213</v>
      </c>
    </row>
    <row r="1422" spans="1:4">
      <c r="A1422">
        <v>6122</v>
      </c>
      <c r="B1422" s="1" t="s">
        <v>1101</v>
      </c>
      <c r="C1422" s="1" t="s">
        <v>2074</v>
      </c>
      <c r="D1422" s="1" t="s">
        <v>1213</v>
      </c>
    </row>
    <row r="1423" spans="1:4">
      <c r="A1423">
        <v>6123</v>
      </c>
      <c r="B1423" s="1" t="s">
        <v>1102</v>
      </c>
      <c r="C1423" s="1" t="s">
        <v>2644</v>
      </c>
      <c r="D1423" s="1" t="s">
        <v>1213</v>
      </c>
    </row>
    <row r="1424" spans="1:4">
      <c r="A1424">
        <v>6124</v>
      </c>
      <c r="B1424" s="1" t="s">
        <v>1103</v>
      </c>
      <c r="C1424" s="1" t="s">
        <v>2645</v>
      </c>
      <c r="D1424" s="1" t="s">
        <v>1213</v>
      </c>
    </row>
    <row r="1425" spans="1:4">
      <c r="A1425">
        <v>6125</v>
      </c>
      <c r="B1425" s="1" t="s">
        <v>1104</v>
      </c>
      <c r="C1425" s="1" t="s">
        <v>2596</v>
      </c>
      <c r="D1425" s="1" t="s">
        <v>1213</v>
      </c>
    </row>
    <row r="1426" spans="1:4">
      <c r="A1426">
        <v>6126</v>
      </c>
      <c r="B1426" s="1" t="s">
        <v>1105</v>
      </c>
      <c r="C1426" s="1" t="s">
        <v>2646</v>
      </c>
      <c r="D1426" s="1" t="s">
        <v>1213</v>
      </c>
    </row>
    <row r="1427" spans="1:4">
      <c r="A1427">
        <v>6127</v>
      </c>
      <c r="B1427" s="1" t="s">
        <v>212</v>
      </c>
      <c r="C1427" s="1" t="s">
        <v>1737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1735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1731</v>
      </c>
      <c r="D1429" s="1" t="s">
        <v>1213</v>
      </c>
    </row>
    <row r="1430" spans="1:4">
      <c r="A1430">
        <v>6130</v>
      </c>
      <c r="B1430" s="1" t="s">
        <v>1106</v>
      </c>
      <c r="C1430" s="1" t="s">
        <v>2647</v>
      </c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 t="s">
        <v>2648</v>
      </c>
      <c r="D1433" s="1" t="s">
        <v>1213</v>
      </c>
    </row>
    <row r="1434" spans="1:4">
      <c r="A1434">
        <v>6134</v>
      </c>
      <c r="B1434" s="1" t="s">
        <v>691</v>
      </c>
      <c r="C1434" s="1" t="s">
        <v>2593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 t="s">
        <v>1194</v>
      </c>
      <c r="D1534" s="1" t="s">
        <v>1214</v>
      </c>
    </row>
    <row r="1535" spans="1:4">
      <c r="A1535">
        <v>5099</v>
      </c>
      <c r="B1535" s="1" t="s">
        <v>1195</v>
      </c>
      <c r="C1535" s="1" t="s">
        <v>1195</v>
      </c>
      <c r="D1535" s="1" t="s">
        <v>1214</v>
      </c>
    </row>
    <row r="1536" spans="1:4">
      <c r="A1536">
        <v>5100</v>
      </c>
      <c r="B1536" s="1" t="s">
        <v>728</v>
      </c>
      <c r="C1536" s="1" t="s">
        <v>728</v>
      </c>
      <c r="D1536" s="1" t="s">
        <v>1214</v>
      </c>
    </row>
    <row r="1537" spans="1:4">
      <c r="A1537">
        <v>5101</v>
      </c>
      <c r="B1537" s="1" t="s">
        <v>1196</v>
      </c>
      <c r="C1537" s="1" t="s">
        <v>1196</v>
      </c>
      <c r="D1537" s="1" t="s">
        <v>1214</v>
      </c>
    </row>
    <row r="1538" spans="1:4">
      <c r="A1538">
        <v>5102</v>
      </c>
      <c r="B1538" s="1" t="s">
        <v>729</v>
      </c>
      <c r="C1538" s="1" t="s">
        <v>729</v>
      </c>
      <c r="D1538" s="1" t="s">
        <v>1214</v>
      </c>
    </row>
    <row r="1539" spans="1:4">
      <c r="A1539">
        <v>5103</v>
      </c>
      <c r="B1539" s="1" t="s">
        <v>730</v>
      </c>
      <c r="C1539" s="1" t="s">
        <v>730</v>
      </c>
      <c r="D1539" s="1" t="s">
        <v>1214</v>
      </c>
    </row>
    <row r="1540" spans="1:4">
      <c r="A1540">
        <v>5104</v>
      </c>
      <c r="B1540" s="1" t="s">
        <v>1197</v>
      </c>
      <c r="C1540" s="1" t="s">
        <v>1197</v>
      </c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 t="s">
        <v>4656</v>
      </c>
      <c r="D1636" s="1" t="s">
        <v>1215</v>
      </c>
    </row>
    <row r="1637" spans="1:4">
      <c r="A1637" t="s">
        <v>1773</v>
      </c>
      <c r="B1637" s="1" t="s">
        <v>1774</v>
      </c>
      <c r="C1637" s="1"/>
      <c r="D1637" s="1"/>
    </row>
    <row r="1638" spans="1:4">
      <c r="A1638" t="s">
        <v>1775</v>
      </c>
      <c r="B1638" s="1"/>
      <c r="C1638" s="1" t="s">
        <v>1776</v>
      </c>
      <c r="D1638" s="1"/>
    </row>
    <row r="1639" spans="1:4">
      <c r="A1639" t="s">
        <v>1777</v>
      </c>
      <c r="B1639" s="1" t="s">
        <v>1778</v>
      </c>
      <c r="C1639" s="1" t="s">
        <v>1779</v>
      </c>
      <c r="D1639" s="1" t="s">
        <v>1776</v>
      </c>
    </row>
    <row r="1640" spans="1:4">
      <c r="A1640" t="s">
        <v>1780</v>
      </c>
      <c r="B1640" s="1" t="s">
        <v>1781</v>
      </c>
      <c r="C1640" s="1" t="s">
        <v>1782</v>
      </c>
      <c r="D1640" s="1" t="s">
        <v>1776</v>
      </c>
    </row>
    <row r="1641" spans="1:4">
      <c r="A1641" t="s">
        <v>1783</v>
      </c>
      <c r="B1641" s="1" t="s">
        <v>1784</v>
      </c>
      <c r="C1641" s="1"/>
      <c r="D1641" s="1" t="s">
        <v>1776</v>
      </c>
    </row>
    <row r="1642" spans="1:4">
      <c r="A1642" t="s">
        <v>1785</v>
      </c>
      <c r="B1642" s="1" t="s">
        <v>662</v>
      </c>
      <c r="C1642" s="1"/>
      <c r="D1642" s="1" t="s">
        <v>1776</v>
      </c>
    </row>
    <row r="1643" spans="1:4">
      <c r="A1643" t="s">
        <v>1786</v>
      </c>
      <c r="B1643" s="1" t="s">
        <v>1787</v>
      </c>
      <c r="C1643" s="1" t="s">
        <v>1788</v>
      </c>
      <c r="D1643" s="1" t="s">
        <v>1776</v>
      </c>
    </row>
    <row r="1644" spans="1:4">
      <c r="A1644" t="s">
        <v>1789</v>
      </c>
      <c r="B1644" s="1" t="s">
        <v>1790</v>
      </c>
      <c r="C1644" s="1"/>
      <c r="D1644" s="1" t="s">
        <v>1776</v>
      </c>
    </row>
    <row r="1645" spans="1:4">
      <c r="A1645" t="s">
        <v>1791</v>
      </c>
      <c r="B1645" s="1" t="s">
        <v>1792</v>
      </c>
      <c r="C1645" s="1" t="s">
        <v>1793</v>
      </c>
      <c r="D1645" s="1" t="s">
        <v>1776</v>
      </c>
    </row>
    <row r="1646" spans="1:4">
      <c r="A1646" t="s">
        <v>1794</v>
      </c>
      <c r="B1646" s="1" t="s">
        <v>662</v>
      </c>
      <c r="C1646" s="1"/>
      <c r="D1646" s="1" t="s">
        <v>1776</v>
      </c>
    </row>
    <row r="1647" spans="1:4">
      <c r="A1647" t="s">
        <v>1795</v>
      </c>
      <c r="B1647" s="1" t="s">
        <v>1796</v>
      </c>
      <c r="C1647" s="1" t="s">
        <v>1797</v>
      </c>
      <c r="D1647" s="1" t="s">
        <v>1776</v>
      </c>
    </row>
    <row r="1648" spans="1:4">
      <c r="A1648" t="s">
        <v>1798</v>
      </c>
      <c r="B1648" s="1" t="s">
        <v>1799</v>
      </c>
      <c r="C1648" s="1"/>
      <c r="D1648" s="1"/>
    </row>
    <row r="1649" spans="1:4">
      <c r="A1649" t="s">
        <v>1800</v>
      </c>
      <c r="B1649" s="1" t="s">
        <v>1427</v>
      </c>
      <c r="C1649" s="1"/>
      <c r="D1649" s="1"/>
    </row>
    <row r="1650" spans="1:4">
      <c r="A1650" t="s">
        <v>1801</v>
      </c>
      <c r="B1650" s="1" t="s">
        <v>1776</v>
      </c>
      <c r="C1650" s="1"/>
      <c r="D1650" s="1"/>
    </row>
    <row r="1651" spans="1:4">
      <c r="A1651" t="s">
        <v>1802</v>
      </c>
      <c r="B1651" s="1" t="s">
        <v>1803</v>
      </c>
      <c r="C1651" s="1"/>
      <c r="D1651" s="1"/>
    </row>
    <row r="1652" spans="1:4">
      <c r="A1652" t="s">
        <v>1804</v>
      </c>
      <c r="B1652" s="1" t="s">
        <v>1805</v>
      </c>
      <c r="C1652" s="1" t="s">
        <v>1776</v>
      </c>
      <c r="D1652" s="1"/>
    </row>
    <row r="1653" spans="1:4">
      <c r="A1653" t="s">
        <v>2199</v>
      </c>
      <c r="B1653" s="1" t="s">
        <v>2193</v>
      </c>
      <c r="C1653" s="1"/>
      <c r="D1653" s="1" t="s">
        <v>2192</v>
      </c>
    </row>
    <row r="1654" spans="1:4">
      <c r="A1654" t="s">
        <v>2200</v>
      </c>
      <c r="B1654" s="1" t="s">
        <v>2195</v>
      </c>
      <c r="C1654" s="1"/>
      <c r="D1654" s="1" t="s">
        <v>2192</v>
      </c>
    </row>
    <row r="1655" spans="1:4">
      <c r="A1655" t="s">
        <v>2201</v>
      </c>
      <c r="B1655" s="1" t="s">
        <v>2197</v>
      </c>
      <c r="C1655" s="1"/>
      <c r="D1655" s="1" t="s">
        <v>2192</v>
      </c>
    </row>
    <row r="1656" spans="1:4">
      <c r="A1656" t="s">
        <v>2202</v>
      </c>
      <c r="B1656" s="1" t="s">
        <v>2282</v>
      </c>
      <c r="C1656" s="1"/>
      <c r="D1656" s="1" t="s">
        <v>2192</v>
      </c>
    </row>
    <row r="1657" spans="1:4">
      <c r="A1657" t="s">
        <v>2203</v>
      </c>
      <c r="B1657" s="1" t="s">
        <v>2284</v>
      </c>
      <c r="C1657" s="1"/>
      <c r="D1657" s="1" t="s">
        <v>2192</v>
      </c>
    </row>
    <row r="1658" spans="1:4">
      <c r="A1658" t="s">
        <v>2204</v>
      </c>
      <c r="B1658" s="1" t="s">
        <v>2286</v>
      </c>
      <c r="C1658" s="1"/>
      <c r="D1658" s="1" t="s">
        <v>2192</v>
      </c>
    </row>
    <row r="1659" spans="1:4">
      <c r="A1659" t="s">
        <v>2205</v>
      </c>
      <c r="B1659" s="1" t="s">
        <v>2288</v>
      </c>
      <c r="C1659" s="1"/>
      <c r="D1659" s="1" t="s">
        <v>2192</v>
      </c>
    </row>
    <row r="1660" spans="1:4">
      <c r="A1660" t="s">
        <v>2206</v>
      </c>
      <c r="B1660" s="1" t="s">
        <v>2290</v>
      </c>
      <c r="C1660" s="1"/>
      <c r="D1660" s="1" t="s">
        <v>2192</v>
      </c>
    </row>
    <row r="1661" spans="1:4">
      <c r="A1661" t="s">
        <v>2207</v>
      </c>
      <c r="B1661" s="1" t="s">
        <v>2292</v>
      </c>
      <c r="C1661" s="1"/>
      <c r="D1661" s="1" t="s">
        <v>2192</v>
      </c>
    </row>
    <row r="1662" spans="1:4">
      <c r="A1662" t="s">
        <v>2208</v>
      </c>
      <c r="B1662" s="1" t="s">
        <v>2294</v>
      </c>
      <c r="C1662" s="1"/>
      <c r="D1662" s="1" t="s">
        <v>2192</v>
      </c>
    </row>
    <row r="1663" spans="1:4">
      <c r="A1663" t="s">
        <v>2209</v>
      </c>
      <c r="B1663" s="1" t="s">
        <v>2296</v>
      </c>
      <c r="C1663" s="1"/>
      <c r="D1663" s="1" t="s">
        <v>2192</v>
      </c>
    </row>
    <row r="1664" spans="1:4">
      <c r="A1664" t="s">
        <v>2210</v>
      </c>
      <c r="B1664" s="1" t="s">
        <v>2298</v>
      </c>
      <c r="C1664" s="1"/>
      <c r="D1664" s="1" t="s">
        <v>2192</v>
      </c>
    </row>
    <row r="1665" spans="1:4">
      <c r="A1665" t="s">
        <v>2211</v>
      </c>
      <c r="B1665" s="1" t="s">
        <v>2300</v>
      </c>
      <c r="C1665" s="1"/>
      <c r="D1665" s="1" t="s">
        <v>2192</v>
      </c>
    </row>
    <row r="1666" spans="1:4">
      <c r="A1666" t="s">
        <v>2212</v>
      </c>
      <c r="B1666" s="1" t="s">
        <v>2302</v>
      </c>
      <c r="C1666" s="1"/>
      <c r="D1666" s="1" t="s">
        <v>2192</v>
      </c>
    </row>
    <row r="1667" spans="1:4">
      <c r="A1667" t="s">
        <v>2213</v>
      </c>
      <c r="B1667" s="1" t="s">
        <v>2304</v>
      </c>
      <c r="C1667" s="1"/>
      <c r="D1667" s="1" t="s">
        <v>2192</v>
      </c>
    </row>
    <row r="1668" spans="1:4">
      <c r="A1668" t="s">
        <v>2214</v>
      </c>
      <c r="B1668" s="1" t="s">
        <v>2306</v>
      </c>
      <c r="C1668" s="1"/>
      <c r="D1668" s="1" t="s">
        <v>2192</v>
      </c>
    </row>
    <row r="1669" spans="1:4">
      <c r="A1669" t="s">
        <v>2215</v>
      </c>
      <c r="B1669" s="1" t="s">
        <v>2308</v>
      </c>
      <c r="C1669" s="1"/>
      <c r="D1669" s="1" t="s">
        <v>2192</v>
      </c>
    </row>
    <row r="1670" spans="1:4">
      <c r="A1670" t="s">
        <v>2216</v>
      </c>
      <c r="B1670" s="1" t="s">
        <v>2312</v>
      </c>
      <c r="C1670" s="1"/>
      <c r="D1670" s="1" t="s">
        <v>2192</v>
      </c>
    </row>
    <row r="1671" spans="1:4">
      <c r="A1671" t="s">
        <v>2217</v>
      </c>
      <c r="B1671" s="1" t="s">
        <v>2310</v>
      </c>
      <c r="C1671" s="1"/>
      <c r="D1671" s="1" t="s">
        <v>2192</v>
      </c>
    </row>
    <row r="1672" spans="1:4">
      <c r="A1672" t="s">
        <v>2218</v>
      </c>
      <c r="B1672" s="1" t="s">
        <v>2314</v>
      </c>
      <c r="C1672" s="1"/>
      <c r="D1672" s="1" t="s">
        <v>2192</v>
      </c>
    </row>
    <row r="1673" spans="1:4">
      <c r="A1673" t="s">
        <v>2219</v>
      </c>
      <c r="B1673" s="1" t="s">
        <v>2316</v>
      </c>
      <c r="C1673" s="1"/>
      <c r="D1673" s="1" t="s">
        <v>2192</v>
      </c>
    </row>
    <row r="1674" spans="1:4">
      <c r="A1674" t="s">
        <v>2220</v>
      </c>
      <c r="B1674" s="1" t="s">
        <v>2318</v>
      </c>
      <c r="C1674" s="1" t="s">
        <v>2442</v>
      </c>
      <c r="D1674" s="1" t="s">
        <v>2192</v>
      </c>
    </row>
    <row r="1675" spans="1:4">
      <c r="A1675" t="s">
        <v>2221</v>
      </c>
      <c r="B1675" s="1" t="s">
        <v>2320</v>
      </c>
      <c r="C1675" s="1" t="s">
        <v>2443</v>
      </c>
      <c r="D1675" s="1" t="s">
        <v>2192</v>
      </c>
    </row>
    <row r="1676" spans="1:4">
      <c r="A1676" t="s">
        <v>2222</v>
      </c>
      <c r="B1676" s="1" t="s">
        <v>2322</v>
      </c>
      <c r="C1676" s="1" t="s">
        <v>2444</v>
      </c>
      <c r="D1676" s="1" t="s">
        <v>2192</v>
      </c>
    </row>
    <row r="1677" spans="1:4">
      <c r="A1677" t="s">
        <v>2223</v>
      </c>
      <c r="B1677" s="1" t="s">
        <v>2324</v>
      </c>
      <c r="C1677" s="1" t="s">
        <v>2445</v>
      </c>
      <c r="D1677" s="1" t="s">
        <v>2192</v>
      </c>
    </row>
    <row r="1678" spans="1:4">
      <c r="A1678" t="s">
        <v>2224</v>
      </c>
      <c r="B1678" s="1" t="s">
        <v>2326</v>
      </c>
      <c r="C1678" s="1" t="s">
        <v>2446</v>
      </c>
      <c r="D1678" s="1" t="s">
        <v>2192</v>
      </c>
    </row>
    <row r="1679" spans="1:4">
      <c r="A1679" t="s">
        <v>2225</v>
      </c>
      <c r="B1679" s="1" t="s">
        <v>2328</v>
      </c>
      <c r="C1679" s="1" t="s">
        <v>2447</v>
      </c>
      <c r="D1679" s="1" t="s">
        <v>2192</v>
      </c>
    </row>
    <row r="1680" spans="1:4">
      <c r="A1680" t="s">
        <v>2226</v>
      </c>
      <c r="B1680" s="1" t="s">
        <v>2330</v>
      </c>
      <c r="C1680" s="1" t="s">
        <v>2448</v>
      </c>
      <c r="D1680" s="1" t="s">
        <v>2192</v>
      </c>
    </row>
    <row r="1681" spans="1:4">
      <c r="A1681" t="s">
        <v>2227</v>
      </c>
      <c r="B1681" s="1" t="s">
        <v>2332</v>
      </c>
      <c r="C1681" s="1" t="s">
        <v>2449</v>
      </c>
      <c r="D1681" s="1" t="s">
        <v>2192</v>
      </c>
    </row>
    <row r="1682" spans="1:4">
      <c r="A1682" t="s">
        <v>2228</v>
      </c>
      <c r="B1682" s="1" t="s">
        <v>2334</v>
      </c>
      <c r="C1682" s="1" t="s">
        <v>2450</v>
      </c>
      <c r="D1682" s="1" t="s">
        <v>2192</v>
      </c>
    </row>
    <row r="1683" spans="1:4">
      <c r="A1683" t="s">
        <v>2229</v>
      </c>
      <c r="B1683" s="1" t="s">
        <v>2336</v>
      </c>
      <c r="C1683" s="1" t="s">
        <v>2451</v>
      </c>
      <c r="D1683" s="1" t="s">
        <v>2192</v>
      </c>
    </row>
    <row r="1684" spans="1:4">
      <c r="A1684" t="s">
        <v>2230</v>
      </c>
      <c r="B1684" s="1" t="s">
        <v>2338</v>
      </c>
      <c r="C1684" s="1" t="s">
        <v>2452</v>
      </c>
      <c r="D1684" s="1" t="s">
        <v>2192</v>
      </c>
    </row>
    <row r="1685" spans="1:4">
      <c r="A1685" t="s">
        <v>2231</v>
      </c>
      <c r="B1685" s="1" t="s">
        <v>2340</v>
      </c>
      <c r="C1685" s="1" t="s">
        <v>2453</v>
      </c>
      <c r="D1685" s="1" t="s">
        <v>2192</v>
      </c>
    </row>
    <row r="1686" spans="1:4">
      <c r="A1686" t="s">
        <v>2232</v>
      </c>
      <c r="B1686" s="1" t="s">
        <v>2342</v>
      </c>
      <c r="C1686" s="1" t="s">
        <v>2454</v>
      </c>
      <c r="D1686" s="1" t="s">
        <v>2192</v>
      </c>
    </row>
    <row r="1687" spans="1:4">
      <c r="A1687" t="s">
        <v>2233</v>
      </c>
      <c r="B1687" s="1" t="s">
        <v>2344</v>
      </c>
      <c r="C1687" s="1" t="s">
        <v>2455</v>
      </c>
      <c r="D1687" s="1" t="s">
        <v>2192</v>
      </c>
    </row>
    <row r="1688" spans="1:4">
      <c r="A1688" t="s">
        <v>2234</v>
      </c>
      <c r="B1688" s="1" t="s">
        <v>2346</v>
      </c>
      <c r="C1688" s="1" t="s">
        <v>2456</v>
      </c>
      <c r="D1688" s="1" t="s">
        <v>2192</v>
      </c>
    </row>
    <row r="1689" spans="1:4">
      <c r="A1689" t="s">
        <v>2235</v>
      </c>
      <c r="B1689" s="1" t="s">
        <v>2348</v>
      </c>
      <c r="C1689" s="1" t="s">
        <v>2457</v>
      </c>
      <c r="D1689" s="1" t="s">
        <v>2192</v>
      </c>
    </row>
    <row r="1690" spans="1:4">
      <c r="A1690" t="s">
        <v>2236</v>
      </c>
      <c r="B1690" s="1" t="s">
        <v>2350</v>
      </c>
      <c r="C1690" s="1" t="s">
        <v>2458</v>
      </c>
      <c r="D1690" s="1" t="s">
        <v>2192</v>
      </c>
    </row>
    <row r="1691" spans="1:4">
      <c r="A1691" t="s">
        <v>2237</v>
      </c>
      <c r="B1691" s="1" t="s">
        <v>2352</v>
      </c>
      <c r="C1691" s="1" t="s">
        <v>2459</v>
      </c>
      <c r="D1691" s="1" t="s">
        <v>2192</v>
      </c>
    </row>
    <row r="1692" spans="1:4">
      <c r="A1692" t="s">
        <v>2238</v>
      </c>
      <c r="B1692" s="1" t="s">
        <v>2354</v>
      </c>
      <c r="C1692" s="1" t="s">
        <v>2460</v>
      </c>
      <c r="D1692" s="1" t="s">
        <v>2192</v>
      </c>
    </row>
    <row r="1693" spans="1:4">
      <c r="A1693" t="s">
        <v>2239</v>
      </c>
      <c r="B1693" s="1" t="s">
        <v>2356</v>
      </c>
      <c r="C1693" s="1" t="s">
        <v>2461</v>
      </c>
      <c r="D1693" s="1" t="s">
        <v>2192</v>
      </c>
    </row>
    <row r="1694" spans="1:4">
      <c r="A1694" t="s">
        <v>2240</v>
      </c>
      <c r="B1694" s="1" t="s">
        <v>2358</v>
      </c>
      <c r="C1694" s="1" t="s">
        <v>2462</v>
      </c>
      <c r="D1694" s="1" t="s">
        <v>2192</v>
      </c>
    </row>
    <row r="1695" spans="1:4">
      <c r="A1695" t="s">
        <v>2241</v>
      </c>
      <c r="B1695" s="1" t="s">
        <v>2360</v>
      </c>
      <c r="C1695" s="1" t="s">
        <v>2463</v>
      </c>
      <c r="D1695" s="1" t="s">
        <v>2192</v>
      </c>
    </row>
    <row r="1696" spans="1:4">
      <c r="A1696" t="s">
        <v>2242</v>
      </c>
      <c r="B1696" s="1" t="s">
        <v>2362</v>
      </c>
      <c r="C1696" s="1" t="s">
        <v>2464</v>
      </c>
      <c r="D1696" s="1" t="s">
        <v>2192</v>
      </c>
    </row>
    <row r="1697" spans="1:4">
      <c r="A1697" t="s">
        <v>2243</v>
      </c>
      <c r="B1697" s="1" t="s">
        <v>2364</v>
      </c>
      <c r="C1697" s="1" t="s">
        <v>2465</v>
      </c>
      <c r="D1697" s="1" t="s">
        <v>2192</v>
      </c>
    </row>
    <row r="1698" spans="1:4">
      <c r="A1698" t="s">
        <v>2244</v>
      </c>
      <c r="B1698" s="1" t="s">
        <v>2366</v>
      </c>
      <c r="C1698" s="1" t="s">
        <v>2466</v>
      </c>
      <c r="D1698" s="1" t="s">
        <v>2192</v>
      </c>
    </row>
    <row r="1699" spans="1:4">
      <c r="A1699" t="s">
        <v>2245</v>
      </c>
      <c r="B1699" s="1" t="s">
        <v>2368</v>
      </c>
      <c r="C1699" s="1"/>
      <c r="D1699" s="1" t="s">
        <v>2192</v>
      </c>
    </row>
    <row r="1700" spans="1:4">
      <c r="A1700" t="s">
        <v>2246</v>
      </c>
      <c r="B1700" s="1" t="s">
        <v>2370</v>
      </c>
      <c r="C1700" s="1"/>
      <c r="D1700" s="1" t="s">
        <v>2192</v>
      </c>
    </row>
    <row r="1701" spans="1:4">
      <c r="A1701" t="s">
        <v>2247</v>
      </c>
      <c r="B1701" s="1" t="s">
        <v>2372</v>
      </c>
      <c r="C1701" s="1"/>
      <c r="D1701" s="1" t="s">
        <v>2192</v>
      </c>
    </row>
    <row r="1702" spans="1:4">
      <c r="A1702" t="s">
        <v>2248</v>
      </c>
      <c r="B1702" s="1" t="s">
        <v>2374</v>
      </c>
      <c r="C1702" s="1"/>
      <c r="D1702" s="1" t="s">
        <v>2192</v>
      </c>
    </row>
    <row r="1703" spans="1:4">
      <c r="A1703" t="s">
        <v>2249</v>
      </c>
      <c r="B1703" s="1" t="s">
        <v>2376</v>
      </c>
      <c r="C1703" s="1"/>
      <c r="D1703" s="1" t="s">
        <v>2192</v>
      </c>
    </row>
    <row r="1704" spans="1:4">
      <c r="A1704" t="s">
        <v>2250</v>
      </c>
      <c r="B1704" s="1" t="s">
        <v>2378</v>
      </c>
      <c r="C1704" s="1"/>
      <c r="D1704" s="1" t="s">
        <v>2192</v>
      </c>
    </row>
    <row r="1705" spans="1:4">
      <c r="A1705" t="s">
        <v>2251</v>
      </c>
      <c r="B1705" s="1" t="s">
        <v>2380</v>
      </c>
      <c r="C1705" s="1"/>
      <c r="D1705" s="1" t="s">
        <v>2192</v>
      </c>
    </row>
    <row r="1706" spans="1:4">
      <c r="A1706" t="s">
        <v>2252</v>
      </c>
      <c r="B1706" s="1" t="s">
        <v>2382</v>
      </c>
      <c r="C1706" s="1"/>
      <c r="D1706" s="1" t="s">
        <v>2192</v>
      </c>
    </row>
    <row r="1707" spans="1:4">
      <c r="A1707" t="s">
        <v>2253</v>
      </c>
      <c r="B1707" s="1" t="s">
        <v>2384</v>
      </c>
      <c r="C1707" s="1"/>
      <c r="D1707" s="1" t="s">
        <v>2192</v>
      </c>
    </row>
    <row r="1708" spans="1:4">
      <c r="A1708" t="s">
        <v>2254</v>
      </c>
      <c r="B1708" s="1" t="s">
        <v>2386</v>
      </c>
      <c r="C1708" s="1"/>
      <c r="D1708" s="1" t="s">
        <v>2192</v>
      </c>
    </row>
    <row r="1709" spans="1:4">
      <c r="A1709" t="s">
        <v>2255</v>
      </c>
      <c r="B1709" s="1" t="s">
        <v>2388</v>
      </c>
      <c r="C1709" s="1"/>
      <c r="D1709" s="1" t="s">
        <v>2192</v>
      </c>
    </row>
    <row r="1710" spans="1:4">
      <c r="A1710" t="s">
        <v>2256</v>
      </c>
      <c r="B1710" s="1" t="s">
        <v>2390</v>
      </c>
      <c r="C1710" s="1"/>
      <c r="D1710" s="1" t="s">
        <v>2192</v>
      </c>
    </row>
    <row r="1711" spans="1:4">
      <c r="A1711" t="s">
        <v>2257</v>
      </c>
      <c r="B1711" s="1" t="s">
        <v>2392</v>
      </c>
      <c r="C1711" s="1"/>
      <c r="D1711" s="1" t="s">
        <v>2192</v>
      </c>
    </row>
    <row r="1712" spans="1:4">
      <c r="A1712" t="s">
        <v>2258</v>
      </c>
      <c r="B1712" s="1" t="s">
        <v>2394</v>
      </c>
      <c r="C1712" s="1"/>
      <c r="D1712" s="1" t="s">
        <v>2192</v>
      </c>
    </row>
    <row r="1713" spans="1:4">
      <c r="A1713" t="s">
        <v>2259</v>
      </c>
      <c r="B1713" s="1" t="s">
        <v>2396</v>
      </c>
      <c r="C1713" s="1"/>
      <c r="D1713" s="1" t="s">
        <v>2192</v>
      </c>
    </row>
    <row r="1714" spans="1:4">
      <c r="A1714" t="s">
        <v>2260</v>
      </c>
      <c r="B1714" s="1" t="s">
        <v>2398</v>
      </c>
      <c r="C1714" s="1"/>
      <c r="D1714" s="1" t="s">
        <v>2192</v>
      </c>
    </row>
    <row r="1715" spans="1:4">
      <c r="A1715" t="s">
        <v>2261</v>
      </c>
      <c r="B1715" s="1" t="s">
        <v>2400</v>
      </c>
      <c r="C1715" s="1"/>
      <c r="D1715" s="1" t="s">
        <v>2192</v>
      </c>
    </row>
    <row r="1716" spans="1:4">
      <c r="A1716" t="s">
        <v>2262</v>
      </c>
      <c r="B1716" s="1" t="s">
        <v>2402</v>
      </c>
      <c r="C1716" s="1"/>
      <c r="D1716" s="1" t="s">
        <v>2192</v>
      </c>
    </row>
    <row r="1717" spans="1:4">
      <c r="A1717" t="s">
        <v>2263</v>
      </c>
      <c r="B1717" s="1" t="s">
        <v>2404</v>
      </c>
      <c r="C1717" s="1"/>
      <c r="D1717" s="1" t="s">
        <v>2192</v>
      </c>
    </row>
    <row r="1718" spans="1:4">
      <c r="A1718" t="s">
        <v>2264</v>
      </c>
      <c r="B1718" s="1" t="s">
        <v>2406</v>
      </c>
      <c r="C1718" s="1"/>
      <c r="D1718" s="1" t="s">
        <v>2192</v>
      </c>
    </row>
    <row r="1719" spans="1:4">
      <c r="A1719" t="s">
        <v>2265</v>
      </c>
      <c r="B1719" s="1" t="s">
        <v>2408</v>
      </c>
      <c r="C1719" s="1"/>
      <c r="D1719" s="1" t="s">
        <v>2192</v>
      </c>
    </row>
    <row r="1720" spans="1:4">
      <c r="A1720" t="s">
        <v>2266</v>
      </c>
      <c r="B1720" s="1" t="s">
        <v>2410</v>
      </c>
      <c r="C1720" s="1"/>
      <c r="D1720" s="1" t="s">
        <v>2192</v>
      </c>
    </row>
    <row r="1721" spans="1:4">
      <c r="A1721" t="s">
        <v>2267</v>
      </c>
      <c r="B1721" s="1" t="s">
        <v>2412</v>
      </c>
      <c r="C1721" s="1"/>
      <c r="D1721" s="1" t="s">
        <v>2192</v>
      </c>
    </row>
    <row r="1722" spans="1:4">
      <c r="A1722" t="s">
        <v>2268</v>
      </c>
      <c r="B1722" s="1" t="s">
        <v>2414</v>
      </c>
      <c r="C1722" s="1"/>
      <c r="D1722" s="1" t="s">
        <v>2192</v>
      </c>
    </row>
    <row r="1723" spans="1:4">
      <c r="A1723" t="s">
        <v>2269</v>
      </c>
      <c r="B1723" s="1" t="s">
        <v>2416</v>
      </c>
      <c r="C1723" s="1"/>
      <c r="D1723" s="1" t="s">
        <v>2192</v>
      </c>
    </row>
    <row r="1724" spans="1:4">
      <c r="A1724" t="s">
        <v>2270</v>
      </c>
      <c r="B1724" s="1" t="s">
        <v>2418</v>
      </c>
      <c r="C1724" s="1"/>
      <c r="D1724" s="1" t="s">
        <v>2192</v>
      </c>
    </row>
    <row r="1725" spans="1:4">
      <c r="A1725" t="s">
        <v>2271</v>
      </c>
      <c r="B1725" s="1" t="s">
        <v>2420</v>
      </c>
      <c r="C1725" s="1"/>
      <c r="D1725" s="1" t="s">
        <v>2192</v>
      </c>
    </row>
    <row r="1726" spans="1:4">
      <c r="A1726" t="s">
        <v>2272</v>
      </c>
      <c r="B1726" s="1" t="s">
        <v>2422</v>
      </c>
      <c r="C1726" s="1"/>
      <c r="D1726" s="1" t="s">
        <v>2192</v>
      </c>
    </row>
    <row r="1727" spans="1:4">
      <c r="A1727" t="s">
        <v>2273</v>
      </c>
      <c r="B1727" s="1" t="s">
        <v>2424</v>
      </c>
      <c r="C1727" s="1"/>
      <c r="D1727" s="1" t="s">
        <v>2192</v>
      </c>
    </row>
    <row r="1728" spans="1:4">
      <c r="A1728" t="s">
        <v>2274</v>
      </c>
      <c r="B1728" s="1" t="s">
        <v>2426</v>
      </c>
      <c r="C1728" s="1"/>
      <c r="D1728" s="1" t="s">
        <v>2192</v>
      </c>
    </row>
    <row r="1729" spans="1:4">
      <c r="A1729" t="s">
        <v>2275</v>
      </c>
      <c r="B1729" s="1" t="s">
        <v>2428</v>
      </c>
      <c r="C1729" s="1"/>
      <c r="D1729" s="1" t="s">
        <v>2192</v>
      </c>
    </row>
    <row r="1730" spans="1:4">
      <c r="A1730" t="s">
        <v>2276</v>
      </c>
      <c r="B1730" s="1" t="s">
        <v>2430</v>
      </c>
      <c r="C1730" s="1"/>
      <c r="D1730" s="1" t="s">
        <v>2192</v>
      </c>
    </row>
    <row r="1731" spans="1:4">
      <c r="A1731" t="s">
        <v>2277</v>
      </c>
      <c r="B1731" s="1" t="s">
        <v>2432</v>
      </c>
      <c r="C1731" s="1"/>
      <c r="D1731" s="1" t="s">
        <v>2192</v>
      </c>
    </row>
    <row r="1732" spans="1:4">
      <c r="A1732" t="s">
        <v>2278</v>
      </c>
      <c r="B1732" s="1" t="s">
        <v>2434</v>
      </c>
      <c r="C1732" s="1"/>
      <c r="D1732" s="1" t="s">
        <v>2192</v>
      </c>
    </row>
    <row r="1733" spans="1:4">
      <c r="A1733" t="s">
        <v>2279</v>
      </c>
      <c r="B1733" s="1" t="s">
        <v>2436</v>
      </c>
      <c r="C1733" s="1"/>
      <c r="D1733" s="1" t="s">
        <v>2192</v>
      </c>
    </row>
    <row r="1734" spans="1:4">
      <c r="A1734" t="s">
        <v>2280</v>
      </c>
      <c r="B1734" s="1" t="s">
        <v>2438</v>
      </c>
      <c r="C1734" s="1"/>
      <c r="D1734" s="1" t="s">
        <v>2192</v>
      </c>
    </row>
    <row r="1735" spans="1:4">
      <c r="A1735" t="s">
        <v>2281</v>
      </c>
      <c r="B1735" s="1" t="s">
        <v>2440</v>
      </c>
      <c r="C1735" s="1"/>
      <c r="D1735" s="1" t="s">
        <v>2192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2016-01-13T14:27:56Z</dcterms:modified>
</cp:coreProperties>
</file>